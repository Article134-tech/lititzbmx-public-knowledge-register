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ables/table25.xml" ContentType="application/vnd.openxmlformats-officedocument.spreadsheetml.table+xml"/>
  <Override PartName="/xl/worksheets/sheet35.xml" ContentType="application/vnd.openxmlformats-officedocument.spreadsheetml.worksheet+xml"/>
  <Override PartName="/xl/tables/table26.xml" ContentType="application/vnd.openxmlformats-officedocument.spreadsheetml.table+xml"/>
  <Override PartName="/xl/worksheets/sheet36.xml" ContentType="application/vnd.openxmlformats-officedocument.spreadsheetml.worksheet+xml"/>
  <Override PartName="/xl/tables/table27.xml" ContentType="application/vnd.openxmlformats-officedocument.spreadsheetml.table+xml"/>
  <Override PartName="/xl/worksheets/sheet37.xml" ContentType="application/vnd.openxmlformats-officedocument.spreadsheetml.worksheet+xml"/>
  <Override PartName="/xl/tables/table28.xml" ContentType="application/vnd.openxmlformats-officedocument.spreadsheetml.table+xml"/>
  <Override PartName="/xl/worksheets/sheet38.xml" ContentType="application/vnd.openxmlformats-officedocument.spreadsheetml.worksheet+xml"/>
  <Override PartName="/xl/tables/table29.xml" ContentType="application/vnd.openxmlformats-officedocument.spreadsheetml.table+xml"/>
  <Override PartName="/xl/worksheets/sheet39.xml" ContentType="application/vnd.openxmlformats-officedocument.spreadsheetml.worksheet+xml"/>
  <Override PartName="/xl/tables/table30.xml" ContentType="application/vnd.openxmlformats-officedocument.spreadsheetml.table+xml"/>
  <Override PartName="/xl/worksheets/sheet40.xml" ContentType="application/vnd.openxmlformats-officedocument.spreadsheetml.worksheet+xml"/>
  <Override PartName="/xl/tables/table31.xml" ContentType="application/vnd.openxmlformats-officedocument.spreadsheetml.table+xml"/>
  <Override PartName="/xl/worksheets/sheet41.xml" ContentType="application/vnd.openxmlformats-officedocument.spreadsheetml.worksheet+xml"/>
  <Override PartName="/xl/tables/table32.xml" ContentType="application/vnd.openxmlformats-officedocument.spreadsheetml.table+xml"/>
  <Override PartName="/xl/worksheets/sheet42.xml" ContentType="application/vnd.openxmlformats-officedocument.spreadsheetml.worksheet+xml"/>
  <Override PartName="/xl/tables/table33.xml" ContentType="application/vnd.openxmlformats-officedocument.spreadsheetml.table+xml"/>
  <Override PartName="/xl/worksheets/sheet43.xml" ContentType="application/vnd.openxmlformats-officedocument.spreadsheetml.worksheet+xml"/>
  <Override PartName="/xl/tables/table34.xml" ContentType="application/vnd.openxmlformats-officedocument.spreadsheetml.table+xml"/>
  <Override PartName="/xl/worksheets/sheet44.xml" ContentType="application/vnd.openxmlformats-officedocument.spreadsheetml.worksheet+xml"/>
  <Override PartName="/xl/tables/table35.xml" ContentType="application/vnd.openxmlformats-officedocument.spreadsheetml.table+xml"/>
  <Override PartName="/xl/worksheets/sheet45.xml" ContentType="application/vnd.openxmlformats-officedocument.spreadsheetml.worksheet+xml"/>
  <Override PartName="/xl/tables/table36.xml" ContentType="application/vnd.openxmlformats-officedocument.spreadsheetml.table+xml"/>
  <Override PartName="/xl/worksheets/sheet46.xml" ContentType="application/vnd.openxmlformats-officedocument.spreadsheetml.worksheet+xml"/>
  <Override PartName="/xl/tables/table37.xml" ContentType="application/vnd.openxmlformats-officedocument.spreadsheetml.table+xml"/>
  <Override PartName="/xl/worksheets/sheet47.xml" ContentType="application/vnd.openxmlformats-officedocument.spreadsheetml.worksheet+xml"/>
  <Override PartName="/xl/tables/table38.xml" ContentType="application/vnd.openxmlformats-officedocument.spreadsheetml.table+xml"/>
  <Override PartName="/xl/worksheets/sheet48.xml" ContentType="application/vnd.openxmlformats-officedocument.spreadsheetml.worksheet+xml"/>
  <Override PartName="/xl/tables/table39.xml" ContentType="application/vnd.openxmlformats-officedocument.spreadsheetml.table+xml"/>
  <Override PartName="/xl/worksheets/sheet49.xml" ContentType="application/vnd.openxmlformats-officedocument.spreadsheetml.worksheet+xml"/>
  <Override PartName="/xl/tables/table40.xml" ContentType="application/vnd.openxmlformats-officedocument.spreadsheetml.table+xml"/>
  <Override PartName="/xl/worksheets/sheet50.xml" ContentType="application/vnd.openxmlformats-officedocument.spreadsheetml.worksheet+xml"/>
  <Override PartName="/xl/tables/table41.xml" ContentType="application/vnd.openxmlformats-officedocument.spreadsheetml.table+xml"/>
  <Override PartName="/xl/tables/table42.xml" ContentType="application/vnd.openxmlformats-officedocument.spreadsheetml.table+xml"/>
  <Override PartName="/xl/worksheets/sheet51.xml" ContentType="application/vnd.openxmlformats-officedocument.spreadsheetml.worksheet+xml"/>
  <Override PartName="/xl/tables/table43.xml" ContentType="application/vnd.openxmlformats-officedocument.spreadsheetml.table+xml"/>
  <Override PartName="/xl/worksheets/sheet52.xml" ContentType="application/vnd.openxmlformats-officedocument.spreadsheetml.worksheet+xml"/>
  <Override PartName="/xl/tables/table44.xml" ContentType="application/vnd.openxmlformats-officedocument.spreadsheetml.table+xml"/>
  <Override PartName="/xl/worksheets/sheet53.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tables/table45.xml" ContentType="application/vnd.openxmlformats-officedocument.spreadsheetml.table+xml"/>
  <Override PartName="/xl/tables/table46.xml" ContentType="application/vnd.openxmlformats-officedocument.spreadsheetml.table+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61.xml" ContentType="application/vnd.openxmlformats-officedocument.spreadsheetml.worksheet+xml"/>
  <Override PartName="/xl/tables/table47.xml" ContentType="application/vnd.openxmlformats-officedocument.spreadsheetml.table+xml"/>
  <Override PartName="/xl/worksheets/sheet62.xml" ContentType="application/vnd.openxmlformats-officedocument.spreadsheetml.worksheet+xml"/>
  <Override PartName="/xl/tables/table48.xml" ContentType="application/vnd.openxmlformats-officedocument.spreadsheetml.table+xml"/>
  <Override PartName="/xl/worksheets/sheet63.xml" ContentType="application/vnd.openxmlformats-officedocument.spreadsheetml.worksheet+xml"/>
  <Override PartName="/xl/tables/table49.xml" ContentType="application/vnd.openxmlformats-officedocument.spreadsheetml.table+xml"/>
  <Override PartName="/xl/worksheets/sheet64.xml" ContentType="application/vnd.openxmlformats-officedocument.spreadsheetml.worksheet+xml"/>
  <Override PartName="/xl/tables/table50.xml" ContentType="application/vnd.openxmlformats-officedocument.spreadsheetml.table+xml"/>
  <Override PartName="/xl/worksheets/sheet65.xml" ContentType="application/vnd.openxmlformats-officedocument.spreadsheetml.worksheet+xml"/>
  <Override PartName="/xl/tables/table51.xml" ContentType="application/vnd.openxmlformats-officedocument.spreadsheetml.table+xml"/>
  <Override PartName="/xl/worksheets/sheet66.xml" ContentType="application/vnd.openxmlformats-officedocument.spreadsheetml.worksheet+xml"/>
  <Override PartName="/xl/tables/table52.xml" ContentType="application/vnd.openxmlformats-officedocument.spreadsheetml.table+xml"/>
  <Override PartName="/xl/worksheets/sheet67.xml" ContentType="application/vnd.openxmlformats-officedocument.spreadsheetml.worksheet+xml"/>
  <Override PartName="/xl/tables/table53.xml" ContentType="application/vnd.openxmlformats-officedocument.spreadsheetml.table+xml"/>
  <Override PartName="/xl/worksheets/sheet68.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69.xml" ContentType="application/vnd.openxmlformats-officedocument.spreadsheetml.worksheet+xml"/>
  <Override PartName="/xl/tables/table54.xml" ContentType="application/vnd.openxmlformats-officedocument.spreadsheetml.table+xml"/>
  <Override PartName="/xl/worksheets/sheet70.xml" ContentType="application/vnd.openxmlformats-officedocument.spreadsheetml.worksheet+xml"/>
  <Override PartName="/xl/tables/table55.xml" ContentType="application/vnd.openxmlformats-officedocument.spreadsheetml.table+xml"/>
  <Override PartName="/xl/worksheets/sheet71.xml" ContentType="application/vnd.openxmlformats-officedocument.spreadsheetml.worksheet+xml"/>
  <Override PartName="/xl/tables/table56.xml" ContentType="application/vnd.openxmlformats-officedocument.spreadsheetml.table+xml"/>
  <Override PartName="/xl/worksheets/sheet72.xml" ContentType="application/vnd.openxmlformats-officedocument.spreadsheetml.worksheet+xml"/>
  <Override PartName="/xl/tables/table57.xml" ContentType="application/vnd.openxmlformats-officedocument.spreadsheetml.table+xml"/>
  <Override PartName="/xl/worksheets/sheet73.xml" ContentType="application/vnd.openxmlformats-officedocument.spreadsheetml.worksheet+xml"/>
  <Override PartName="/xl/tables/table58.xml" ContentType="application/vnd.openxmlformats-officedocument.spreadsheetml.table+xml"/>
  <Override PartName="/xl/worksheets/sheet74.xml" ContentType="application/vnd.openxmlformats-officedocument.spreadsheetml.worksheet+xml"/>
  <Override PartName="/xl/tables/table59.xml" ContentType="application/vnd.openxmlformats-officedocument.spreadsheetml.table+xml"/>
  <Override PartName="/xl/worksheets/sheet75.xml" ContentType="application/vnd.openxmlformats-officedocument.spreadsheetml.worksheet+xml"/>
  <Override PartName="/xl/worksheets/sheet76.xml" ContentType="application/vnd.openxmlformats-officedocument.spreadsheetml.worksheet+xml"/>
  <Override PartName="/xl/tables/table60.xml" ContentType="application/vnd.openxmlformats-officedocument.spreadsheetml.table+xml"/>
  <Override PartName="/xl/worksheets/sheet77.xml" ContentType="application/vnd.openxmlformats-officedocument.spreadsheetml.worksheet+xml"/>
  <Override PartName="/xl/tables/table61.xml" ContentType="application/vnd.openxmlformats-officedocument.spreadsheetml.table+xml"/>
  <Override PartName="/xl/worksheets/sheet78.xml" ContentType="application/vnd.openxmlformats-officedocument.spreadsheetml.worksheet+xml"/>
  <Override PartName="/xl/tables/table62.xml" ContentType="application/vnd.openxmlformats-officedocument.spreadsheetml.table+xml"/>
  <Override PartName="/xl/worksheets/sheet79.xml" ContentType="application/vnd.openxmlformats-officedocument.spreadsheetml.worksheet+xml"/>
  <Override PartName="/xl/tables/table63.xml" ContentType="application/vnd.openxmlformats-officedocument.spreadsheetml.table+xml"/>
  <Override PartName="/xl/worksheets/sheet80.xml" ContentType="application/vnd.openxmlformats-officedocument.spreadsheetml.worksheet+xml"/>
  <Override PartName="/xl/tables/table64.xml" ContentType="application/vnd.openxmlformats-officedocument.spreadsheetml.table+xml"/>
  <Override PartName="/xl/worksheets/sheet81.xml" ContentType="application/vnd.openxmlformats-officedocument.spreadsheetml.worksheet+xml"/>
  <Override PartName="/xl/tables/table65.xml" ContentType="application/vnd.openxmlformats-officedocument.spreadsheetml.table+xml"/>
  <Override PartName="/xl/worksheets/sheet82.xml" ContentType="application/vnd.openxmlformats-officedocument.spreadsheetml.worksheet+xml"/>
  <Override PartName="/xl/tables/table66.xml" ContentType="application/vnd.openxmlformats-officedocument.spreadsheetml.table+xml"/>
  <Override PartName="/xl/worksheets/sheet83.xml" ContentType="application/vnd.openxmlformats-officedocument.spreadsheetml.worksheet+xml"/>
  <Override PartName="/xl/tables/table67.xml" ContentType="application/vnd.openxmlformats-officedocument.spreadsheetml.table+xml"/>
  <Override PartName="/xl/worksheets/sheet84.xml" ContentType="application/vnd.openxmlformats-officedocument.spreadsheetml.worksheet+xml"/>
  <Override PartName="/xl/tables/table68.xml" ContentType="application/vnd.openxmlformats-officedocument.spreadsheetml.table+xml"/>
  <Override PartName="/xl/worksheets/sheet85.xml" ContentType="application/vnd.openxmlformats-officedocument.spreadsheetml.worksheet+xml"/>
  <Override PartName="/xl/tables/table69.xml" ContentType="application/vnd.openxmlformats-officedocument.spreadsheetml.table+xml"/>
  <Override PartName="/xl/worksheets/sheet86.xml" ContentType="application/vnd.openxmlformats-officedocument.spreadsheetml.worksheet+xml"/>
  <Override PartName="/xl/tables/table70.xml" ContentType="application/vnd.openxmlformats-officedocument.spreadsheetml.table+xml"/>
  <Override PartName="/xl/worksheets/sheet87.xml" ContentType="application/vnd.openxmlformats-officedocument.spreadsheetml.worksheet+xml"/>
  <Override PartName="/xl/drawings/drawing6.xml" ContentType="application/vnd.openxmlformats-officedocument.drawing+xml"/>
  <Override PartName="/xl/drawings/charts/chart6.xml" ContentType="application/vnd.openxmlformats-officedocument.drawingml.chart+xml"/>
  <Override PartName="/xl/worksheets/sheet88.xml" ContentType="application/vnd.openxmlformats-officedocument.spreadsheetml.worksheet+xml"/>
  <Override PartName="/xl/tables/table71.xml" ContentType="application/vnd.openxmlformats-officedocument.spreadsheetml.table+xml"/>
  <Override PartName="/xl/worksheets/sheet89.xml" ContentType="application/vnd.openxmlformats-officedocument.spreadsheetml.worksheet+xml"/>
  <Override PartName="/xl/tables/table72.xml" ContentType="application/vnd.openxmlformats-officedocument.spreadsheetml.table+xml"/>
  <Override PartName="/xl/worksheets/sheet90.xml" ContentType="application/vnd.openxmlformats-officedocument.spreadsheetml.worksheet+xml"/>
  <Override PartName="/xl/tables/table73.xml" ContentType="application/vnd.openxmlformats-officedocument.spreadsheetml.table+xml"/>
  <Override PartName="/xl/worksheets/sheet91.xml" ContentType="application/vnd.openxmlformats-officedocument.spreadsheetml.worksheet+xml"/>
  <Override PartName="/xl/tables/table74.xml" ContentType="application/vnd.openxmlformats-officedocument.spreadsheetml.table+xml"/>
  <Override PartName="/xl/worksheets/sheet92.xml" ContentType="application/vnd.openxmlformats-officedocument.spreadsheetml.worksheet+xml"/>
  <Override PartName="/xl/tables/table75.xml" ContentType="application/vnd.openxmlformats-officedocument.spreadsheetml.table+xml"/>
  <Override PartName="/xl/worksheets/sheet93.xml" ContentType="application/vnd.openxmlformats-officedocument.spreadsheetml.worksheet+xml"/>
  <Override PartName="/xl/tables/table76.xml" ContentType="application/vnd.openxmlformats-officedocument.spreadsheetml.table+xml"/>
  <Override PartName="/xl/worksheets/sheet94.xml" ContentType="application/vnd.openxmlformats-officedocument.spreadsheetml.worksheet+xml"/>
  <Override PartName="/xl/tables/table77.xml" ContentType="application/vnd.openxmlformats-officedocument.spreadsheetml.table+xml"/>
  <Override PartName="/xl/worksheets/sheet95.xml" ContentType="application/vnd.openxmlformats-officedocument.spreadsheetml.worksheet+xml"/>
  <Override PartName="/xl/tables/table78.xml" ContentType="application/vnd.openxmlformats-officedocument.spreadsheetml.table+xml"/>
  <Override PartName="/xl/worksheets/sheet96.xml" ContentType="application/vnd.openxmlformats-officedocument.spreadsheetml.worksheet+xml"/>
  <Override PartName="/xl/tables/table79.xml" ContentType="application/vnd.openxmlformats-officedocument.spreadsheetml.table+xml"/>
  <Override PartName="/xl/worksheets/sheet97.xml" ContentType="application/vnd.openxmlformats-officedocument.spreadsheetml.worksheet+xml"/>
  <Override PartName="/xl/tables/table80.xml" ContentType="application/vnd.openxmlformats-officedocument.spreadsheetml.table+xml"/>
  <Override PartName="/xl/worksheets/sheet98.xml" ContentType="application/vnd.openxmlformats-officedocument.spreadsheetml.worksheet+xml"/>
  <Override PartName="/xl/tables/table81.xml" ContentType="application/vnd.openxmlformats-officedocument.spreadsheetml.table+xml"/>
  <Override PartName="/xl/worksheets/sheet99.xml" ContentType="application/vnd.openxmlformats-officedocument.spreadsheetml.worksheet+xml"/>
  <Override PartName="/xl/tables/table82.xml" ContentType="application/vnd.openxmlformats-officedocument.spreadsheetml.table+xml"/>
  <Override PartName="/xl/worksheets/sheet100.xml" ContentType="application/vnd.openxmlformats-officedocument.spreadsheetml.worksheet+xml"/>
  <Override PartName="/xl/tables/table83.xml" ContentType="application/vnd.openxmlformats-officedocument.spreadsheetml.table+xml"/>
  <Override PartName="/xl/worksheets/sheet101.xml" ContentType="application/vnd.openxmlformats-officedocument.spreadsheetml.worksheet+xml"/>
  <Override PartName="/xl/tables/table84.xml" ContentType="application/vnd.openxmlformats-officedocument.spreadsheetml.table+xml"/>
  <Override PartName="/xl/worksheets/sheet102.xml" ContentType="application/vnd.openxmlformats-officedocument.spreadsheetml.worksheet+xml"/>
  <Override PartName="/xl/drawings/drawing7.xml" ContentType="application/vnd.openxmlformats-officedocument.drawing+xml"/>
  <Override PartName="/xl/drawings/charts/chart7.xml" ContentType="application/vnd.openxmlformats-officedocument.drawingml.chart+xml"/>
  <Override PartName="/xl/worksheets/sheet103.xml" ContentType="application/vnd.openxmlformats-officedocument.spreadsheetml.worksheet+xml"/>
  <Override PartName="/xl/tables/table85.xml" ContentType="application/vnd.openxmlformats-officedocument.spreadsheetml.table+xml"/>
  <Override PartName="/xl/worksheets/sheet104.xml" ContentType="application/vnd.openxmlformats-officedocument.spreadsheetml.worksheet+xml"/>
  <Override PartName="/xl/tables/table86.xml" ContentType="application/vnd.openxmlformats-officedocument.spreadsheetml.table+xml"/>
  <Override PartName="/xl/worksheets/sheet105.xml" ContentType="application/vnd.openxmlformats-officedocument.spreadsheetml.worksheet+xml"/>
  <Override PartName="/xl/tables/table87.xml" ContentType="application/vnd.openxmlformats-officedocument.spreadsheetml.table+xml"/>
  <Override PartName="/xl/worksheets/sheet106.xml" ContentType="application/vnd.openxmlformats-officedocument.spreadsheetml.worksheet+xml"/>
  <Override PartName="/xl/tables/table88.xml" ContentType="application/vnd.openxmlformats-officedocument.spreadsheetml.table+xml"/>
  <Override PartName="/xl/worksheets/sheet107.xml" ContentType="application/vnd.openxmlformats-officedocument.spreadsheetml.worksheet+xml"/>
  <Override PartName="/xl/tables/table89.xml" ContentType="application/vnd.openxmlformats-officedocument.spreadsheetml.table+xml"/>
  <Override PartName="/xl/worksheets/sheet108.xml" ContentType="application/vnd.openxmlformats-officedocument.spreadsheetml.worksheet+xml"/>
  <Override PartName="/xl/tables/table90.xml" ContentType="application/vnd.openxmlformats-officedocument.spreadsheetml.table+xml"/>
  <Override PartName="/xl/worksheets/sheet109.xml" ContentType="application/vnd.openxmlformats-officedocument.spreadsheetml.worksheet+xml"/>
  <Override PartName="/xl/tables/table91.xml" ContentType="application/vnd.openxmlformats-officedocument.spreadsheetml.table+xml"/>
  <Override PartName="/xl/worksheets/sheet110.xml" ContentType="application/vnd.openxmlformats-officedocument.spreadsheetml.worksheet+xml"/>
  <Override PartName="/xl/tables/table92.xml" ContentType="application/vnd.openxmlformats-officedocument.spreadsheetml.table+xml"/>
  <Override PartName="/xl/worksheets/sheet111.xml" ContentType="application/vnd.openxmlformats-officedocument.spreadsheetml.worksheet+xml"/>
  <Override PartName="/xl/tables/table93.xml" ContentType="application/vnd.openxmlformats-officedocument.spreadsheetml.table+xml"/>
  <Override PartName="/xl/worksheets/sheet112.xml" ContentType="application/vnd.openxmlformats-officedocument.spreadsheetml.worksheet+xml"/>
  <Override PartName="/xl/tables/table94.xml" ContentType="application/vnd.openxmlformats-officedocument.spreadsheetml.table+xml"/>
  <Override PartName="/xl/worksheets/sheet113.xml" ContentType="application/vnd.openxmlformats-officedocument.spreadsheetml.worksheet+xml"/>
  <Override PartName="/xl/tables/table95.xml" ContentType="application/vnd.openxmlformats-officedocument.spreadsheetml.table+xml"/>
  <Override PartName="/xl/worksheets/sheet114.xml" ContentType="application/vnd.openxmlformats-officedocument.spreadsheetml.worksheet+xml"/>
  <Override PartName="/xl/tables/table96.xml" ContentType="application/vnd.openxmlformats-officedocument.spreadsheetml.table+xml"/>
  <Override PartName="/xl/worksheets/sheet115.xml" ContentType="application/vnd.openxmlformats-officedocument.spreadsheetml.worksheet+xml"/>
  <Override PartName="/xl/tables/table97.xml" ContentType="application/vnd.openxmlformats-officedocument.spreadsheetml.table+xml"/>
  <Override PartName="/xl/worksheets/sheet116.xml" ContentType="application/vnd.openxmlformats-officedocument.spreadsheetml.worksheet+xml"/>
  <Override PartName="/xl/tables/table98.xml" ContentType="application/vnd.openxmlformats-officedocument.spreadsheetml.table+xml"/>
  <Override PartName="/xl/worksheets/sheet117.xml" ContentType="application/vnd.openxmlformats-officedocument.spreadsheetml.worksheet+xml"/>
  <Override PartName="/xl/drawings/drawing8.xml" ContentType="application/vnd.openxmlformats-officedocument.drawing+xml"/>
  <Override PartName="/xl/drawings/charts/chart8.xml" ContentType="application/vnd.openxmlformats-officedocument.drawingml.chart+xml"/>
  <Override PartName="/xl/worksheets/sheet118.xml" ContentType="application/vnd.openxmlformats-officedocument.spreadsheetml.worksheet+xml"/>
  <Override PartName="/xl/tables/table99.xml" ContentType="application/vnd.openxmlformats-officedocument.spreadsheetml.table+xml"/>
  <Override PartName="/xl/worksheets/sheet119.xml" ContentType="application/vnd.openxmlformats-officedocument.spreadsheetml.worksheet+xml"/>
  <Override PartName="/xl/tables/table100.xml" ContentType="application/vnd.openxmlformats-officedocument.spreadsheetml.table+xml"/>
  <Override PartName="/xl/worksheets/sheet120.xml" ContentType="application/vnd.openxmlformats-officedocument.spreadsheetml.worksheet+xml"/>
  <Override PartName="/xl/tables/table101.xml" ContentType="application/vnd.openxmlformats-officedocument.spreadsheetml.table+xml"/>
  <Override PartName="/xl/worksheets/sheet121.xml" ContentType="application/vnd.openxmlformats-officedocument.spreadsheetml.worksheet+xml"/>
  <Override PartName="/xl/tables/table102.xml" ContentType="application/vnd.openxmlformats-officedocument.spreadsheetml.table+xml"/>
  <Override PartName="/xl/worksheets/sheet122.xml" ContentType="application/vnd.openxmlformats-officedocument.spreadsheetml.worksheet+xml"/>
  <Override PartName="/xl/tables/table103.xml" ContentType="application/vnd.openxmlformats-officedocument.spreadsheetml.table+xml"/>
  <Override PartName="/xl/worksheets/sheet123.xml" ContentType="application/vnd.openxmlformats-officedocument.spreadsheetml.worksheet+xml"/>
  <Override PartName="/xl/tables/table104.xml" ContentType="application/vnd.openxmlformats-officedocument.spreadsheetml.table+xml"/>
  <Override PartName="/xl/worksheets/sheet124.xml" ContentType="application/vnd.openxmlformats-officedocument.spreadsheetml.worksheet+xml"/>
  <Override PartName="/xl/tables/table105.xml" ContentType="application/vnd.openxmlformats-officedocument.spreadsheetml.table+xml"/>
  <Override PartName="/xl/worksheets/sheet125.xml" ContentType="application/vnd.openxmlformats-officedocument.spreadsheetml.worksheet+xml"/>
  <Override PartName="/xl/tables/table106.xml" ContentType="application/vnd.openxmlformats-officedocument.spreadsheetml.table+xml"/>
  <Override PartName="/xl/worksheets/sheet126.xml" ContentType="application/vnd.openxmlformats-officedocument.spreadsheetml.worksheet+xml"/>
  <Override PartName="/xl/tables/table107.xml" ContentType="application/vnd.openxmlformats-officedocument.spreadsheetml.table+xml"/>
  <Override PartName="/xl/worksheets/sheet127.xml" ContentType="application/vnd.openxmlformats-officedocument.spreadsheetml.worksheet+xml"/>
  <Override PartName="/xl/tables/table108.xml" ContentType="application/vnd.openxmlformats-officedocument.spreadsheetml.table+xml"/>
  <Override PartName="/xl/worksheets/sheet128.xml" ContentType="application/vnd.openxmlformats-officedocument.spreadsheetml.worksheet+xml"/>
  <Override PartName="/xl/tables/table109.xml" ContentType="application/vnd.openxmlformats-officedocument.spreadsheetml.table+xml"/>
  <Override PartName="/xl/worksheets/sheet129.xml" ContentType="application/vnd.openxmlformats-officedocument.spreadsheetml.worksheet+xml"/>
  <Override PartName="/xl/tables/table110.xml" ContentType="application/vnd.openxmlformats-officedocument.spreadsheetml.table+xml"/>
  <Override PartName="/xl/worksheets/sheet130.xml" ContentType="application/vnd.openxmlformats-officedocument.spreadsheetml.worksheet+xml"/>
  <Override PartName="/xl/drawings/drawing9.xml" ContentType="application/vnd.openxmlformats-officedocument.drawing+xml"/>
  <Override PartName="/xl/drawings/charts/chart9.xml" ContentType="application/vnd.openxmlformats-officedocument.drawingml.chart+xml"/>
  <Override PartName="/xl/worksheets/sheet131.xml" ContentType="application/vnd.openxmlformats-officedocument.spreadsheetml.worksheet+xml"/>
  <Override PartName="/xl/tables/table111.xml" ContentType="application/vnd.openxmlformats-officedocument.spreadsheetml.table+xml"/>
  <Override PartName="/xl/worksheets/sheet132.xml" ContentType="application/vnd.openxmlformats-officedocument.spreadsheetml.worksheet+xml"/>
  <Override PartName="/xl/tables/table112.xml" ContentType="application/vnd.openxmlformats-officedocument.spreadsheetml.table+xml"/>
  <Override PartName="/xl/worksheets/sheet133.xml" ContentType="application/vnd.openxmlformats-officedocument.spreadsheetml.worksheet+xml"/>
  <Override PartName="/xl/tables/table113.xml" ContentType="application/vnd.openxmlformats-officedocument.spreadsheetml.table+xml"/>
  <Override PartName="/xl/worksheets/sheet134.xml" ContentType="application/vnd.openxmlformats-officedocument.spreadsheetml.worksheet+xml"/>
  <Override PartName="/xl/tables/table114.xml" ContentType="application/vnd.openxmlformats-officedocument.spreadsheetml.table+xml"/>
  <Override PartName="/xl/worksheets/sheet135.xml" ContentType="application/vnd.openxmlformats-officedocument.spreadsheetml.worksheet+xml"/>
  <Override PartName="/xl/tables/table115.xml" ContentType="application/vnd.openxmlformats-officedocument.spreadsheetml.table+xml"/>
  <Override PartName="/xl/worksheets/sheet136.xml" ContentType="application/vnd.openxmlformats-officedocument.spreadsheetml.worksheet+xml"/>
  <Override PartName="/xl/tables/table116.xml" ContentType="application/vnd.openxmlformats-officedocument.spreadsheetml.table+xml"/>
  <Override PartName="/xl/worksheets/sheet137.xml" ContentType="application/vnd.openxmlformats-officedocument.spreadsheetml.worksheet+xml"/>
  <Override PartName="/xl/tables/table117.xml" ContentType="application/vnd.openxmlformats-officedocument.spreadsheetml.table+xml"/>
  <Override PartName="/xl/worksheets/sheet138.xml" ContentType="application/vnd.openxmlformats-officedocument.spreadsheetml.worksheet+xml"/>
  <Override PartName="/xl/tables/table118.xml" ContentType="application/vnd.openxmlformats-officedocument.spreadsheetml.table+xml"/>
  <Override PartName="/xl/worksheets/sheet139.xml" ContentType="application/vnd.openxmlformats-officedocument.spreadsheetml.worksheet+xml"/>
  <Override PartName="/xl/tables/table119.xml" ContentType="application/vnd.openxmlformats-officedocument.spreadsheetml.table+xml"/>
  <Override PartName="/xl/worksheets/sheet140.xml" ContentType="application/vnd.openxmlformats-officedocument.spreadsheetml.worksheet+xml"/>
  <Override PartName="/xl/tables/table120.xml" ContentType="application/vnd.openxmlformats-officedocument.spreadsheetml.table+xml"/>
  <Override PartName="/xl/worksheets/sheet141.xml" ContentType="application/vnd.openxmlformats-officedocument.spreadsheetml.worksheet+xml"/>
  <Override PartName="/xl/tables/table121.xml" ContentType="application/vnd.openxmlformats-officedocument.spreadsheetml.table+xml"/>
  <Override PartName="/xl/worksheets/sheet142.xml" ContentType="application/vnd.openxmlformats-officedocument.spreadsheetml.worksheet+xml"/>
  <Override PartName="/xl/tables/table122.xml" ContentType="application/vnd.openxmlformats-officedocument.spreadsheetml.table+xml"/>
  <Override PartName="/xl/worksheets/sheet143.xml" ContentType="application/vnd.openxmlformats-officedocument.spreadsheetml.worksheet+xml"/>
  <Override PartName="/xl/tables/table123.xml" ContentType="application/vnd.openxmlformats-officedocument.spreadsheetml.table+xml"/>
  <Override PartName="/xl/worksheets/sheet144.xml" ContentType="application/vnd.openxmlformats-officedocument.spreadsheetml.worksheet+xml"/>
  <Override PartName="/xl/tables/table124.xml" ContentType="application/vnd.openxmlformats-officedocument.spreadsheetml.table+xml"/>
  <Override PartName="/xl/worksheets/sheet145.xml" ContentType="application/vnd.openxmlformats-officedocument.spreadsheetml.worksheet+xml"/>
  <Override PartName="/xl/drawings/drawing10.xml" ContentType="application/vnd.openxmlformats-officedocument.drawing+xml"/>
  <Override PartName="/xl/drawings/charts/chart10.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bbcf4f01ee254784" /></Relationships>
</file>

<file path=xl/workbook.xml><?xml version="1.0" encoding="utf-8"?>
<x:workbook xmlns:x="http://schemas.openxmlformats.org/spreadsheetml/2006/main">
  <x:sheets>
    <x:sheet xmlns:r="http://schemas.openxmlformats.org/officeDocument/2006/relationships" name="Dashboard" sheetId="1" r:id="Rdab70e6593e0436c"/>
    <x:sheet xmlns:r="http://schemas.openxmlformats.org/officeDocument/2006/relationships" name="Exact Records" sheetId="2" r:id="R499f87b91a014b64"/>
    <x:sheet xmlns:r="http://schemas.openxmlformats.org/officeDocument/2006/relationships" name="Titled Leads" sheetId="3" r:id="R2b7eebd85fc14277"/>
    <x:sheet xmlns:r="http://schemas.openxmlformats.org/officeDocument/2006/relationships" name="Verification Log" sheetId="4" r:id="R5d9758eeea47495c"/>
    <x:sheet xmlns:r="http://schemas.openxmlformats.org/officeDocument/2006/relationships" name="Method &amp; Rights" sheetId="5" r:id="R35fa64e170884853"/>
    <x:sheet xmlns:r="http://schemas.openxmlformats.org/officeDocument/2006/relationships" name="People &amp; Riders" sheetId="6" r:id="Re62271d9703043bd"/>
    <x:sheet xmlns:r="http://schemas.openxmlformats.org/officeDocument/2006/relationships" name="Records &amp; Results" sheetId="7" r:id="R60e3d5a6d2234790"/>
    <x:sheet xmlns:r="http://schemas.openxmlformats.org/officeDocument/2006/relationships" name="Tracks &amp; Venues" sheetId="8" r:id="R0600a2b13c0e4788"/>
    <x:sheet xmlns:r="http://schemas.openxmlformats.org/officeDocument/2006/relationships" name="Brands &amp; Companies" sheetId="9" r:id="R4bf845c596fa4723"/>
    <x:sheet xmlns:r="http://schemas.openxmlformats.org/officeDocument/2006/relationships" name="Advertisements &amp; Ephemera" sheetId="10" r:id="Raf840f40aff6491a"/>
    <x:sheet xmlns:r="http://schemas.openxmlformats.org/officeDocument/2006/relationships" name="Relationships" sheetId="11" r:id="R4d6eb7ae29c74a7d"/>
    <x:sheet xmlns:r="http://schemas.openxmlformats.org/officeDocument/2006/relationships" name="HL-DB Overview" sheetId="12" r:id="Ra2005989d2214ba0"/>
    <x:sheet xmlns:r="http://schemas.openxmlformats.org/officeDocument/2006/relationships" name="HL-DB BMXMuseum Objects" sheetId="13" r:id="R5e51114751a840ee"/>
    <x:sheet xmlns:r="http://schemas.openxmlformats.org/officeDocument/2006/relationships" name="HL-DB Claims Ledger" sheetId="14" r:id="R6b395c30f8c143e8"/>
    <x:sheet xmlns:r="http://schemas.openxmlformats.org/officeDocument/2006/relationships" name="HL-DB Period Sources" sheetId="15" r:id="Ra7df63785f4b4910"/>
    <x:sheet xmlns:r="http://schemas.openxmlformats.org/officeDocument/2006/relationships" name="HL-DB Lititz Crosswalk" sheetId="16" r:id="R8bd06c2bd1fb45fd"/>
    <x:sheet xmlns:r="http://schemas.openxmlformats.org/officeDocument/2006/relationships" name="HL-DB Relationships" sheetId="17" r:id="Rfaef30c5bbf144ff"/>
    <x:sheet xmlns:r="http://schemas.openxmlformats.org/officeDocument/2006/relationships" name="HL-DB Open Questions" sheetId="18" r:id="R3fbd4f46ab4a4629"/>
    <x:sheet xmlns:r="http://schemas.openxmlformats.org/officeDocument/2006/relationships" name="Priority Expansion" sheetId="19" r:id="R16dca33c7ce44f41"/>
    <x:sheet xmlns:r="http://schemas.openxmlformats.org/officeDocument/2006/relationships" name="Alias Registry" sheetId="20" r:id="Rc3dd28a85e5a455a"/>
    <x:sheet xmlns:r="http://schemas.openxmlformats.org/officeDocument/2006/relationships" name="v0.4 Cluster Status" sheetId="21" r:id="R96bdaca6d8b1467b"/>
    <x:sheet xmlns:r="http://schemas.openxmlformats.org/officeDocument/2006/relationships" name="v0.4 BMXM Objects" sheetId="22" r:id="Rcd48f00baab843e3"/>
    <x:sheet xmlns:r="http://schemas.openxmlformats.org/officeDocument/2006/relationships" name="v0.4 Findings" sheetId="23" r:id="Rc9c89d84df3c4b10"/>
    <x:sheet xmlns:r="http://schemas.openxmlformats.org/officeDocument/2006/relationships" name="v0.4 Lititz Crosswalk" sheetId="24" r:id="R1dd83988fc024d6c"/>
    <x:sheet xmlns:r="http://schemas.openxmlformats.org/officeDocument/2006/relationships" name="v0.4 Sources" sheetId="25" r:id="R6795257b6a6b44f0"/>
    <x:sheet xmlns:r="http://schemas.openxmlformats.org/officeDocument/2006/relationships" name="v0.4 Open Questions" sheetId="26" r:id="R12edc556b86247f9"/>
    <x:sheet xmlns:r="http://schemas.openxmlformats.org/officeDocument/2006/relationships" name="v0.4 Scan Dashboard" sheetId="27" r:id="Rfd956a812b2641f8"/>
    <x:sheet xmlns:r="http://schemas.openxmlformats.org/officeDocument/2006/relationships" name="Price Sheets" sheetId="28" r:id="R1d2eaff2f06a4fe8"/>
    <x:sheet xmlns:r="http://schemas.openxmlformats.org/officeDocument/2006/relationships" name="Flyers" sheetId="29" r:id="R49125481744c402d"/>
    <x:sheet xmlns:r="http://schemas.openxmlformats.org/officeDocument/2006/relationships" name="Ephemera Search Log" sheetId="30" r:id="Rf39bf1054e7a424e"/>
    <x:sheet xmlns:r="http://schemas.openxmlformats.org/officeDocument/2006/relationships" name="v0.5 JMC Ephemera" sheetId="31" r:id="R2bcf2b5bec3c456b"/>
    <x:sheet xmlns:r="http://schemas.openxmlformats.org/officeDocument/2006/relationships" name="Reference Recovery" sheetId="32" r:id="R59515a39ae934309"/>
    <x:sheet xmlns:r="http://schemas.openxmlformats.org/officeDocument/2006/relationships" name="v0.5 Ephemera Dashboard" sheetId="33" r:id="R8ddb32e8a39744e2"/>
    <x:sheet xmlns:r="http://schemas.openxmlformats.org/officeDocument/2006/relationships" name="v0.6 GT-Dyno Objects" sheetId="34" r:id="R4870401595ac4bac"/>
    <x:sheet xmlns:r="http://schemas.openxmlformats.org/officeDocument/2006/relationships" name="v0.6 Price Benchmarks" sheetId="35" r:id="R0f06a6680a8a4cd3"/>
    <x:sheet xmlns:r="http://schemas.openxmlformats.org/officeDocument/2006/relationships" name="v0.6 Dashboard" sheetId="36" r:id="R77d67ecc8b8e44c2"/>
    <x:sheet xmlns:r="http://schemas.openxmlformats.org/officeDocument/2006/relationships" name="v0.7 Haro Objects" sheetId="37" r:id="R54cbc82ecd894390"/>
    <x:sheet xmlns:r="http://schemas.openxmlformats.org/officeDocument/2006/relationships" name="v0.7 Ashtabula" sheetId="38" r:id="Rd1cb55c8976247ff"/>
    <x:sheet xmlns:r="http://schemas.openxmlformats.org/officeDocument/2006/relationships" name="v0.7 Haro Price Context" sheetId="39" r:id="R9470e1b14af64366"/>
    <x:sheet xmlns:r="http://schemas.openxmlformats.org/officeDocument/2006/relationships" name="v0.7 Dashboard" sheetId="40" r:id="R2b026d5ba02c4df7"/>
    <x:sheet xmlns:r="http://schemas.openxmlformats.org/officeDocument/2006/relationships" name="v0.8 Brand Ephemera" sheetId="41" r:id="R848629542ad94b86"/>
    <x:sheet xmlns:r="http://schemas.openxmlformats.org/officeDocument/2006/relationships" name="v0.8 Price Benchmarks" sheetId="42" r:id="R47a10d13c5ed4643"/>
    <x:sheet xmlns:r="http://schemas.openxmlformats.org/officeDocument/2006/relationships" name="v0.8 Dashboard" sheetId="43" r:id="Rb0deef1f993c4bef"/>
    <x:sheet xmlns:r="http://schemas.openxmlformats.org/officeDocument/2006/relationships" name="v0.9 Flyer Register" sheetId="44" r:id="Rdd8666c32ed247b5"/>
    <x:sheet xmlns:r="http://schemas.openxmlformats.org/officeDocument/2006/relationships" name="v0.9 Dashboard" sheetId="45" r:id="R47a5ee7b83af4d8e"/>
    <x:sheet xmlns:r="http://schemas.openxmlformats.org/officeDocument/2006/relationships" name="v1.0 Master Ephemera" sheetId="46" r:id="Rc9765cde1ab4408f"/>
    <x:sheet xmlns:r="http://schemas.openxmlformats.org/officeDocument/2006/relationships" name="v1.0 Price Observations" sheetId="47" r:id="Rf4d86f7f02994529"/>
    <x:sheet xmlns:r="http://schemas.openxmlformats.org/officeDocument/2006/relationships" name="v1.0 Source Register" sheetId="48" r:id="Rfe03e27e806a40b0"/>
    <x:sheet xmlns:r="http://schemas.openxmlformats.org/officeDocument/2006/relationships" name="v1.0 Chronology" sheetId="49" r:id="R2157e84600294135"/>
    <x:sheet xmlns:r="http://schemas.openxmlformats.org/officeDocument/2006/relationships" name="v1.0 Audit" sheetId="50" r:id="R681b2dbdc594491e"/>
    <x:sheet xmlns:r="http://schemas.openxmlformats.org/officeDocument/2006/relationships" name="v1.0 Preservation" sheetId="51" r:id="R706f8ca67d714cd5"/>
    <x:sheet xmlns:r="http://schemas.openxmlformats.org/officeDocument/2006/relationships" name="Version Changelog" sheetId="52" r:id="Racefeadc95914b84"/>
    <x:sheet xmlns:r="http://schemas.openxmlformats.org/officeDocument/2006/relationships" name="v1.0 Dashboard" sheetId="53" r:id="R9d585a7403a8445b"/>
    <x:sheet xmlns:r="http://schemas.openxmlformats.org/officeDocument/2006/relationships" name="Authentication Scale" sheetId="54" r:id="R45a737db7f2e42bc"/>
    <x:sheet xmlns:r="http://schemas.openxmlformats.org/officeDocument/2006/relationships" name="Captured Evidence" sheetId="55" r:id="R7cbb7d2b3c68414d"/>
    <x:sheet xmlns:r="http://schemas.openxmlformats.org/officeDocument/2006/relationships" name="Provisional Conclusions" sheetId="56" r:id="R181d738d8f5840da"/>
    <x:sheet xmlns:r="http://schemas.openxmlformats.org/officeDocument/2006/relationships" name="Claim Grades" sheetId="57" r:id="Ra7560f8861484bef"/>
    <x:sheet xmlns:r="http://schemas.openxmlformats.org/officeDocument/2006/relationships" name="Evidence Gates" sheetId="58" r:id="Rfad5826d13a347d4"/>
    <x:sheet xmlns:r="http://schemas.openxmlformats.org/officeDocument/2006/relationships" name="Auth Source Register" sheetId="59" r:id="Rce496b5fabbd4dab"/>
    <x:sheet xmlns:r="http://schemas.openxmlformats.org/officeDocument/2006/relationships" name="v1.1 Auth Dashboard" sheetId="60" r:id="Rbf710a3d8a1f4a19"/>
    <x:sheet xmlns:r="http://schemas.openxmlformats.org/officeDocument/2006/relationships" name="Physical Evidence Roadmap" sheetId="61" r:id="R75c22e474c514d1f"/>
    <x:sheet xmlns:r="http://schemas.openxmlformats.org/officeDocument/2006/relationships" name="Physical Capture SOP" sheetId="62" r:id="Rdfa5680515bc43c1"/>
    <x:sheet xmlns:r="http://schemas.openxmlformats.org/officeDocument/2006/relationships" name="v1.2 Cluster Status" sheetId="63" r:id="Re78c0406c013411a"/>
    <x:sheet xmlns:r="http://schemas.openxmlformats.org/officeDocument/2006/relationships" name="v1.2 Findings" sheetId="64" r:id="Rf0922df7403243f7"/>
    <x:sheet xmlns:r="http://schemas.openxmlformats.org/officeDocument/2006/relationships" name="v1.2 BMXM Objects" sheetId="65" r:id="R0dbb03d3d2b24832"/>
    <x:sheet xmlns:r="http://schemas.openxmlformats.org/officeDocument/2006/relationships" name="v1.2 Sources" sheetId="66" r:id="R2675bae5c1564394"/>
    <x:sheet xmlns:r="http://schemas.openxmlformats.org/officeDocument/2006/relationships" name="v1.2 Open Questions" sheetId="67" r:id="R89fbd5fe39c34edf"/>
    <x:sheet xmlns:r="http://schemas.openxmlformats.org/officeDocument/2006/relationships" name="v1.2 Continuation Dashboard" sheetId="68" r:id="R64e3ff5ed9004123"/>
    <x:sheet xmlns:r="http://schemas.openxmlformats.org/officeDocument/2006/relationships" name="Permission Request" sheetId="69" r:id="R8dabb1f8500542c8"/>
    <x:sheet xmlns:r="http://schemas.openxmlformats.org/officeDocument/2006/relationships" name="Metadata Field Spec" sheetId="70" r:id="Rcb97f51583cd4dac"/>
    <x:sheet xmlns:r="http://schemas.openxmlformats.org/officeDocument/2006/relationships" name="Safeguards &amp; Exclusions" sheetId="71" r:id="R66ca4a087a8245b5"/>
    <x:sheet xmlns:r="http://schemas.openxmlformats.org/officeDocument/2006/relationships" name="Contact Verification" sheetId="72" r:id="R6652c0af372e4fe0"/>
    <x:sheet xmlns:r="http://schemas.openxmlformats.org/officeDocument/2006/relationships" name="v1.3 Recovery Findings" sheetId="73" r:id="Rfb95b9a2eebd40d8"/>
    <x:sheet xmlns:r="http://schemas.openxmlformats.org/officeDocument/2006/relationships" name="Pilot Scope" sheetId="74" r:id="R8e18ae64c7ec4657"/>
    <x:sheet xmlns:r="http://schemas.openxmlformats.org/officeDocument/2006/relationships" name="v1.3 Permission Dashboard" sheetId="75" r:id="Rab721fae7731478a"/>
    <x:sheet xmlns:r="http://schemas.openxmlformats.org/officeDocument/2006/relationships" name="v1.4 DIRTWERX Chronology" sheetId="76" r:id="R6551cd45c02e423e"/>
    <x:sheet xmlns:r="http://schemas.openxmlformats.org/officeDocument/2006/relationships" name="v1.4 DIRTWERX Products" sheetId="77" r:id="R8fccc11ef66a447f"/>
    <x:sheet xmlns:r="http://schemas.openxmlformats.org/officeDocument/2006/relationships" name="v1.4 DIRTWERX Team" sheetId="78" r:id="Rc24ad1606f374033"/>
    <x:sheet xmlns:r="http://schemas.openxmlformats.org/officeDocument/2006/relationships" name="v1.4 GHP Chronology" sheetId="79" r:id="R3e4d892f8f4e4292"/>
    <x:sheet xmlns:r="http://schemas.openxmlformats.org/officeDocument/2006/relationships" name="v1.4 GHP Products &amp; Team" sheetId="80" r:id="R38d6137127aa47f3"/>
    <x:sheet xmlns:r="http://schemas.openxmlformats.org/officeDocument/2006/relationships" name="v1.4 Lititz Crosswalk" sheetId="81" r:id="Ra8c857697adb4c57"/>
    <x:sheet xmlns:r="http://schemas.openxmlformats.org/officeDocument/2006/relationships" name="v1.4 Claims Ledger" sheetId="82" r:id="Rdcc6168ade984afc"/>
    <x:sheet xmlns:r="http://schemas.openxmlformats.org/officeDocument/2006/relationships" name="v1.4 Period Sources" sheetId="83" r:id="Rd9ba574e965848c0"/>
    <x:sheet xmlns:r="http://schemas.openxmlformats.org/officeDocument/2006/relationships" name="v1.4 Relationship Map" sheetId="84" r:id="R1a9fdff73de24589"/>
    <x:sheet xmlns:r="http://schemas.openxmlformats.org/officeDocument/2006/relationships" name="v1.4 Corrections" sheetId="85" r:id="Re779a4b682294838"/>
    <x:sheet xmlns:r="http://schemas.openxmlformats.org/officeDocument/2006/relationships" name="v1.4 Open Questions" sheetId="86" r:id="R3793112247724954"/>
    <x:sheet xmlns:r="http://schemas.openxmlformats.org/officeDocument/2006/relationships" name="v1.4 Deep Dossier Dashboard" sheetId="87" r:id="Re1410a5e9b8a4fee"/>
    <x:sheet xmlns:r="http://schemas.openxmlformats.org/officeDocument/2006/relationships" name="JMC Master Chronology" sheetId="88" r:id="R3b84d8900a574739"/>
    <x:sheet xmlns:r="http://schemas.openxmlformats.org/officeDocument/2006/relationships" name="JMC Model Register" sheetId="89" r:id="R2a3da639b9db41e5"/>
    <x:sheet xmlns:r="http://schemas.openxmlformats.org/officeDocument/2006/relationships" name="JMC Serial Rules" sheetId="90" r:id="R3bd9534fd5a54efd"/>
    <x:sheet xmlns:r="http://schemas.openxmlformats.org/officeDocument/2006/relationships" name="JMC Firsts &amp; Production" sheetId="91" r:id="R2c1725e3f76d491a"/>
    <x:sheet xmlns:r="http://schemas.openxmlformats.org/officeDocument/2006/relationships" name="JMC Period Tests" sheetId="92" r:id="R614031c4fd9c4a0c"/>
    <x:sheet xmlns:r="http://schemas.openxmlformats.org/officeDocument/2006/relationships" name="JMC Team &amp; Riders" sheetId="93" r:id="R44cb23167d7a4162"/>
    <x:sheet xmlns:r="http://schemas.openxmlformats.org/officeDocument/2006/relationships" name="JMC BMXM Objects" sheetId="94" r:id="R8f6a38dfe4c64e48"/>
    <x:sheet xmlns:r="http://schemas.openxmlformats.org/officeDocument/2006/relationships" name="JMC Ephemera" sheetId="95" r:id="R74cb23dd17eb4795"/>
    <x:sheet xmlns:r="http://schemas.openxmlformats.org/officeDocument/2006/relationships" name="JMC Lititz Crosswalk" sheetId="96" r:id="R0bc8b798bd804bde"/>
    <x:sheet xmlns:r="http://schemas.openxmlformats.org/officeDocument/2006/relationships" name="JMC Claims Ledger" sheetId="97" r:id="Refe9030295994d5d"/>
    <x:sheet xmlns:r="http://schemas.openxmlformats.org/officeDocument/2006/relationships" name="JMC Relationships" sheetId="98" r:id="R1cce196f79874bb1"/>
    <x:sheet xmlns:r="http://schemas.openxmlformats.org/officeDocument/2006/relationships" name="JMC Corrections" sheetId="99" r:id="Rb0225e1d3871496f"/>
    <x:sheet xmlns:r="http://schemas.openxmlformats.org/officeDocument/2006/relationships" name="JMC Sources" sheetId="100" r:id="Rd447984a3a6a414b"/>
    <x:sheet xmlns:r="http://schemas.openxmlformats.org/officeDocument/2006/relationships" name="JMC Open Questions" sheetId="101" r:id="R41e4e5dabb7143e8"/>
    <x:sheet xmlns:r="http://schemas.openxmlformats.org/officeDocument/2006/relationships" name="v1.5 JMC Dashboard" sheetId="102" r:id="Re87ccb00b3d04229"/>
    <x:sheet xmlns:r="http://schemas.openxmlformats.org/officeDocument/2006/relationships" name="GT-Dyno Master Chronology" sheetId="103" r:id="R8ef9e40b6c374301"/>
    <x:sheet xmlns:r="http://schemas.openxmlformats.org/officeDocument/2006/relationships" name="GT Model Register" sheetId="104" r:id="R15fa977d56914f4b"/>
    <x:sheet xmlns:r="http://schemas.openxmlformats.org/officeDocument/2006/relationships" name="Dyno Model Register" sheetId="105" r:id="R81d516b541664f69"/>
    <x:sheet xmlns:r="http://schemas.openxmlformats.org/officeDocument/2006/relationships" name="GT-Dyno Catalog Matrix" sheetId="106" r:id="R695ebcf400ef437e"/>
    <x:sheet xmlns:r="http://schemas.openxmlformats.org/officeDocument/2006/relationships" name="GT-Dyno Serial Rules" sheetId="107" r:id="R6ee77cc194e34c77"/>
    <x:sheet xmlns:r="http://schemas.openxmlformats.org/officeDocument/2006/relationships" name="GT-Dyno People &amp; Teams" sheetId="108" r:id="Rfa551b2c98ee42e5"/>
    <x:sheet xmlns:r="http://schemas.openxmlformats.org/officeDocument/2006/relationships" name="GT-Dyno Period Sources" sheetId="109" r:id="R3e69cc95941743a2"/>
    <x:sheet xmlns:r="http://schemas.openxmlformats.org/officeDocument/2006/relationships" name="GT-Dyno BMXM Objects" sheetId="110" r:id="Rdefd55f9b391493a"/>
    <x:sheet xmlns:r="http://schemas.openxmlformats.org/officeDocument/2006/relationships" name="GT-Dyno Lititz Crosswalk" sheetId="111" r:id="R18d0f5c56adb4863"/>
    <x:sheet xmlns:r="http://schemas.openxmlformats.org/officeDocument/2006/relationships" name="GT-Dyno Claims Ledger" sheetId="112" r:id="R947b0d73e515489b"/>
    <x:sheet xmlns:r="http://schemas.openxmlformats.org/officeDocument/2006/relationships" name="GT-Dyno Corrections" sheetId="113" r:id="Ra68b2c53a2784929"/>
    <x:sheet xmlns:r="http://schemas.openxmlformats.org/officeDocument/2006/relationships" name="GT-Dyno Relationships" sheetId="114" r:id="R112a91be593743aa"/>
    <x:sheet xmlns:r="http://schemas.openxmlformats.org/officeDocument/2006/relationships" name="GT-Dyno Sources" sheetId="115" r:id="R30b62e425a784bb8"/>
    <x:sheet xmlns:r="http://schemas.openxmlformats.org/officeDocument/2006/relationships" name="GT-Dyno Open Questions" sheetId="116" r:id="R9ff401d185b947e9"/>
    <x:sheet xmlns:r="http://schemas.openxmlformats.org/officeDocument/2006/relationships" name="v1.6 GT-Dyno Dashboard" sheetId="117" r:id="Rc99a98afab0e41d8"/>
    <x:sheet xmlns:r="http://schemas.openxmlformats.org/officeDocument/2006/relationships" name="v1.7 Brand Coverage" sheetId="118" r:id="R7a626bab61ab4f36"/>
    <x:sheet xmlns:r="http://schemas.openxmlformats.org/officeDocument/2006/relationships" name="v1.7 Catalog Register" sheetId="119" r:id="Re5b476f298ae41f0"/>
    <x:sheet xmlns:r="http://schemas.openxmlformats.org/officeDocument/2006/relationships" name="v1.7 Advertisements" sheetId="120" r:id="R889a8a1ca67e4d92"/>
    <x:sheet xmlns:r="http://schemas.openxmlformats.org/officeDocument/2006/relationships" name="v1.7 Flyers &amp; Mailers" sheetId="121" r:id="Rc726306526a84227"/>
    <x:sheet xmlns:r="http://schemas.openxmlformats.org/officeDocument/2006/relationships" name="v1.7 Price Sheet Register" sheetId="122" r:id="R8a45a169a1454303"/>
    <x:sheet xmlns:r="http://schemas.openxmlformats.org/officeDocument/2006/relationships" name="v1.7 Price Observations" sheetId="123" r:id="R916cb9d383ad4e51"/>
    <x:sheet xmlns:r="http://schemas.openxmlformats.org/officeDocument/2006/relationships" name="v1.7 BMXM Source Leads" sheetId="124" r:id="Rdc1919e04d624ed6"/>
    <x:sheet xmlns:r="http://schemas.openxmlformats.org/officeDocument/2006/relationships" name="v1.7 Lititz Crosswalk" sheetId="125" r:id="Re6dc9b39da8d4c09"/>
    <x:sheet xmlns:r="http://schemas.openxmlformats.org/officeDocument/2006/relationships" name="v1.7 Rights Matrix" sheetId="126" r:id="R396295a2d46b489d"/>
    <x:sheet xmlns:r="http://schemas.openxmlformats.org/officeDocument/2006/relationships" name="v1.7 Corrections" sheetId="127" r:id="Rec37784b6039489d"/>
    <x:sheet xmlns:r="http://schemas.openxmlformats.org/officeDocument/2006/relationships" name="v1.7 Sources" sheetId="128" r:id="R7c055e5b077a4167"/>
    <x:sheet xmlns:r="http://schemas.openxmlformats.org/officeDocument/2006/relationships" name="v1.7 Open Questions" sheetId="129" r:id="R30ef3260d78e48e5"/>
    <x:sheet xmlns:r="http://schemas.openxmlformats.org/officeDocument/2006/relationships" name="v1.7 Ephemera Dashboard" sheetId="130" r:id="Rd5f7a5abd329472b"/>
    <x:sheet xmlns:r="http://schemas.openxmlformats.org/officeDocument/2006/relationships" name="Public Record Types" sheetId="131" r:id="R4595184d02ed4706"/>
    <x:sheet xmlns:r="http://schemas.openxmlformats.org/officeDocument/2006/relationships" name="Public Field Dictionary" sheetId="132" r:id="R467ab574e5064678"/>
    <x:sheet xmlns:r="http://schemas.openxmlformats.org/officeDocument/2006/relationships" name="Public Page Sections" sheetId="133" r:id="Rd4e09a138f814934"/>
    <x:sheet xmlns:r="http://schemas.openxmlformats.org/officeDocument/2006/relationships" name="Claim Card Schema" sheetId="134" r:id="R00155474c92a4d33"/>
    <x:sheet xmlns:r="http://schemas.openxmlformats.org/officeDocument/2006/relationships" name="Source Card Schema" sheetId="135" r:id="R80e41b23121c4647"/>
    <x:sheet xmlns:r="http://schemas.openxmlformats.org/officeDocument/2006/relationships" name="Relationship Schema" sheetId="136" r:id="Rbb75ac1d3d124231"/>
    <x:sheet xmlns:r="http://schemas.openxmlformats.org/officeDocument/2006/relationships" name="Publication Gates" sheetId="137" r:id="Refbea3ca7ca747d9"/>
    <x:sheet xmlns:r="http://schemas.openxmlformats.org/officeDocument/2006/relationships" name="URL SEO Accessibility" sheetId="138" r:id="R2fa0f2a8b7534413"/>
    <x:sheet xmlns:r="http://schemas.openxmlformats.org/officeDocument/2006/relationships" name="JSON-LD Mapping" sheetId="139" r:id="R5c4beff7079e4474"/>
    <x:sheet xmlns:r="http://schemas.openxmlformats.org/officeDocument/2006/relationships" name="Public Build Queue" sheetId="140" r:id="R4a9a5319d6cb4bf5"/>
    <x:sheet xmlns:r="http://schemas.openxmlformats.org/officeDocument/2006/relationships" name="Sample Public Records" sheetId="141" r:id="R9beca9505b634163"/>
    <x:sheet xmlns:r="http://schemas.openxmlformats.org/officeDocument/2006/relationships" name="v1.8 Recovery Findings" sheetId="142" r:id="Rfcbe3e788edc4a5c"/>
    <x:sheet xmlns:r="http://schemas.openxmlformats.org/officeDocument/2006/relationships" name="v1.8 Recovery Sources" sheetId="143" r:id="R19b12109899742df"/>
    <x:sheet xmlns:r="http://schemas.openxmlformats.org/officeDocument/2006/relationships" name="v1.8 Recovery Queue" sheetId="144" r:id="R1e537bb268c44b6c"/>
    <x:sheet xmlns:r="http://schemas.openxmlformats.org/officeDocument/2006/relationships" name="v1.8 Public Dashboard" sheetId="145" r:id="R8b091a84f2ef493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0"/>
  </x:numFmts>
  <x:fonts count="40">
    <x:font>
      <x:sz val="11"/>
      <x:name val="Carlito"/>
    </x:font>
    <x:font>
      <x:b/>
      <x:sz val="16"/>
      <x:color rgb="FFFFFFFF"/>
      <x:name val="Carlito"/>
    </x:font>
    <x:font>
      <x:b/>
      <x:sz val="11"/>
      <x:color rgb="FF1F1F1F"/>
      <x:name val="Carlito"/>
    </x:font>
    <x:font>
      <x:b/>
      <x:sz val="11"/>
      <x:color rgb="FFFFFFFF"/>
      <x:name val="Carlito"/>
    </x:font>
    <x:font>
      <x:b/>
      <x:sz val="11"/>
      <x:color rgb="FF7F6000"/>
      <x:name val="Carlito"/>
    </x:font>
    <x:font>
      <x:i/>
      <x:sz val="11"/>
      <x:color rgb="FF1F1F1F"/>
      <x:name val="Carlito"/>
    </x:font>
    <x:font>
      <x:b/>
      <x:i/>
      <x:sz val="11"/>
      <x:color rgb="FF7F6000"/>
      <x:name val="Carlito"/>
    </x:font>
    <x:font>
      <x:i/>
      <x:sz val="11"/>
      <x:color rgb="FF7F6000"/>
      <x:name val="Carlito"/>
    </x:font>
    <x:font>
      <x:sz val="11"/>
      <x:color rgb="FF1F1F1F"/>
      <x:name val="Carlito"/>
    </x:font>
    <x:font>
      <x:sz val="11"/>
      <x:color rgb="FF9C0006"/>
      <x:name val="Carlito"/>
    </x:font>
    <x:font>
      <x:sz val="11"/>
      <x:color rgb="FF7F6000"/>
      <x:name val="Carlito"/>
    </x:font>
    <x:font>
      <x:b/>
      <x:sz val="11"/>
      <x:color rgb="FF375623"/>
      <x:name val="Carlito"/>
    </x:font>
    <x:font>
      <x:b/>
      <x:sz val="11"/>
      <x:color rgb="FF17365D"/>
      <x:name val="Carlito"/>
    </x:font>
    <x:font>
      <x:b/>
      <x:sz val="14"/>
      <x:color rgb="FFFFFFFF"/>
      <x:name val="Carlito"/>
    </x:font>
    <x:font>
      <x:i/>
      <x:sz val="11"/>
      <x:color rgb="FF1F2937"/>
      <x:name val="Carlito"/>
    </x:font>
    <x:font>
      <x:sz val="9"/>
      <x:name val="Carlito"/>
    </x:font>
    <x:font>
      <x:b/>
      <x:i/>
      <x:sz val="11"/>
      <x:color rgb="FF1F2937"/>
      <x:name val="Carlito"/>
    </x:font>
    <x:font>
      <x:sz val="9"/>
      <x:color rgb="FF1F1F1F"/>
      <x:name val="Carlito"/>
    </x:font>
    <x:font>
      <x:b/>
      <x:i/>
      <x:sz val="9"/>
      <x:color rgb="FF7F6000"/>
      <x:name val="Carlito"/>
    </x:font>
    <x:font>
      <x:i/>
      <x:sz val="9"/>
      <x:color rgb="FF7F6000"/>
      <x:name val="Carlito"/>
    </x:font>
    <x:font>
      <x:sz val="9"/>
      <x:color rgb="FF7F6000"/>
      <x:name val="Carlito"/>
    </x:font>
    <x:font>
      <x:b/>
      <x:sz val="9"/>
      <x:color rgb="FFFFFFFF"/>
      <x:name val="Carlito"/>
    </x:font>
    <x:font>
      <x:b/>
      <x:sz val="9"/>
      <x:color rgb="FF375623"/>
      <x:name val="Carlito"/>
    </x:font>
    <x:font>
      <x:b/>
      <x:sz val="9"/>
      <x:color rgb="FF7F6000"/>
      <x:name val="Carlito"/>
    </x:font>
    <x:font>
      <x:i/>
      <x:sz val="9"/>
      <x:color rgb="FF1F1F1F"/>
      <x:name val="Carlito"/>
    </x:font>
    <x:font>
      <x:b/>
      <x:sz val="9"/>
      <x:color rgb="FF1F4E78"/>
      <x:name val="Carlito"/>
    </x:font>
    <x:font>
      <x:b/>
      <x:sz val="11"/>
      <x:color rgb="FF1F4E78"/>
      <x:name val="Carlito"/>
    </x:font>
    <x:font>
      <x:b/>
      <x:sz val="18"/>
      <x:color rgb="FFFFFFFF"/>
      <x:name val="Carlito"/>
    </x:font>
    <x:font>
      <x:i/>
      <x:sz val="10"/>
      <x:color rgb="FF1F2937"/>
      <x:name val="Carlito"/>
    </x:font>
    <x:font>
      <x:b/>
      <x:sz val="10"/>
      <x:color rgb="FFFFFFFF"/>
      <x:name val="Carlito"/>
    </x:font>
    <x:font>
      <x:sz val="9"/>
      <x:color rgb="FF1F2937"/>
      <x:name val="Carlito"/>
    </x:font>
    <x:font>
      <x:sz val="11"/>
      <x:color rgb="FF1F2937"/>
      <x:name val="Carlito"/>
    </x:font>
    <x:font>
      <x:b/>
      <x:sz val="12"/>
      <x:color rgb="FFFFFFFF"/>
      <x:name val="Carlito"/>
    </x:font>
    <x:font>
      <x:b/>
      <x:sz val="13"/>
      <x:name val="Carlito"/>
    </x:font>
    <x:font>
      <x:b/>
      <x:sz val="11"/>
      <x:name val="Carlito"/>
    </x:font>
    <x:font>
      <x:b/>
      <x:sz val="11"/>
      <x:color rgb="FF274E13"/>
      <x:name val="Carlito"/>
    </x:font>
    <x:font>
      <x:b/>
      <x:sz val="12"/>
      <x:color rgb="FF274E13"/>
      <x:name val="Carlito"/>
    </x:font>
    <x:font>
      <x:b/>
      <x:i/>
      <x:sz val="16"/>
      <x:color rgb="FF7F6000"/>
      <x:name val="Carlito"/>
    </x:font>
    <x:font>
      <x:b/>
      <x:i/>
      <x:sz val="11"/>
      <x:color rgb="FF1F1F1F"/>
      <x:name val="Carlito"/>
    </x:font>
    <x:font>
      <x:b/>
      <x:i/>
      <x:sz val="12"/>
      <x:color rgb="FF7F6000"/>
      <x:name val="Carlito"/>
    </x:font>
  </x:fonts>
  <x:fills count="7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2F75B5"/>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FFFFFF"/>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CE4D6"/>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E2F0D9"/>
      </x:patternFill>
    </x:fill>
    <x:fill>
      <x:patternFill patternType="solid">
        <x:fgColor rgb="FFFFF2CC"/>
      </x:patternFill>
    </x:fill>
    <x:fill>
      <x:patternFill patternType="solid">
        <x:fgColor rgb="FF17365D"/>
      </x:patternFill>
    </x:fill>
    <x:fill>
      <x:patternFill patternType="solid">
        <x:fgColor rgb="FFDCE6F1"/>
      </x:patternFill>
    </x:fill>
    <x:fill>
      <x:patternFill patternType="solid">
        <x:fgColor rgb="FF4472C4"/>
      </x:patternFill>
    </x:fill>
    <x:fill>
      <x:patternFill patternType="solid">
        <x:fgColor rgb="FF5B9BD5"/>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EEF5FB"/>
      </x:patternFill>
    </x:fill>
    <x:fill>
      <x:patternFill patternType="solid">
        <x:fgColor rgb="FFE2F0D9"/>
      </x:patternFill>
    </x:fill>
    <x:fill>
      <x:patternFill patternType="solid">
        <x:fgColor rgb="FFFFF2CC"/>
      </x:patternFill>
    </x:fill>
    <x:fill>
      <x:patternFill patternType="solid">
        <x:fgColor rgb="FFFFFFFF"/>
      </x:patternFill>
    </x:fill>
    <x:fill>
      <x:patternFill patternType="solid">
        <x:fgColor rgb="FF16324F"/>
      </x:patternFill>
    </x:fill>
    <x:fill>
      <x:patternFill patternType="solid">
        <x:fgColor rgb="FFE7F0F8"/>
      </x:patternFill>
    </x:fill>
    <x:fill>
      <x:patternFill patternType="solid">
        <x:fgColor rgb="FF1F6F78"/>
      </x:patternFill>
    </x:fill>
    <x:fill>
      <x:patternFill patternType="solid">
        <x:fgColor rgb="FFFFFFFF"/>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D9EAD3"/>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D9EAD3"/>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D9EAD3"/>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D9EAD3"/>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D9EAD3"/>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D9EAD3"/>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D9EAD3"/>
      </x:patternFill>
    </x:fill>
    <x:fill>
      <x:patternFill patternType="solid">
        <x:fgColor rgb="FFFFF2CC"/>
      </x:patternFill>
    </x:fill>
  </x:fills>
  <x:borders count="26">
    <x:border/>
    <x:border/>
    <x:border/>
    <x:border/>
    <x:border/>
    <x:border/>
    <x:border/>
    <x:border/>
    <x:border/>
    <x:border/>
    <x:border/>
    <x:border/>
    <x:border/>
    <x:border/>
    <x:border/>
    <x:border>
      <x:bottom style="thin">
        <x:color rgb="FF1F4E78"/>
      </x:bottom>
    </x:border>
    <x:border>
      <x:right style="hair">
        <x:color rgb="FFB4C6E7"/>
      </x:right>
    </x:border>
    <x:border>
      <x:bottom style="hair">
        <x:color rgb="FFB4C6E7"/>
      </x:bottom>
    </x:border>
    <x:border>
      <x:right style="hair">
        <x:color rgb="FFB4C6E7"/>
      </x:right>
      <x:bottom style="hair">
        <x:color rgb="FFB4C6E7"/>
      </x:bottom>
    </x:border>
    <x:border/>
    <x:border/>
    <x:border/>
    <x:border/>
    <x:border/>
    <x:border/>
    <x:border/>
  </x:borders>
  <x:cellStyleXfs count="1">
    <x:xf numFmtId="0" fontId="0" fillId="0" borderId="0"/>
  </x:cellStyleXfs>
  <x:cellXfs count="66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horizontal="center" vertical="top"/>
    </x:xf>
    <x:xf numFmtId="0" fontId="2" fillId="3"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horizontal="center"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x:xf>
    <x:xf numFmtId="0" fontId="2" fillId="3"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horizontal="center"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left"/>
    </x:xf>
    <x:xf numFmtId="0" fontId="1" fillId="6" borderId="0" xfId="0" applyNumberFormat="1" applyFont="1" applyFill="1" applyBorder="1" applyAlignment="1">
      <x:alignment horizontal="left" vertic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horizontal="left" wrapText="1"/>
    </x:xf>
    <x:xf numFmtId="0" fontId="5" fillId="7" borderId="0" xfId="0" applyNumberFormat="1" applyFont="1" applyFill="1" applyBorder="1" applyAlignment="1">
      <x:alignment horizontal="left"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8" borderId="0" xfId="0" applyNumberFormat="1" applyFont="1" applyFill="1" applyBorder="1" applyAlignment="1">
      <x:alignment wrapText="1"/>
    </x:xf>
    <x:xf numFmtId="0" fontId="3" fillId="8" borderId="0" xfId="0" applyNumberFormat="1" applyFont="1" applyFill="1" applyBorder="1" applyAlignment="1">
      <x:alignment horizontal="center" vertical="top" wrapText="1"/>
    </x:xf>
    <x:xf numFmtId="0" fontId="3" fillId="8" borderId="2" xfId="0" applyNumberFormat="1" applyFont="1" applyFill="1" applyBorder="1" applyAlignment="1">
      <x:alignment horizontal="center" vertical="center" wrapText="1"/>
    </x:xf>
    <x:xf numFmtId="0" fontId="3" fillId="8" borderId="3" xfId="0" applyNumberFormat="1" applyFont="1" applyFill="1" applyBorder="1" applyAlignment="1">
      <x:alignment horizontal="center" vertical="center"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3" fillId="4" borderId="4" xfId="0" applyNumberFormat="1" applyFont="1" applyFill="1" applyBorder="1" applyAlignment="1">
      <x:alignment horizontal="center" vertical="top" wrapText="1"/>
    </x:xf>
    <x:xf numFmtId="0" fontId="3" fillId="4" borderId="5" xfId="0" applyNumberFormat="1" applyFont="1" applyFill="1" applyBorder="1" applyAlignment="1">
      <x:alignment horizontal="center"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7" fillId="9" borderId="0" xfId="0" applyNumberFormat="1" applyFont="1" applyFill="1" applyBorder="1" applyAlignment="1">
      <x:alignment vertical="top" wrapText="1"/>
    </x:xf>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horizontal="left" wrapText="1"/>
    </x:xf>
    <x:xf numFmtId="0" fontId="5" fillId="3" borderId="0" xfId="0" applyNumberFormat="1" applyFont="1" applyFill="1" applyBorder="1" applyAlignment="1">
      <x:alignment horizontal="left" vertical="center" wrapText="1"/>
    </x:xf>
    <x:xf numFmtId="0" fontId="2"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1" fillId="10" borderId="0" xfId="0" applyNumberFormat="1" applyFont="1" applyFill="1" applyBorder="1" applyAlignment="1">
      <x:alignment horizontal="center" vertical="top"/>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horizontal="center"/>
    </x:xf>
    <x:xf numFmtId="0" fontId="1" fillId="10" borderId="0" xfId="0" applyNumberFormat="1" applyFont="1" applyFill="1" applyBorder="1" applyAlignment="1">
      <x:alignment horizontal="center" vertical="center"/>
    </x:xf>
    <x:xf numFmtId="0" fontId="0" fillId="11" borderId="2" xfId="0" applyNumberFormat="1" applyFont="1" applyFill="1" applyBorder="1" applyAlignment="1">
      <x:alignment vertical="top" wrapText="1"/>
    </x:xf>
    <x:xf numFmtId="0" fontId="3" fillId="11" borderId="2" xfId="0" applyNumberFormat="1" applyFont="1" applyFill="1" applyBorder="1" applyAlignment="1">
      <x:alignment horizontal="center" vertical="top" wrapText="1"/>
    </x:xf>
    <x:xf numFmtId="0" fontId="8" fillId="11" borderId="2" xfId="0" applyNumberFormat="1" applyFont="1" applyFill="1" applyBorder="1" applyAlignment="1">
      <x:alignment vertical="top" wrapText="1"/>
    </x:xf>
    <x:xf numFmtId="0" fontId="8" fillId="11" borderId="2" xfId="0" applyNumberFormat="1" applyFont="1" applyFill="1" applyBorder="1" applyAlignment="1">
      <x:alignment horizontal="center" vertical="top" wrapText="1"/>
    </x:xf>
    <x:xf numFmtId="0" fontId="8" fillId="11" borderId="8" xfId="0" applyNumberFormat="1" applyFont="1" applyFill="1" applyBorder="1" applyAlignment="1">
      <x:alignment vertical="top" wrapText="1"/>
    </x:xf>
    <x:xf numFmtId="0" fontId="8" fillId="11" borderId="8" xfId="0" applyNumberFormat="1" applyFont="1" applyFill="1" applyBorder="1" applyAlignment="1">
      <x:alignment horizontal="center" vertical="top" wrapText="1"/>
    </x:xf>
    <x:xf numFmtId="0" fontId="8" fillId="11" borderId="8" xfId="0" applyNumberFormat="1" applyFont="1" applyFill="1" applyBorder="1" applyAlignment="1">
      <x:alignment vertical="center" wrapText="1"/>
    </x:xf>
    <x:xf numFmtId="0" fontId="8" fillId="11" borderId="8" xfId="0" applyNumberFormat="1" applyFont="1" applyFill="1" applyBorder="1" applyAlignment="1">
      <x:alignment horizontal="center" vertical="center"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horizontal="center" vertical="top" wrapText="1"/>
    </x:xf>
    <x:xf numFmtId="0" fontId="8" fillId="11" borderId="0" xfId="0" applyNumberFormat="1" applyFont="1" applyFill="1" applyBorder="1" applyAlignment="1">
      <x:alignment vertical="top" wrapText="1"/>
    </x:xf>
    <x:xf numFmtId="0" fontId="8" fillId="11" borderId="0" xfId="0" applyNumberFormat="1" applyFont="1" applyFill="1" applyBorder="1" applyAlignment="1">
      <x:alignment horizontal="center" vertical="top" wrapText="1"/>
    </x:xf>
    <x:xf numFmtId="0" fontId="8" fillId="11" borderId="8" xfId="0" applyNumberFormat="1" applyFont="1" applyFill="1" applyBorder="1" applyAlignment="1">
      <x:alignment horizontal="right" vertical="center" wrapText="1"/>
    </x:xf>
    <x:xf numFmtId="0" fontId="8" fillId="11" borderId="0" xfId="0" applyNumberFormat="1" applyFont="1" applyFill="1" applyBorder="1" applyAlignment="1">
      <x:alignment vertical="center" wrapText="1"/>
    </x:xf>
    <x:xf numFmtId="0" fontId="8" fillId="11" borderId="0" xfId="0" applyNumberFormat="1" applyFont="1" applyFill="1" applyBorder="1" applyAlignment="1">
      <x:alignment horizontal="center" vertical="center" wrapText="1"/>
    </x:xf>
    <x:xf numFmtId="0" fontId="8" fillId="11" borderId="0" xfId="0" applyNumberFormat="1" applyFont="1" applyFill="1" applyBorder="1" applyAlignment="1">
      <x:alignment horizontal="right"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horizontal="left"/>
    </x:xf>
    <x:xf numFmtId="0" fontId="1" fillId="12" borderId="0" xfId="0" applyNumberFormat="1" applyFont="1" applyFill="1" applyBorder="1" applyAlignment="1">
      <x:alignment horizontal="left" vertical="center"/>
    </x:xf>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wrapText="1"/>
    </x:xf>
    <x:xf numFmtId="0" fontId="5" fillId="13" borderId="0" xfId="0" applyNumberFormat="1" applyFont="1" applyFill="1" applyBorder="1" applyAlignment="1">
      <x:alignment horizontal="left" wrapText="1"/>
    </x:xf>
    <x:xf numFmtId="0" fontId="5" fillId="13" borderId="0" xfId="0" applyNumberFormat="1" applyFont="1" applyFill="1" applyBorder="1" applyAlignment="1">
      <x:alignment horizontal="left" vertical="center"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wrapText="1"/>
    </x:xf>
    <x:xf numFmtId="0" fontId="3" fillId="14" borderId="0" xfId="0" applyNumberFormat="1" applyFont="1" applyFill="1" applyBorder="1" applyAlignment="1">
      <x:alignment horizontal="center" wrapText="1"/>
    </x:xf>
    <x:xf numFmtId="0" fontId="3" fillId="14" borderId="0" xfId="0" applyNumberFormat="1" applyFont="1" applyFill="1" applyBorder="1" applyAlignment="1">
      <x:alignment horizontal="center" vertical="center" wrapText="1"/>
    </x:xf>
    <x:xf numFmtId="0" fontId="0" fillId="15" borderId="0" xfId="0" applyNumberFormat="1" applyFont="1" applyFill="1" applyBorder="1" applyAlignment="1">
      <x:alignment wrapText="1"/>
    </x:xf>
    <x:xf numFmtId="0" fontId="9" fillId="15" borderId="0" xfId="0" applyNumberFormat="1" applyFont="1" applyFill="1" applyBorder="1" applyAlignment="1">
      <x:alignment wrapText="1"/>
    </x:xf>
    <x:xf numFmtId="0" fontId="1" fillId="12" borderId="0" xfId="0" applyNumberFormat="1" applyFont="1" applyFill="1" applyBorder="1" applyAlignment="1">
      <x:alignment horizontal="center" vertical="center"/>
    </x:xf>
    <x:xf numFmtId="0" fontId="0" fillId="16" borderId="0" xfId="0" applyNumberFormat="1" applyFont="1" applyFill="1" applyBorder="1" applyAlignment="1">
      <x:alignment vertical="top"/>
    </x:xf>
    <x:xf numFmtId="0" fontId="0" fillId="16" borderId="0" xfId="0" applyNumberFormat="1" applyFont="1" applyFill="1" applyBorder="1"/>
    <x:xf numFmtId="0" fontId="3" fillId="16" borderId="0" xfId="0" applyNumberFormat="1" applyFont="1" applyFill="1" applyBorder="1" applyAlignment="1">
      <x:alignment horizontal="center" vertical="center" wrapText="1"/>
    </x:xf>
    <x:xf numFmtId="0" fontId="5" fillId="16" borderId="0" xfId="0" applyNumberFormat="1" applyFont="1" applyFill="1" applyBorder="1" applyAlignment="1">
      <x:alignment horizontal="left" vertical="center" wrapText="1"/>
    </x:xf>
    <x:xf numFmtId="0" fontId="10" fillId="16" borderId="0" xfId="0" applyNumberFormat="1" applyFont="1" applyFill="1" applyBorder="1" applyAlignment="1">
      <x:alignment vertical="top"/>
    </x:xf>
    <x:xf numFmtId="0" fontId="10" fillId="16" borderId="0" xfId="0" applyNumberFormat="1" applyFont="1" applyFill="1" applyBorder="1"/>
    <x:xf numFmtId="0" fontId="4" fillId="16" borderId="0" xfId="0" applyNumberFormat="1" applyFont="1" applyFill="1" applyBorder="1" applyAlignment="1">
      <x:alignment horizontal="center" vertical="center" wrapText="1"/>
    </x:xf>
    <x:xf numFmtId="0" fontId="7" fillId="16" borderId="0" xfId="0" applyNumberFormat="1" applyFont="1" applyFill="1" applyBorder="1" applyAlignment="1">
      <x:alignment horizontal="left" vertical="center" wrapText="1"/>
    </x:xf>
    <x:xf numFmtId="0" fontId="10" fillId="16" borderId="0" xfId="0" applyNumberFormat="1" applyFont="1" applyFill="1" applyBorder="1" applyAlignment="1">
      <x:alignment vertical="top" wrapText="1"/>
    </x:xf>
    <x:xf numFmtId="0" fontId="10" fillId="16" borderId="0" xfId="0" applyNumberFormat="1" applyFont="1" applyFill="1" applyBorder="1" applyAlignment="1">
      <x:alignment wrapText="1"/>
    </x:xf>
    <x:xf numFmtId="0" fontId="0" fillId="5" borderId="0" xfId="0" applyNumberFormat="1" applyFont="1" applyFill="1" applyBorder="1" applyAlignment="1">
      <x:alignment vertical="top"/>
    </x:xf>
    <x:xf numFmtId="0" fontId="3" fillId="5" borderId="0" xfId="0" applyNumberFormat="1" applyFont="1" applyFill="1" applyBorder="1" applyAlignment="1">
      <x:alignment horizontal="center" vertical="center" wrapText="1"/>
    </x:xf>
    <x:xf numFmtId="0" fontId="5" fillId="5" borderId="0" xfId="0" applyNumberFormat="1" applyFont="1" applyFill="1" applyBorder="1" applyAlignment="1">
      <x:alignment horizontal="left" vertical="center" wrapText="1"/>
    </x:xf>
    <x:xf numFmtId="0" fontId="10" fillId="5" borderId="0" xfId="0" applyNumberFormat="1" applyFont="1" applyFill="1" applyBorder="1" applyAlignment="1">
      <x:alignment vertical="top"/>
    </x:xf>
    <x:xf numFmtId="0" fontId="10" fillId="5" borderId="0" xfId="0" applyNumberFormat="1" applyFont="1" applyFill="1" applyBorder="1"/>
    <x:xf numFmtId="0" fontId="4" fillId="5" borderId="0" xfId="0" applyNumberFormat="1" applyFont="1" applyFill="1" applyBorder="1" applyAlignment="1">
      <x:alignment horizontal="center" vertical="center" wrapText="1"/>
    </x:xf>
    <x:xf numFmtId="0" fontId="7" fillId="5" borderId="0" xfId="0" applyNumberFormat="1" applyFont="1" applyFill="1" applyBorder="1" applyAlignment="1">
      <x:alignment horizontal="left" vertical="center" wrapText="1"/>
    </x:xf>
    <x:xf numFmtId="0" fontId="10" fillId="5" borderId="0" xfId="0" applyNumberFormat="1" applyFont="1" applyFill="1" applyBorder="1" applyAlignment="1">
      <x:alignment vertical="top" wrapText="1"/>
    </x:xf>
    <x:xf numFmtId="0" fontId="10" fillId="5"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horizontal="left"/>
    </x:xf>
    <x:xf numFmtId="0" fontId="1" fillId="17" borderId="0" xfId="0" applyNumberFormat="1" applyFont="1" applyFill="1" applyBorder="1" applyAlignment="1">
      <x:alignment horizontal="left" vertical="center"/>
    </x:xf>
    <x:xf numFmtId="0" fontId="0" fillId="18" borderId="0" xfId="0" applyNumberFormat="1" applyFont="1" applyFill="1" applyBorder="1"/>
    <x:xf numFmtId="0" fontId="5" fillId="18" borderId="0" xfId="0" applyNumberFormat="1" applyFont="1" applyFill="1" applyBorder="1"/>
    <x:xf numFmtId="0" fontId="5" fillId="18" borderId="0" xfId="0" applyNumberFormat="1" applyFont="1" applyFill="1" applyBorder="1" applyAlignment="1">
      <x:alignment wrapText="1"/>
    </x:xf>
    <x:xf numFmtId="0" fontId="5" fillId="18" borderId="0" xfId="0" applyNumberFormat="1" applyFont="1" applyFill="1" applyBorder="1" applyAlignment="1">
      <x:alignment vertical="center"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wrapText="1"/>
    </x:xf>
    <x:xf numFmtId="0" fontId="3" fillId="19" borderId="0" xfId="0" applyNumberFormat="1" applyFont="1" applyFill="1" applyBorder="1" applyAlignment="1">
      <x:alignment horizontal="center" wrapText="1"/>
    </x:xf>
    <x:xf numFmtId="0" fontId="3" fillId="19" borderId="0" xfId="0" applyNumberFormat="1" applyFont="1" applyFill="1" applyBorder="1" applyAlignment="1">
      <x:alignment horizontal="center" vertical="center" wrapText="1"/>
    </x:xf>
    <x:xf numFmtId="0" fontId="0" fillId="20" borderId="0" xfId="0" applyNumberFormat="1" applyFont="1" applyFill="1" applyBorder="1" applyAlignment="1">
      <x:alignment wrapText="1"/>
    </x:xf>
    <x:xf numFmtId="0" fontId="11" fillId="20" borderId="0" xfId="0" applyNumberFormat="1" applyFont="1" applyFill="1" applyBorder="1" applyAlignment="1">
      <x:alignment wrapText="1"/>
    </x:xf>
    <x:xf numFmtId="0" fontId="11" fillId="20" borderId="0" xfId="0" applyNumberFormat="1" applyFont="1" applyFill="1" applyBorder="1" applyAlignment="1">
      <x:alignment horizontal="center" wrapText="1"/>
    </x:xf>
    <x:xf numFmtId="0" fontId="11" fillId="20" borderId="0" xfId="0" applyNumberFormat="1" applyFont="1" applyFill="1" applyBorder="1" applyAlignment="1">
      <x:alignment horizontal="center" vertical="center" wrapText="1"/>
    </x:xf>
    <x:xf numFmtId="0" fontId="1" fillId="17" borderId="0" xfId="0" applyNumberFormat="1" applyFont="1" applyFill="1" applyBorder="1" applyAlignment="1">
      <x:alignment horizontal="center" vertical="center"/>
    </x:xf>
    <x:xf numFmtId="0" fontId="0" fillId="19" borderId="0" xfId="0" applyNumberFormat="1" applyFont="1" applyFill="1" applyBorder="1" applyAlignment="1">
      <x:alignment vertical="top"/>
    </x:xf>
    <x:xf numFmtId="0" fontId="3" fillId="19" borderId="0" xfId="0" applyNumberFormat="1" applyFont="1" applyFill="1" applyBorder="1" applyAlignment="1">
      <x:alignment vertical="top"/>
    </x:xf>
    <x:xf numFmtId="0" fontId="3" fillId="19" borderId="0" xfId="0" applyNumberFormat="1" applyFont="1" applyFill="1" applyBorder="1" applyAlignment="1">
      <x:alignment vertical="top" wrapText="1"/>
    </x:xf>
    <x:xf numFmtId="0" fontId="3" fillId="19" borderId="0" xfId="0" applyNumberFormat="1" applyFont="1" applyFill="1" applyBorder="1" applyAlignment="1">
      <x:alignment horizontal="center" vertical="top" wrapText="1"/>
    </x:xf>
    <x:xf numFmtId="0" fontId="0" fillId="20" borderId="0" xfId="0" applyNumberFormat="1" applyFont="1" applyFill="1" applyBorder="1" applyAlignment="1">
      <x:alignment vertical="top"/>
    </x:xf>
    <x:xf numFmtId="0" fontId="0" fillId="20" borderId="0" xfId="0" applyNumberFormat="1" applyFont="1" applyFill="1" applyBorder="1"/>
    <x:xf numFmtId="0" fontId="11" fillId="20" borderId="0" xfId="0" applyNumberFormat="1" applyFont="1" applyFill="1" applyBorder="1" applyAlignment="1">
      <x:alignment vertical="top"/>
    </x:xf>
    <x:xf numFmtId="0" fontId="11" fillId="20" borderId="0" xfId="0" applyNumberFormat="1" applyFont="1" applyFill="1" applyBorder="1"/>
    <x:xf numFmtId="0" fontId="11" fillId="20" borderId="0" xfId="0" applyNumberFormat="1" applyFont="1" applyFill="1" applyBorder="1" applyAlignment="1">
      <x:alignment horizontal="center" vertical="top"/>
    </x:xf>
    <x:xf numFmtId="0" fontId="11" fillId="20" borderId="0" xfId="0" applyNumberFormat="1" applyFont="1" applyFill="1" applyBorder="1" applyAlignment="1">
      <x:alignment horizontal="center"/>
    </x:xf>
    <x:xf numFmtId="0" fontId="11" fillId="20" borderId="0" xfId="0" applyNumberFormat="1" applyFont="1" applyFill="1" applyBorder="1" applyAlignment="1">
      <x:alignment horizontal="center" vertical="center"/>
    </x:xf>
    <x:xf numFmtId="0" fontId="10" fillId="21" borderId="0" xfId="0" applyNumberFormat="1" applyFont="1" applyFill="1" applyBorder="1" applyAlignment="1">
      <x:alignment vertical="top" wrapText="1"/>
    </x:xf>
    <x:xf numFmtId="0" fontId="5" fillId="3" borderId="0" xfId="0" applyNumberFormat="1" applyFont="1" applyFill="1" applyBorder="1" applyAlignment="1">
      <x:alignment vertical="center" wrapText="1"/>
    </x:xf>
    <x:xf numFmtId="0" fontId="0" fillId="8" borderId="0" xfId="0" applyNumberFormat="1" applyFont="1" applyFill="1" applyBorder="1" applyAlignment="1">
      <x:alignment vertical="top"/>
    </x:xf>
    <x:xf numFmtId="0" fontId="3" fillId="8" borderId="0" xfId="0" applyNumberFormat="1" applyFont="1" applyFill="1" applyBorder="1" applyAlignment="1">
      <x:alignment vertical="top"/>
    </x:xf>
    <x:xf numFmtId="0" fontId="3" fillId="8" borderId="0" xfId="0" applyNumberFormat="1" applyFont="1" applyFill="1" applyBorder="1" applyAlignment="1">
      <x:alignment vertical="top"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horizontal="left"/>
    </x:xf>
    <x:xf numFmtId="0" fontId="1" fillId="22" borderId="0" xfId="0" applyNumberFormat="1" applyFont="1" applyFill="1" applyBorder="1" applyAlignment="1">
      <x:alignment horizontal="left" vertical="center"/>
    </x:xf>
    <x:xf numFmtId="0" fontId="0" fillId="23" borderId="0" xfId="0" applyNumberFormat="1" applyFont="1" applyFill="1" applyBorder="1"/>
    <x:xf numFmtId="0" fontId="5" fillId="23" borderId="0" xfId="0" applyNumberFormat="1" applyFont="1" applyFill="1" applyBorder="1"/>
    <x:xf numFmtId="0" fontId="5" fillId="23" borderId="0" xfId="0" applyNumberFormat="1" applyFont="1" applyFill="1" applyBorder="1" applyAlignment="1">
      <x:alignment wrapText="1"/>
    </x:xf>
    <x:xf numFmtId="0" fontId="5" fillId="23" borderId="0" xfId="0" applyNumberFormat="1" applyFont="1" applyFill="1" applyBorder="1" applyAlignment="1">
      <x:alignment vertical="center" wrapText="1"/>
    </x:xf>
    <x:xf numFmtId="0" fontId="0" fillId="24" borderId="0" xfId="0" applyNumberFormat="1" applyFont="1" applyFill="1" applyBorder="1"/>
    <x:xf numFmtId="0" fontId="3" fillId="24" borderId="0" xfId="0" applyNumberFormat="1" applyFont="1" applyFill="1" applyBorder="1"/>
    <x:xf numFmtId="0" fontId="3" fillId="24" borderId="0" xfId="0" applyNumberFormat="1" applyFont="1" applyFill="1" applyBorder="1" applyAlignment="1">
      <x:alignment wrapText="1"/>
    </x:xf>
    <x:xf numFmtId="0" fontId="3" fillId="24" borderId="0" xfId="0" applyNumberFormat="1" applyFont="1" applyFill="1" applyBorder="1" applyAlignment="1">
      <x:alignment horizontal="center" wrapText="1"/>
    </x:xf>
    <x:xf numFmtId="0" fontId="3" fillId="24"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xf numFmtId="0" fontId="3" fillId="24" borderId="9" xfId="0" applyNumberFormat="1" applyFont="1" applyFill="1" applyBorder="1" applyAlignment="1">
      <x:alignment horizontal="center" vertical="center" wrapText="1"/>
    </x:xf>
    <x:xf numFmtId="0" fontId="3" fillId="24" borderId="10" xfId="0" applyNumberFormat="1" applyFont="1" applyFill="1" applyBorder="1" applyAlignment="1">
      <x:alignment horizontal="center" vertical="center"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2" xfId="0" applyNumberFormat="1" applyFont="1" applyFill="1" applyBorder="1" applyAlignment="1">
      <x:alignment horizontal="right" wrapText="1"/>
    </x:xf>
    <x:xf numFmtId="0" fontId="0" fillId="0" borderId="14" xfId="0" applyNumberFormat="1" applyFont="1" applyFill="1" applyBorder="1" applyAlignment="1">
      <x:alignment horizontal="right"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horizontal="left"/>
    </x:xf>
    <x:xf numFmtId="0" fontId="3" fillId="25" borderId="0" xfId="0" applyNumberFormat="1" applyFont="1" applyFill="1" applyBorder="1" applyAlignment="1">
      <x:alignment horizontal="left" vertical="center"/>
    </x:xf>
    <x:xf numFmtId="0" fontId="0" fillId="26" borderId="0" xfId="0" applyNumberFormat="1" applyFont="1" applyFill="1" applyBorder="1"/>
    <x:xf numFmtId="0" fontId="7" fillId="26" borderId="0" xfId="0" applyNumberFormat="1" applyFont="1" applyFill="1" applyBorder="1"/>
    <x:xf numFmtId="0" fontId="7" fillId="26" borderId="0" xfId="0" applyNumberFormat="1" applyFont="1" applyFill="1" applyBorder="1" applyAlignment="1">
      <x:alignment wrapText="1"/>
    </x:xf>
    <x:xf numFmtId="0" fontId="7" fillId="26" borderId="0" xfId="0" applyNumberFormat="1" applyFont="1" applyFill="1" applyBorder="1" applyAlignment="1">
      <x:alignment vertical="top" wrapText="1"/>
    </x:xf>
    <x:xf numFmtId="0" fontId="1" fillId="22" borderId="0" xfId="0" applyNumberFormat="1" applyFont="1" applyFill="1" applyBorder="1" applyAlignment="1">
      <x:alignment horizontal="center" vertical="center"/>
    </x:xf>
    <x:xf numFmtId="0" fontId="0" fillId="0" borderId="0" xfId="0" applyNumberFormat="1" applyFont="1" applyFill="1" applyBorder="1" applyAlignment="1">
      <x:alignment horizontal="right" wrapText="1"/>
    </x:xf>
    <x:xf numFmtId="0" fontId="3" fillId="8" borderId="0" xfId="0" applyNumberFormat="1" applyFont="1" applyFill="1" applyBorder="1" applyAlignment="1">
      <x:alignment horizontal="left"/>
    </x:xf>
    <x:xf numFmtId="0" fontId="3" fillId="8" borderId="0" xfId="0" applyNumberFormat="1" applyFont="1" applyFill="1" applyBorder="1" applyAlignment="1">
      <x:alignment horizontal="left" vertical="center"/>
    </x:xf>
    <x:xf numFmtId="0" fontId="7" fillId="5" borderId="0" xfId="0" applyNumberFormat="1" applyFont="1" applyFill="1" applyBorder="1"/>
    <x:xf numFmtId="0" fontId="7" fillId="5"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27" borderId="0" xfId="0" applyNumberFormat="1" applyFont="1" applyFill="1" applyBorder="1" applyAlignment="1">
      <x:alignment vertical="center" wrapText="1"/>
    </x:xf>
    <x:xf numFmtId="0" fontId="12" fillId="27" borderId="0" xfId="0" applyNumberFormat="1" applyFont="1" applyFill="1" applyBorder="1" applyAlignment="1">
      <x:alignment vertical="center" wrapText="1"/>
    </x:xf>
    <x:xf numFmtId="0" fontId="0" fillId="0" borderId="9" xfId="0" applyNumberFormat="1" applyFont="1" applyFill="1" applyBorder="1" applyAlignment="1">
      <x:alignment wrapText="1"/>
    </x:xf>
    <x:xf numFmtId="0" fontId="0" fillId="0" borderId="9" xfId="0" applyNumberFormat="1" applyFont="1" applyFill="1" applyBorder="1" applyAlignment="1">
      <x:alignment horizontal="right" wrapText="1"/>
    </x:xf>
    <x:xf numFmtId="0" fontId="0" fillId="3" borderId="0" xfId="0" applyNumberFormat="1" applyFont="1" applyFill="1" applyBorder="1" applyAlignment="1">
      <x:alignment vertical="center" wrapText="1"/>
    </x:xf>
    <x:xf numFmtId="0" fontId="12" fillId="3" borderId="0" xfId="0" applyNumberFormat="1" applyFont="1" applyFill="1" applyBorder="1" applyAlignment="1">
      <x:alignment vertical="center" wrapText="1"/>
    </x:xf>
    <x:xf numFmtId="0" fontId="0" fillId="28" borderId="0" xfId="0" applyNumberFormat="1" applyFont="1" applyFill="1" applyBorder="1"/>
    <x:xf numFmtId="0" fontId="13" fillId="28" borderId="0" xfId="0" applyNumberFormat="1" applyFont="1" applyFill="1" applyBorder="1"/>
    <x:xf numFmtId="0" fontId="13" fillId="28" borderId="0" xfId="0" applyNumberFormat="1" applyFont="1" applyFill="1" applyBorder="1" applyAlignment="1">
      <x:alignment wrapText="1"/>
    </x:xf>
    <x:xf numFmtId="0" fontId="13" fillId="28" borderId="0" xfId="0" applyNumberFormat="1" applyFont="1" applyFill="1" applyBorder="1" applyAlignment="1">
      <x:alignment vertical="center" wrapText="1"/>
    </x:xf>
    <x:xf numFmtId="0" fontId="0" fillId="29" borderId="0" xfId="0" applyNumberFormat="1" applyFont="1" applyFill="1" applyBorder="1"/>
    <x:xf numFmtId="0" fontId="14" fillId="29" borderId="0" xfId="0" applyNumberFormat="1" applyFont="1" applyFill="1" applyBorder="1"/>
    <x:xf numFmtId="0" fontId="14" fillId="29" borderId="0" xfId="0" applyNumberFormat="1" applyFont="1" applyFill="1" applyBorder="1" applyAlignment="1">
      <x:alignment wrapText="1"/>
    </x:xf>
    <x:xf numFmtId="0" fontId="14" fillId="29" borderId="0" xfId="0" applyNumberFormat="1" applyFont="1" applyFill="1" applyBorder="1" applyAlignment="1">
      <x:alignment vertical="top" wrapText="1"/>
    </x:xf>
    <x:xf numFmtId="0" fontId="0" fillId="30" borderId="0" xfId="0" applyNumberFormat="1" applyFont="1" applyFill="1" applyBorder="1"/>
    <x:xf numFmtId="0" fontId="3" fillId="30" borderId="0" xfId="0" applyNumberFormat="1" applyFont="1" applyFill="1" applyBorder="1"/>
    <x:xf numFmtId="0" fontId="3" fillId="30" borderId="15" xfId="0" applyNumberFormat="1" applyFont="1" applyFill="1" applyBorder="1"/>
    <x:xf numFmtId="0" fontId="3" fillId="30" borderId="15" xfId="0" applyNumberFormat="1" applyFont="1" applyFill="1" applyBorder="1" applyAlignment="1">
      <x:alignment wrapText="1"/>
    </x:xf>
    <x:xf numFmtId="0" fontId="3" fillId="30" borderId="15" xfId="0" applyNumberFormat="1" applyFont="1" applyFill="1" applyBorder="1" applyAlignment="1">
      <x:alignment horizontal="center" wrapText="1"/>
    </x:xf>
    <x:xf numFmtId="0" fontId="3" fillId="30" borderId="15" xfId="0" applyNumberFormat="1" applyFont="1" applyFill="1" applyBorder="1" applyAlignment="1">
      <x:alignment horizontal="center" vertical="center" wrapText="1"/>
    </x:xf>
    <x:xf numFmtId="0" fontId="15" fillId="0" borderId="0" xfId="0" applyNumberFormat="1" applyFont="1" applyFill="1" applyBorder="1"/>
    <x:xf numFmtId="0" fontId="15" fillId="0" xfId="0" applyNumberFormat="1" applyFont="1" applyFill="1" applyBorder="0"/>
    <x:xf numFmtId="0" fontId="15" fillId="0" borderId="16" xfId="0" applyNumberFormat="1" applyFont="1" applyFill="1" applyBorder="1"/>
    <x:xf numFmtId="0" fontId="15" fillId="0" borderId="17" xfId="0" applyNumberFormat="1" applyFont="1" applyFill="1" applyBorder="1"/>
    <x:xf numFmtId="0" fontId="15" fillId="0" borderId="18" xfId="0" applyNumberFormat="1" applyFont="1" applyFill="1" applyBorder="1"/>
    <x:xf numFmtId="0" fontId="15" fillId="0" xfId="0" applyNumberFormat="1" applyFont="1" applyFill="1" applyBorder="0" applyAlignment="1">
      <x:alignment wrapText="1"/>
    </x:xf>
    <x:xf numFmtId="0" fontId="15" fillId="0" borderId="16" xfId="0" applyNumberFormat="1" applyFont="1" applyFill="1" applyBorder="1" applyAlignment="1">
      <x:alignment wrapText="1"/>
    </x:xf>
    <x:xf numFmtId="0" fontId="15" fillId="0" borderId="17" xfId="0" applyNumberFormat="1" applyFont="1" applyFill="1" applyBorder="1" applyAlignment="1">
      <x:alignment wrapText="1"/>
    </x:xf>
    <x:xf numFmtId="0" fontId="15" fillId="0" borderId="18" xfId="0" applyNumberFormat="1" applyFont="1" applyFill="1" applyBorder="1" applyAlignment="1">
      <x:alignment wrapText="1"/>
    </x:xf>
    <x:xf numFmtId="0" fontId="15" fillId="0" xfId="0" applyNumberFormat="1" applyFont="1" applyFill="1" applyBorder="0" applyAlignment="1">
      <x:alignment vertical="top" wrapText="1"/>
    </x:xf>
    <x:xf numFmtId="0" fontId="15" fillId="0" borderId="16" xfId="0" applyNumberFormat="1" applyFont="1" applyFill="1" applyBorder="1" applyAlignment="1">
      <x:alignment vertical="top" wrapText="1"/>
    </x:xf>
    <x:xf numFmtId="0" fontId="15" fillId="0" borderId="17" xfId="0" applyNumberFormat="1" applyFont="1" applyFill="1" applyBorder="1" applyAlignment="1">
      <x:alignment vertical="top" wrapText="1"/>
    </x:xf>
    <x:xf numFmtId="0" fontId="15" fillId="0" borderId="18" xfId="0" applyNumberFormat="1" applyFont="1" applyFill="1" applyBorder="1" applyAlignment="1">
      <x:alignment vertical="top" wrapText="1"/>
    </x:xf>
    <x:xf numFmtId="0" fontId="15" fillId="31" xfId="0" applyNumberFormat="1" applyFont="1" applyFill="1" applyBorder="0" applyAlignment="1">
      <x:alignment vertical="top" wrapText="1"/>
    </x:xf>
    <x:xf numFmtId="0" fontId="15" fillId="31" borderId="16" xfId="0" applyNumberFormat="1" applyFont="1" applyFill="1" applyBorder="1" applyAlignment="1">
      <x:alignment vertical="top" wrapText="1"/>
    </x:xf>
    <x:xf numFmtId="0" fontId="1" fillId="28" borderId="0" xfId="0" applyNumberFormat="1" applyFont="1" applyFill="1" applyBorder="1" applyAlignment="1">
      <x:alignment horizontal="left" vertical="center"/>
    </x:xf>
    <x:xf numFmtId="0" fontId="13" fillId="28" borderId="0" xfId="0" applyNumberFormat="1" applyFont="1" applyFill="1" applyBorder="1" applyAlignment="1">
      <x:alignment horizontal="left" vertical="center"/>
    </x:xf>
    <x:xf numFmtId="0" fontId="13" fillId="28" borderId="0" xfId="0" applyNumberFormat="1" applyFont="1" applyFill="1" applyBorder="1" applyAlignment="1">
      <x:alignment horizontal="left" vertical="center" wrapText="1"/>
    </x:xf>
    <x:xf numFmtId="0" fontId="5" fillId="29" borderId="0" xfId="0" applyNumberFormat="1" applyFont="1" applyFill="1" applyBorder="1" applyAlignment="1">
      <x:alignment horizontal="left" vertical="center" wrapText="1"/>
    </x:xf>
    <x:xf numFmtId="0" fontId="14" fillId="29" borderId="0" xfId="0" applyNumberFormat="1" applyFont="1" applyFill="1" applyBorder="1" applyAlignment="1">
      <x:alignment horizontal="left" vertical="center" wrapText="1"/>
    </x:xf>
    <x:xf numFmtId="0" fontId="14" fillId="29" borderId="0" xfId="0" applyNumberFormat="1" applyFont="1" applyFill="1" applyBorder="1" applyAlignment="1">
      <x:alignment horizontal="left" vertical="top" wrapText="1"/>
    </x:xf>
    <x:xf numFmtId="0" fontId="3" fillId="30" borderId="0" xfId="0" applyNumberFormat="1" applyFont="1" applyFill="1" applyBorder="1" applyAlignment="1">
      <x:alignment horizontal="center" vertical="center" wrapText="1"/>
    </x:xf>
    <x:xf numFmtId="0" fontId="15" fillId="0" borderId="0" xfId="0" applyNumberFormat="1" applyFont="1" applyFill="1" applyBorder="1" applyAlignment="1">
      <x:alignment wrapText="1"/>
    </x:xf>
    <x:xf numFmtId="0" fontId="15" fillId="31" borderId="17" xfId="0" applyNumberFormat="1" applyFont="1" applyFill="1" applyBorder="1" applyAlignment="1">
      <x:alignment vertical="top" wrapText="1"/>
    </x:xf>
    <x:xf numFmtId="0" fontId="15" fillId="31" borderId="18" xfId="0" applyNumberFormat="1" applyFont="1" applyFill="1" applyBorder="1" applyAlignment="1">
      <x:alignment vertical="top" wrapText="1"/>
    </x:xf>
    <x:xf numFmtId="0" fontId="15" fillId="32" borderId="17" xfId="0" applyNumberFormat="1" applyFont="1" applyFill="1" applyBorder="1" applyAlignment="1">
      <x:alignment vertical="top" wrapText="1"/>
    </x:xf>
    <x:xf numFmtId="0" fontId="15" fillId="33" xfId="0" applyNumberFormat="1" applyFont="1" applyFill="1" applyBorder="0" applyAlignment="1">
      <x:alignment vertical="top" wrapText="1"/>
    </x:xf>
    <x:xf numFmtId="0" fontId="15" fillId="29" borderId="16" xfId="0" applyNumberFormat="1" applyFont="1" applyFill="1" applyBorder="1" applyAlignment="1">
      <x:alignment vertical="top" wrapText="1"/>
    </x:xf>
    <x:xf numFmtId="0" fontId="15" fillId="29" borderId="18" xfId="0" applyNumberFormat="1" applyFont="1" applyFill="1" applyBorder="1" applyAlignment="1">
      <x:alignment vertical="top" wrapText="1"/>
    </x:xf>
    <x:xf numFmtId="0" fontId="2" fillId="29" borderId="0" xfId="0" applyNumberFormat="1" applyFont="1" applyFill="1" applyBorder="1" applyAlignment="1">
      <x:alignment horizontal="center" vertical="top"/>
    </x:xf>
    <x:xf numFmtId="0" fontId="16" fillId="29" borderId="0" xfId="0" applyNumberFormat="1" applyFont="1" applyFill="1" applyBorder="1" applyAlignment="1">
      <x:alignment horizontal="center" vertical="top"/>
    </x:xf>
    <x:xf numFmtId="0" fontId="16" fillId="29" borderId="0" xfId="0" applyNumberFormat="1" applyFont="1" applyFill="1" applyBorder="1" applyAlignment="1">
      <x:alignment horizontal="center" vertical="top" wrapText="1"/>
    </x:xf>
    <x:xf numFmtId="0" fontId="0" fillId="30" borderId="0" xfId="0" applyNumberFormat="1" applyFont="1" applyFill="1" applyBorder="1" applyAlignment="1">
      <x:alignment vertical="top"/>
    </x:xf>
    <x:xf numFmtId="0" fontId="3" fillId="30" borderId="0" xfId="0" applyNumberFormat="1" applyFont="1" applyFill="1" applyBorder="1" applyAlignment="1">
      <x:alignment vertical="top"/>
    </x:xf>
    <x:xf numFmtId="0" fontId="3" fillId="30" borderId="15" xfId="0" applyNumberFormat="1" applyFont="1" applyFill="1" applyBorder="1" applyAlignment="1">
      <x:alignment vertical="top"/>
    </x:xf>
    <x:xf numFmtId="0" fontId="3" fillId="30" borderId="15" xfId="0" applyNumberFormat="1" applyFont="1" applyFill="1" applyBorder="1" applyAlignment="1">
      <x:alignment vertical="top" wrapText="1"/>
    </x:xf>
    <x:xf numFmtId="0" fontId="3" fillId="30" borderId="15" xfId="0" applyNumberFormat="1" applyFont="1" applyFill="1" applyBorder="1" applyAlignment="1">
      <x:alignment horizontal="center" vertical="top" wrapText="1"/>
    </x:xf>
    <x:xf numFmtId="0" fontId="17" fillId="11" borderId="0" xfId="0" applyNumberFormat="1" applyFont="1" applyFill="1" applyBorder="1" applyAlignment="1">
      <x:alignment vertical="center" wrapText="1"/>
    </x:xf>
    <x:xf numFmtId="0" fontId="17" fillId="11" borderId="0" xfId="0" applyNumberFormat="1" applyFont="1" applyFill="1" applyBorder="1" applyAlignment="1">
      <x:alignment horizontal="right" vertical="center" wrapText="1"/>
    </x:xf>
    <x:xf numFmtId="0" fontId="15" fillId="0" borderId="0" xfId="0" applyNumberFormat="1" applyFont="1" applyFill="1" applyBorder="1" applyAlignment="1">
      <x:alignment vertical="top"/>
    </x:xf>
    <x:xf numFmtId="0" fontId="18" fillId="5" borderId="0" xfId="0" applyNumberFormat="1" applyFont="1" applyFill="1" applyBorder="1" applyAlignment="1">
      <x:alignment vertical="top" wrapText="1"/>
    </x:xf>
    <x:xf numFmtId="0" fontId="15" fillId="0" borderId="0" xfId="0" applyNumberFormat="1" applyFont="1" applyFill="1" applyBorder="1" applyAlignment="1">
      <x:alignment vertical="top" wrapText="1"/>
    </x:xf>
    <x:xf numFmtId="0" fontId="17" fillId="11" borderId="0" xfId="0" applyNumberFormat="1" applyFont="1" applyFill="1" applyBorder="1" applyAlignment="1">
      <x:alignment horizontal="center" vertical="center" wrapText="1"/>
    </x:xf>
    <x:xf numFmtId="0" fontId="19" fillId="5" borderId="0" xfId="0" applyNumberFormat="1" applyFont="1" applyFill="1" applyBorder="1" applyAlignment="1">
      <x:alignment vertical="top" wrapText="1"/>
    </x:xf>
    <x:xf numFmtId="0" fontId="20" fillId="5" borderId="0" xfId="0" applyNumberFormat="1" applyFont="1" applyFill="1" applyBorder="1" applyAlignment="1">
      <x:alignment vertical="top" wrapText="1"/>
    </x:xf>
    <x:xf numFmtId="0" fontId="21" fillId="8" borderId="0" xfId="0" applyNumberFormat="1" applyFont="1" applyFill="1" applyBorder="1" applyAlignment="1">
      <x:alignment horizontal="center" vertical="center" wrapText="1"/>
    </x:xf>
    <x:xf numFmtId="0" fontId="22" fillId="20" borderId="0" xfId="0" applyNumberFormat="1" applyFont="1" applyFill="1" applyBorder="1" applyAlignment="1">
      <x:alignment horizontal="center" vertical="center" wrapText="1"/>
    </x:xf>
    <x:xf numFmtId="0" fontId="20" fillId="5" borderId="0" xfId="0" applyNumberFormat="1" applyFont="1" applyFill="1" applyBorder="1" applyAlignment="1">
      <x:alignment wrapText="1"/>
    </x:xf>
    <x:xf numFmtId="0" fontId="23" fillId="5" borderId="0" xfId="0" applyNumberFormat="1" applyFont="1" applyFill="1" applyBorder="1" applyAlignment="1">
      <x:alignment horizontal="center" vertical="center" wrapText="1"/>
    </x:xf>
    <x:xf numFmtId="0" fontId="24" fillId="3" borderId="0" xfId="0" applyNumberFormat="1" applyFont="1" applyFill="1" applyBorder="1" applyAlignment="1">
      <x:alignment horizontal="left" vertical="center" wrapText="1"/>
    </x:xf>
    <x:xf numFmtId="0" fontId="19" fillId="5" borderId="0" xfId="0" applyNumberFormat="1" applyFont="1" applyFill="1" applyBorder="1" applyAlignment="1">
      <x:alignment horizontal="left" vertical="center" wrapText="1"/>
    </x:xf>
    <x:xf numFmtId="0" fontId="17" fillId="11" xfId="0" applyNumberFormat="1" applyFont="1" applyFill="1" applyBorder="0" applyAlignment="1">
      <x:alignment vertical="center" wrapText="1"/>
    </x:xf>
    <x:xf numFmtId="0" fontId="17" fillId="11" xfId="0" applyNumberFormat="1" applyFont="1" applyFill="1" applyBorder="0" applyAlignment="1">
      <x:alignment horizontal="right" vertical="center" wrapText="1"/>
    </x:xf>
    <x:xf numFmtId="0" fontId="15" fillId="0" xfId="0" applyNumberFormat="1" applyFont="1" applyFill="1" applyBorder="0" applyAlignment="1">
      <x:alignment vertical="top"/>
    </x:xf>
    <x:xf numFmtId="0" fontId="18" fillId="5" xfId="0" applyNumberFormat="1" applyFont="1" applyFill="1" applyBorder="0" applyAlignment="1">
      <x:alignment vertical="top" wrapText="1"/>
    </x:xf>
    <x:xf numFmtId="0" fontId="17" fillId="11" xfId="0" applyNumberFormat="1" applyFont="1" applyFill="1" applyBorder="0" applyAlignment="1">
      <x:alignment horizontal="center" vertical="center" wrapText="1"/>
    </x:xf>
    <x:xf numFmtId="0" fontId="19" fillId="5" xfId="0" applyNumberFormat="1" applyFont="1" applyFill="1" applyBorder="0" applyAlignment="1">
      <x:alignment vertical="top" wrapText="1"/>
    </x:xf>
    <x:xf numFmtId="0" fontId="20" fillId="5" xfId="0" applyNumberFormat="1" applyFont="1" applyFill="1" applyBorder="0" applyAlignment="1">
      <x:alignment vertical="top" wrapText="1"/>
    </x:xf>
    <x:xf numFmtId="0" fontId="21" fillId="8" xfId="0" applyNumberFormat="1" applyFont="1" applyFill="1" applyBorder="0" applyAlignment="1">
      <x:alignment horizontal="center" vertical="center" wrapText="1"/>
    </x:xf>
    <x:xf numFmtId="0" fontId="22" fillId="20" xfId="0" applyNumberFormat="1" applyFont="1" applyFill="1" applyBorder="0" applyAlignment="1">
      <x:alignment horizontal="center" vertical="center" wrapText="1"/>
    </x:xf>
    <x:xf numFmtId="0" fontId="20" fillId="5" xfId="0" applyNumberFormat="1" applyFont="1" applyFill="1" applyBorder="0" applyAlignment="1">
      <x:alignment wrapText="1"/>
    </x:xf>
    <x:xf numFmtId="0" fontId="23" fillId="5" xfId="0" applyNumberFormat="1" applyFont="1" applyFill="1" applyBorder="0" applyAlignment="1">
      <x:alignment horizontal="center" vertical="center" wrapText="1"/>
    </x:xf>
    <x:xf numFmtId="0" fontId="21" fillId="8" borderId="16" xfId="0" applyNumberFormat="1" applyFont="1" applyFill="1" applyBorder="1" applyAlignment="1">
      <x:alignment horizontal="center" vertical="center" wrapText="1"/>
    </x:xf>
    <x:xf numFmtId="0" fontId="24" fillId="3" xfId="0" applyNumberFormat="1" applyFont="1" applyFill="1" applyBorder="0" applyAlignment="1">
      <x:alignment horizontal="left" vertical="center" wrapText="1"/>
    </x:xf>
    <x:xf numFmtId="0" fontId="19" fillId="5" xfId="0" applyNumberFormat="1" applyFont="1" applyFill="1" applyBorder="0" applyAlignment="1">
      <x:alignment horizontal="left" vertical="center" wrapText="1"/>
    </x:xf>
    <x:xf numFmtId="0" fontId="24" fillId="3" borderId="16" xfId="0" applyNumberFormat="1" applyFont="1" applyFill="1" applyBorder="1" applyAlignment="1">
      <x:alignment horizontal="left" vertical="center" wrapText="1"/>
    </x:xf>
    <x:xf numFmtId="0" fontId="17" fillId="11" xfId="0" applyNumberFormat="1" applyFont="1" applyFill="1" applyBorder="0" applyAlignment="1">
      <x:alignment vertical="top" wrapText="1"/>
    </x:xf>
    <x:xf numFmtId="0" fontId="17" fillId="11" xfId="0" applyNumberFormat="1" applyFont="1" applyFill="1" applyBorder="0" applyAlignment="1">
      <x:alignment horizontal="right" vertical="top" wrapText="1"/>
    </x:xf>
    <x:xf numFmtId="0" fontId="17" fillId="11" xfId="0" applyNumberFormat="1" applyFont="1" applyFill="1" applyBorder="0" applyAlignment="1">
      <x:alignment horizontal="center" vertical="top" wrapText="1"/>
    </x:xf>
    <x:xf numFmtId="0" fontId="21" fillId="8" xfId="0" applyNumberFormat="1" applyFont="1" applyFill="1" applyBorder="0" applyAlignment="1">
      <x:alignment horizontal="center" vertical="top" wrapText="1"/>
    </x:xf>
    <x:xf numFmtId="0" fontId="22" fillId="20" xfId="0" applyNumberFormat="1" applyFont="1" applyFill="1" applyBorder="0" applyAlignment="1">
      <x:alignment horizontal="center" vertical="top" wrapText="1"/>
    </x:xf>
    <x:xf numFmtId="0" fontId="23" fillId="5" xfId="0" applyNumberFormat="1" applyFont="1" applyFill="1" applyBorder="0" applyAlignment="1">
      <x:alignment horizontal="center" vertical="top" wrapText="1"/>
    </x:xf>
    <x:xf numFmtId="0" fontId="21" fillId="8" borderId="16" xfId="0" applyNumberFormat="1" applyFont="1" applyFill="1" applyBorder="1" applyAlignment="1">
      <x:alignment horizontal="center" vertical="top" wrapText="1"/>
    </x:xf>
    <x:xf numFmtId="0" fontId="24" fillId="3" xfId="0" applyNumberFormat="1" applyFont="1" applyFill="1" applyBorder="0" applyAlignment="1">
      <x:alignment horizontal="left" vertical="top" wrapText="1"/>
    </x:xf>
    <x:xf numFmtId="0" fontId="19" fillId="5" xfId="0" applyNumberFormat="1" applyFont="1" applyFill="1" applyBorder="0" applyAlignment="1">
      <x:alignment horizontal="left" vertical="top" wrapText="1"/>
    </x:xf>
    <x:xf numFmtId="0" fontId="24" fillId="3" borderId="16" xfId="0" applyNumberFormat="1" applyFont="1" applyFill="1" applyBorder="1" applyAlignment="1">
      <x:alignment horizontal="left" vertical="top" wrapText="1"/>
    </x:xf>
    <x:xf numFmtId="0" fontId="17" fillId="31" xfId="0" applyNumberFormat="1" applyFont="1" applyFill="1" applyBorder="0" applyAlignment="1">
      <x:alignment vertical="top" wrapText="1"/>
    </x:xf>
    <x:xf numFmtId="0" fontId="17" fillId="31" xfId="0" applyNumberFormat="1" applyFont="1" applyFill="1" applyBorder="0" applyAlignment="1">
      <x:alignment horizontal="right" vertical="top" wrapText="1"/>
    </x:xf>
    <x:xf numFmtId="0" fontId="18" fillId="31" xfId="0" applyNumberFormat="1" applyFont="1" applyFill="1" applyBorder="0" applyAlignment="1">
      <x:alignment vertical="top" wrapText="1"/>
    </x:xf>
    <x:xf numFmtId="0" fontId="19" fillId="31" xfId="0" applyNumberFormat="1" applyFont="1" applyFill="1" applyBorder="0" applyAlignment="1">
      <x:alignment vertical="top" wrapText="1"/>
    </x:xf>
    <x:xf numFmtId="0" fontId="20" fillId="31" xfId="0" applyNumberFormat="1" applyFont="1" applyFill="1" applyBorder="0" applyAlignment="1">
      <x:alignment vertical="top" wrapText="1"/>
    </x:xf>
    <x:xf numFmtId="0" fontId="21" fillId="31" xfId="0" applyNumberFormat="1" applyFont="1" applyFill="1" applyBorder="0" applyAlignment="1">
      <x:alignment horizontal="center" vertical="top" wrapText="1"/>
    </x:xf>
    <x:xf numFmtId="0" fontId="22" fillId="31" xfId="0" applyNumberFormat="1" applyFont="1" applyFill="1" applyBorder="0" applyAlignment="1">
      <x:alignment horizontal="center" vertical="top" wrapText="1"/>
    </x:xf>
    <x:xf numFmtId="0" fontId="24" fillId="31" xfId="0" applyNumberFormat="1" applyFont="1" applyFill="1" applyBorder="0" applyAlignment="1">
      <x:alignment horizontal="left" vertical="top" wrapText="1"/>
    </x:xf>
    <x:xf numFmtId="0" fontId="19" fillId="31" xfId="0" applyNumberFormat="1" applyFont="1" applyFill="1" applyBorder="0" applyAlignment="1">
      <x:alignment horizontal="left" vertical="top" wrapText="1"/>
    </x:xf>
    <x:xf numFmtId="0" fontId="24" fillId="31" borderId="16" xfId="0" applyNumberFormat="1" applyFont="1" applyFill="1" applyBorder="1" applyAlignment="1">
      <x:alignment horizontal="left" vertical="top" wrapText="1"/>
    </x:xf>
    <x:xf numFmtId="0" fontId="15" fillId="29" borderId="17" xfId="0" applyNumberFormat="1" applyFont="1" applyFill="1" applyBorder="1" applyAlignment="1">
      <x:alignment vertical="top" wrapText="1"/>
    </x:xf>
    <x:xf numFmtId="0" fontId="25" fillId="29" borderId="17" xfId="0" applyNumberFormat="1" applyFont="1" applyFill="1" applyBorder="1" applyAlignment="1">
      <x:alignment vertical="top" wrapText="1"/>
    </x:xf>
    <x:xf numFmtId="0" fontId="17" fillId="31" xfId="0" applyNumberFormat="1" applyFont="1" applyFill="1" applyBorder="0" applyAlignment="1">
      <x:alignment horizontal="center" vertical="top" wrapText="1"/>
    </x:xf>
    <x:xf numFmtId="0" fontId="24" fillId="31" xfId="0" applyNumberFormat="1" applyFont="1" applyFill="1" applyBorder="0" applyAlignment="1">
      <x:alignment horizontal="center" vertical="top" wrapText="1"/>
    </x:xf>
    <x:xf numFmtId="0" fontId="24" fillId="3" xfId="0" applyNumberFormat="1" applyFont="1" applyFill="1" applyBorder="0" applyAlignment="1">
      <x:alignment horizontal="center" vertical="top" wrapText="1"/>
    </x:xf>
    <x:xf numFmtId="0" fontId="26" fillId="29" borderId="0" xfId="0" applyNumberFormat="1" applyFont="1" applyFill="1" applyBorder="1"/>
    <x:xf numFmtId="0" fontId="26" fillId="29" borderId="0" xfId="0" applyNumberFormat="1" applyFont="1" applyFill="1" applyBorder="1" applyAlignment="1">
      <x:alignment wrapText="1"/>
    </x:xf>
    <x:xf numFmtId="0" fontId="26" fillId="29" borderId="0" xfId="0" applyNumberFormat="1" applyFont="1" applyFill="1" applyBorder="1" applyAlignment="1">
      <x:alignment vertical="top" wrapText="1"/>
    </x:xf>
    <x:xf numFmtId="0" fontId="26" fillId="29" xfId="0" applyNumberFormat="1" applyFont="1" applyFill="1" applyBorder="0" applyAlignment="1">
      <x:alignment vertical="top" wrapText="1"/>
    </x:xf>
    <x:xf numFmtId="0" fontId="0" fillId="0" xfId="0" applyNumberFormat="1" applyFont="1" applyFill="1" applyBorder="0" applyAlignment="1">
      <x:alignment vertical="top" wrapText="1"/>
    </x:xf>
    <x:xf numFmtId="0" fontId="26" fillId="29" borderId="17"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15" fillId="34" xfId="0" applyNumberFormat="1" applyFont="1" applyFill="1" applyBorder="0" applyAlignment="1">
      <x:alignment vertical="top" wrapText="1"/>
    </x:xf>
    <x:xf numFmtId="0" fontId="15" fillId="34" borderId="16" xfId="0" applyNumberFormat="1" applyFont="1" applyFill="1" applyBorder="1" applyAlignment="1">
      <x:alignment vertical="top" wrapText="1"/>
    </x:xf>
    <x:xf numFmtId="0" fontId="15" fillId="34" borderId="17" xfId="0" applyNumberFormat="1" applyFont="1" applyFill="1" applyBorder="1" applyAlignment="1">
      <x:alignment vertical="top" wrapText="1"/>
    </x:xf>
    <x:xf numFmtId="0" fontId="15" fillId="34" borderId="18" xfId="0" applyNumberFormat="1" applyFont="1" applyFill="1" applyBorder="1" applyAlignment="1">
      <x:alignment vertical="top" wrapText="1"/>
    </x:xf>
    <x:xf numFmtId="0" fontId="17" fillId="34" xfId="0" applyNumberFormat="1" applyFont="1" applyFill="1" applyBorder="0" applyAlignment="1">
      <x:alignment vertical="top" wrapText="1"/>
    </x:xf>
    <x:xf numFmtId="0" fontId="17" fillId="34" xfId="0" applyNumberFormat="1" applyFont="1" applyFill="1" applyBorder="0" applyAlignment="1">
      <x:alignment horizontal="center" vertical="top" wrapText="1"/>
    </x:xf>
    <x:xf numFmtId="0" fontId="18" fillId="34" xfId="0" applyNumberFormat="1" applyFont="1" applyFill="1" applyBorder="0" applyAlignment="1">
      <x:alignment vertical="top" wrapText="1"/>
    </x:xf>
    <x:xf numFmtId="0" fontId="19" fillId="34" xfId="0" applyNumberFormat="1" applyFont="1" applyFill="1" applyBorder="0" applyAlignment="1">
      <x:alignment vertical="top" wrapText="1"/>
    </x:xf>
    <x:xf numFmtId="0" fontId="20" fillId="34" xfId="0" applyNumberFormat="1" applyFont="1" applyFill="1" applyBorder="0" applyAlignment="1">
      <x:alignment vertical="top" wrapText="1"/>
    </x:xf>
    <x:xf numFmtId="0" fontId="21" fillId="34" xfId="0" applyNumberFormat="1" applyFont="1" applyFill="1" applyBorder="0" applyAlignment="1">
      <x:alignment horizontal="center" vertical="top" wrapText="1"/>
    </x:xf>
    <x:xf numFmtId="0" fontId="22" fillId="34" xfId="0" applyNumberFormat="1" applyFont="1" applyFill="1" applyBorder="0" applyAlignment="1">
      <x:alignment horizontal="center" vertical="top" wrapText="1"/>
    </x:xf>
    <x:xf numFmtId="0" fontId="23" fillId="34" xfId="0" applyNumberFormat="1" applyFont="1" applyFill="1" applyBorder="0" applyAlignment="1">
      <x:alignment horizontal="center" vertical="top" wrapText="1"/>
    </x:xf>
    <x:xf numFmtId="0" fontId="21" fillId="34" borderId="16" xfId="0" applyNumberFormat="1" applyFont="1" applyFill="1" applyBorder="1" applyAlignment="1">
      <x:alignment horizontal="center" vertical="top" wrapText="1"/>
    </x:xf>
    <x:xf numFmtId="0" fontId="24" fillId="34" xfId="0" applyNumberFormat="1" applyFont="1" applyFill="1" applyBorder="0" applyAlignment="1">
      <x:alignment horizontal="left" vertical="top" wrapText="1"/>
    </x:xf>
    <x:xf numFmtId="0" fontId="24" fillId="34" xfId="0" applyNumberFormat="1" applyFont="1" applyFill="1" applyBorder="0" applyAlignment="1">
      <x:alignment horizontal="center" vertical="top" wrapText="1"/>
    </x:xf>
    <x:xf numFmtId="0" fontId="19" fillId="34" xfId="0" applyNumberFormat="1" applyFont="1" applyFill="1" applyBorder="0" applyAlignment="1">
      <x:alignment horizontal="left" vertical="top" wrapText="1"/>
    </x:xf>
    <x:xf numFmtId="0" fontId="24" fillId="34" borderId="16" xfId="0" applyNumberFormat="1" applyFont="1" applyFill="1" applyBorder="1" applyAlignment="1">
      <x:alignment horizontal="left" vertical="top" wrapText="1"/>
    </x:xf>
    <x:xf numFmtId="0" fontId="25" fillId="34" borderId="17" xfId="0" applyNumberFormat="1" applyFont="1" applyFill="1" applyBorder="1" applyAlignment="1">
      <x:alignment vertical="top" wrapText="1"/>
    </x:xf>
    <x:xf numFmtId="0" fontId="15" fillId="32" borderId="16" xfId="0" applyNumberFormat="1" applyFont="1" applyFill="1" applyBorder="1" applyAlignment="1">
      <x:alignment vertical="top" wrapText="1"/>
    </x:xf>
    <x:xf numFmtId="0" fontId="13" fillId="2" borderId="0" xfId="0" applyNumberFormat="1" applyFont="1" applyFill="1" applyBorder="1"/>
    <x:xf numFmtId="0" fontId="13" fillId="2" borderId="0" xfId="0" applyNumberFormat="1" applyFont="1" applyFill="1" applyBorder="1" applyAlignment="1">
      <x:alignment wrapText="1"/>
    </x:xf>
    <x:xf numFmtId="0" fontId="13" fillId="2" borderId="0" xfId="0" applyNumberFormat="1" applyFont="1" applyFill="1" applyBorder="1" applyAlignment="1">
      <x:alignment vertical="center" wrapText="1"/>
    </x:xf>
    <x:xf numFmtId="0" fontId="14" fillId="3" borderId="0" xfId="0" applyNumberFormat="1" applyFont="1" applyFill="1" applyBorder="1"/>
    <x:xf numFmtId="0" fontId="14" fillId="3" borderId="0" xfId="0" applyNumberFormat="1" applyFont="1" applyFill="1" applyBorder="1" applyAlignment="1">
      <x:alignment wrapText="1"/>
    </x:xf>
    <x:xf numFmtId="0" fontId="14" fillId="3" borderId="0" xfId="0" applyNumberFormat="1" applyFont="1" applyFill="1" applyBorder="1" applyAlignment="1">
      <x:alignment vertical="top" wrapText="1"/>
    </x:xf>
    <x:xf numFmtId="0" fontId="3" fillId="8" borderId="15" xfId="0" applyNumberFormat="1" applyFont="1" applyFill="1" applyBorder="1"/>
    <x:xf numFmtId="0" fontId="3" fillId="8" borderId="15" xfId="0" applyNumberFormat="1" applyFont="1" applyFill="1" applyBorder="1" applyAlignment="1">
      <x:alignment wrapText="1"/>
    </x:xf>
    <x:xf numFmtId="0" fontId="3" fillId="8" borderId="15" xfId="0" applyNumberFormat="1" applyFont="1" applyFill="1" applyBorder="1" applyAlignment="1">
      <x:alignment horizontal="center" wrapText="1"/>
    </x:xf>
    <x:xf numFmtId="0" fontId="3" fillId="8" borderId="15" xfId="0" applyNumberFormat="1" applyFont="1" applyFill="1" applyBorder="1" applyAlignment="1">
      <x:alignment horizontal="center" vertical="center" wrapText="1"/>
    </x:xf>
    <x:xf numFmtId="0" fontId="13" fillId="2" borderId="0" xfId="0" applyNumberFormat="1" applyFont="1" applyFill="1" applyBorder="1" applyAlignment="1">
      <x:alignment horizontal="left" vertical="center"/>
    </x:xf>
    <x:xf numFmtId="0" fontId="13" fillId="2" borderId="0" xfId="0" applyNumberFormat="1" applyFont="1" applyFill="1" applyBorder="1" applyAlignment="1">
      <x:alignment horizontal="left" vertical="center" wrapText="1"/>
    </x:xf>
    <x:xf numFmtId="0" fontId="14" fillId="3" borderId="0" xfId="0" applyNumberFormat="1" applyFont="1" applyFill="1" applyBorder="1" applyAlignment="1">
      <x:alignment horizontal="left" vertical="center" wrapText="1"/>
    </x:xf>
    <x:xf numFmtId="0" fontId="14" fillId="3" borderId="0" xfId="0" applyNumberFormat="1" applyFont="1" applyFill="1" applyBorder="1" applyAlignment="1">
      <x:alignment horizontal="left" vertical="top" wrapText="1"/>
    </x:xf>
    <x:xf numFmtId="0" fontId="15" fillId="20" borderId="17" xfId="0" applyNumberFormat="1" applyFont="1" applyFill="1" applyBorder="1" applyAlignment="1">
      <x:alignment vertical="top" wrapText="1"/>
    </x:xf>
    <x:xf numFmtId="0" fontId="15" fillId="5" xfId="0" applyNumberFormat="1" applyFont="1" applyFill="1" applyBorder="0" applyAlignment="1">
      <x:alignment vertical="top" wrapText="1"/>
    </x:xf>
    <x:xf numFmtId="0" fontId="15" fillId="3" borderId="16" xfId="0" applyNumberFormat="1" applyFont="1" applyFill="1" applyBorder="1" applyAlignment="1">
      <x:alignment vertical="top" wrapText="1"/>
    </x:xf>
    <x:xf numFmtId="0" fontId="15" fillId="3" borderId="18" xfId="0" applyNumberFormat="1" applyFont="1" applyFill="1" applyBorder="1" applyAlignment="1">
      <x:alignment vertical="top" wrapText="1"/>
    </x:xf>
    <x:xf numFmtId="0" fontId="16" fillId="3" borderId="0" xfId="0" applyNumberFormat="1" applyFont="1" applyFill="1" applyBorder="1" applyAlignment="1">
      <x:alignment horizontal="center" vertical="top"/>
    </x:xf>
    <x:xf numFmtId="0" fontId="16" fillId="3" borderId="0" xfId="0" applyNumberFormat="1" applyFont="1" applyFill="1" applyBorder="1" applyAlignment="1">
      <x:alignment horizontal="center" vertical="top" wrapText="1"/>
    </x:xf>
    <x:xf numFmtId="0" fontId="3" fillId="8" borderId="15" xfId="0" applyNumberFormat="1" applyFont="1" applyFill="1" applyBorder="1" applyAlignment="1">
      <x:alignment vertical="top"/>
    </x:xf>
    <x:xf numFmtId="0" fontId="3" fillId="8" borderId="15" xfId="0" applyNumberFormat="1" applyFont="1" applyFill="1" applyBorder="1" applyAlignment="1">
      <x:alignment vertical="top" wrapText="1"/>
    </x:xf>
    <x:xf numFmtId="0" fontId="3" fillId="8" borderId="15" xfId="0" applyNumberFormat="1" applyFont="1" applyFill="1" applyBorder="1" applyAlignment="1">
      <x:alignment horizontal="center" vertical="top" wrapText="1"/>
    </x:xf>
    <x:xf numFmtId="0" fontId="15" fillId="3" borderId="17" xfId="0" applyNumberFormat="1" applyFont="1" applyFill="1" applyBorder="1" applyAlignment="1">
      <x:alignment vertical="top" wrapText="1"/>
    </x:xf>
    <x:xf numFmtId="0" fontId="25" fillId="3" borderId="17" xfId="0" applyNumberFormat="1" applyFont="1" applyFill="1" applyBorder="1" applyAlignment="1">
      <x:alignment vertical="top" wrapText="1"/>
    </x:xf>
    <x:xf numFmtId="0" fontId="26" fillId="3" borderId="0" xfId="0" applyNumberFormat="1" applyFont="1" applyFill="1" applyBorder="1"/>
    <x:xf numFmtId="0" fontId="26" fillId="3" borderId="0" xfId="0" applyNumberFormat="1" applyFont="1" applyFill="1" applyBorder="1" applyAlignment="1">
      <x:alignment wrapText="1"/>
    </x:xf>
    <x:xf numFmtId="0" fontId="26" fillId="3" borderId="0" xfId="0" applyNumberFormat="1" applyFont="1" applyFill="1" applyBorder="1" applyAlignment="1">
      <x:alignment vertical="top" wrapText="1"/>
    </x:xf>
    <x:xf numFmtId="0" fontId="26" fillId="3" xfId="0" applyNumberFormat="1" applyFont="1" applyFill="1" applyBorder="0" applyAlignment="1">
      <x:alignment vertical="top" wrapText="1"/>
    </x:xf>
    <x:xf numFmtId="0" fontId="26" fillId="3" borderId="17" xfId="0" applyNumberFormat="1" applyFont="1" applyFill="1" applyBorder="1" applyAlignment="1">
      <x:alignment vertical="top" wrapText="1"/>
    </x:xf>
    <x:xf numFmtId="0" fontId="15" fillId="11" xfId="0" applyNumberFormat="1" applyFont="1" applyFill="1" applyBorder="0" applyAlignment="1">
      <x:alignment vertical="top" wrapText="1"/>
    </x:xf>
    <x:xf numFmtId="0" fontId="15" fillId="11" borderId="16" xfId="0" applyNumberFormat="1" applyFont="1" applyFill="1" applyBorder="1" applyAlignment="1">
      <x:alignment vertical="top" wrapText="1"/>
    </x:xf>
    <x:xf numFmtId="0" fontId="15" fillId="11" borderId="17" xfId="0" applyNumberFormat="1" applyFont="1" applyFill="1" applyBorder="1" applyAlignment="1">
      <x:alignment vertical="top" wrapText="1"/>
    </x:xf>
    <x:xf numFmtId="0" fontId="15" fillId="11" borderId="18" xfId="0" applyNumberFormat="1" applyFont="1" applyFill="1" applyBorder="1" applyAlignment="1">
      <x:alignment vertical="top" wrapText="1"/>
    </x:xf>
    <x:xf numFmtId="0" fontId="18" fillId="11" xfId="0" applyNumberFormat="1" applyFont="1" applyFill="1" applyBorder="0" applyAlignment="1">
      <x:alignment vertical="top" wrapText="1"/>
    </x:xf>
    <x:xf numFmtId="0" fontId="19" fillId="11" xfId="0" applyNumberFormat="1" applyFont="1" applyFill="1" applyBorder="0" applyAlignment="1">
      <x:alignment vertical="top" wrapText="1"/>
    </x:xf>
    <x:xf numFmtId="0" fontId="20" fillId="11" xfId="0" applyNumberFormat="1" applyFont="1" applyFill="1" applyBorder="0" applyAlignment="1">
      <x:alignment vertical="top" wrapText="1"/>
    </x:xf>
    <x:xf numFmtId="0" fontId="21" fillId="11" xfId="0" applyNumberFormat="1" applyFont="1" applyFill="1" applyBorder="0" applyAlignment="1">
      <x:alignment horizontal="center" vertical="top" wrapText="1"/>
    </x:xf>
    <x:xf numFmtId="0" fontId="22" fillId="11" xfId="0" applyNumberFormat="1" applyFont="1" applyFill="1" applyBorder="0" applyAlignment="1">
      <x:alignment horizontal="center" vertical="top" wrapText="1"/>
    </x:xf>
    <x:xf numFmtId="0" fontId="23" fillId="11" xfId="0" applyNumberFormat="1" applyFont="1" applyFill="1" applyBorder="0" applyAlignment="1">
      <x:alignment horizontal="center" vertical="top" wrapText="1"/>
    </x:xf>
    <x:xf numFmtId="0" fontId="21" fillId="11" borderId="16" xfId="0" applyNumberFormat="1" applyFont="1" applyFill="1" applyBorder="1" applyAlignment="1">
      <x:alignment horizontal="center" vertical="top" wrapText="1"/>
    </x:xf>
    <x:xf numFmtId="0" fontId="24" fillId="11" xfId="0" applyNumberFormat="1" applyFont="1" applyFill="1" applyBorder="0" applyAlignment="1">
      <x:alignment horizontal="left" vertical="top" wrapText="1"/>
    </x:xf>
    <x:xf numFmtId="0" fontId="24" fillId="11" xfId="0" applyNumberFormat="1" applyFont="1" applyFill="1" applyBorder="0" applyAlignment="1">
      <x:alignment horizontal="center" vertical="top" wrapText="1"/>
    </x:xf>
    <x:xf numFmtId="0" fontId="19" fillId="11" xfId="0" applyNumberFormat="1" applyFont="1" applyFill="1" applyBorder="0" applyAlignment="1">
      <x:alignment horizontal="left" vertical="top" wrapText="1"/>
    </x:xf>
    <x:xf numFmtId="0" fontId="24" fillId="11" borderId="16" xfId="0" applyNumberFormat="1" applyFont="1" applyFill="1" applyBorder="1" applyAlignment="1">
      <x:alignment horizontal="left" vertical="top" wrapText="1"/>
    </x:xf>
    <x:xf numFmtId="0" fontId="25" fillId="11" borderId="17" xfId="0" applyNumberFormat="1" applyFont="1" applyFill="1" applyBorder="1" applyAlignment="1">
      <x:alignment vertical="top" wrapText="1"/>
    </x:xf>
    <x:xf numFmtId="0" fontId="15" fillId="20" borderId="16" xfId="0" applyNumberFormat="1" applyFont="1" applyFill="1" applyBorder="1" applyAlignment="1">
      <x:alignment vertical="top" wrapText="1"/>
    </x:xf>
    <x:xf numFmtId="0" fontId="0" fillId="35" borderId="0" xfId="0" applyNumberFormat="1" applyFont="1" applyFill="1" applyBorder="1"/>
    <x:xf numFmtId="0" fontId="27" fillId="35" borderId="0" xfId="0" applyNumberFormat="1" applyFont="1" applyFill="1" applyBorder="1"/>
    <x:xf numFmtId="0" fontId="27" fillId="35" borderId="0" xfId="0" applyNumberFormat="1" applyFont="1" applyFill="1" applyBorder="1" applyAlignment="1">
      <x:alignment horizontal="left"/>
    </x:xf>
    <x:xf numFmtId="0" fontId="27" fillId="35" borderId="0" xfId="0" applyNumberFormat="1" applyFont="1" applyFill="1" applyBorder="1" applyAlignment="1">
      <x:alignment horizontal="left" vertical="center"/>
    </x:xf>
    <x:xf numFmtId="0" fontId="0" fillId="36" borderId="0" xfId="0" applyNumberFormat="1" applyFont="1" applyFill="1" applyBorder="1"/>
    <x:xf numFmtId="0" fontId="28" fillId="36" borderId="0" xfId="0" applyNumberFormat="1" applyFont="1" applyFill="1" applyBorder="1"/>
    <x:xf numFmtId="0" fontId="28" fillId="36" borderId="0" xfId="0" applyNumberFormat="1" applyFont="1" applyFill="1" applyBorder="1" applyAlignment="1">
      <x:alignment wrapText="1"/>
    </x:xf>
    <x:xf numFmtId="0" fontId="28" fillId="36" borderId="0" xfId="0" applyNumberFormat="1" applyFont="1" applyFill="1" applyBorder="1" applyAlignment="1">
      <x:alignment vertical="center" wrapText="1"/>
    </x:xf>
    <x:xf numFmtId="0" fontId="0" fillId="37" borderId="0" xfId="0" applyNumberFormat="1" applyFont="1" applyFill="1" applyBorder="1"/>
    <x:xf numFmtId="0" fontId="29" fillId="37" borderId="0" xfId="0" applyNumberFormat="1" applyFont="1" applyFill="1" applyBorder="1"/>
    <x:xf numFmtId="0" fontId="29" fillId="37" xfId="0" applyNumberFormat="1" applyFont="1" applyFill="1" applyBorder="0"/>
    <x:xf numFmtId="0" fontId="29" fillId="37" xfId="0" applyNumberFormat="1" applyFont="1" applyFill="1" applyBorder="0" applyAlignment="1">
      <x:alignment wrapText="1"/>
    </x:xf>
    <x:xf numFmtId="0" fontId="29" fillId="37" xfId="0" applyNumberFormat="1" applyFont="1" applyFill="1" applyBorder="0" applyAlignment="1">
      <x:alignment horizontal="center" wrapText="1"/>
    </x:xf>
    <x:xf numFmtId="0" fontId="29" fillId="37" xfId="0" applyNumberFormat="1" applyFont="1" applyFill="1" applyBorder="0" applyAlignment="1">
      <x:alignment horizontal="center" vertical="center" wrapText="1"/>
    </x:xf>
    <x:xf numFmtId="0" fontId="30" fillId="0" borderId="0" xfId="0" applyNumberFormat="1" applyFont="1" applyFill="1" applyBorder="1"/>
    <x:xf numFmtId="0" fontId="30" fillId="0" xfId="0" applyNumberFormat="1" applyFont="1" applyFill="1" applyBorder="0"/>
    <x:xf numFmtId="0" fontId="30" fillId="0" xfId="0" applyNumberFormat="1" applyFont="1" applyFill="1" applyBorder="0" applyAlignment="1">
      <x:alignment wrapText="1"/>
    </x:xf>
    <x:xf numFmtId="0" fontId="30" fillId="0" xfId="0" applyNumberFormat="1" applyFont="1" applyFill="1" applyBorder="0" applyAlignment="1">
      <x:alignment vertical="top" wrapText="1"/>
    </x:xf>
    <x:xf numFmtId="0" fontId="30" fillId="38" xfId="0" applyNumberFormat="1" applyFont="1" applyFill="1" applyBorder="0" applyAlignment="1">
      <x:alignment vertical="top" wrapText="1"/>
    </x:xf>
    <x:xf numFmtId="201" fontId="30" fillId="38" xfId="0" applyNumberFormat="1" applyFont="1" applyFill="1" applyBorder="0" applyAlignment="1">
      <x:alignment vertical="top" wrapText="1"/>
    </x:xf>
    <x:xf numFmtId="200" fontId="30" fillId="38" xfId="0" applyNumberFormat="1" applyFont="1" applyFill="1" applyBorder="0" applyAlignment="1">
      <x:alignment vertical="top" wrapText="1"/>
    </x:xf>
    <x:xf numFmtId="202" fontId="30" fillId="38" xfId="0" applyNumberFormat="1" applyFont="1" applyFill="1" applyBorder="0" applyAlignment="1">
      <x:alignment vertical="top" wrapText="1"/>
    </x:xf>
    <x:xf numFmtId="0" fontId="3" fillId="37" borderId="0" xfId="0" applyNumberFormat="1" applyFont="1" applyFill="1" applyBorder="1"/>
    <x:xf numFmtId="0" fontId="3" fillId="37" xfId="0" applyNumberFormat="1" applyFont="1" applyFill="1" applyBorder="0"/>
    <x:xf numFmtId="0" fontId="3" fillId="37" xfId="0" applyNumberFormat="1" applyFont="1" applyFill="1" applyBorder="0" applyAlignment="1">
      <x:alignment wrapText="1"/>
    </x:xf>
    <x:xf numFmtId="0" fontId="0" fillId="38" borderId="0" xfId="0" applyNumberFormat="1" applyFont="1" applyFill="1" applyBorder="1"/>
    <x:xf numFmtId="0" fontId="31" fillId="38" borderId="0" xfId="0" applyNumberFormat="1" applyFont="1" applyFill="1" applyBorder="1"/>
    <x:xf numFmtId="0" fontId="31" fillId="38" xfId="0" applyNumberFormat="1" applyFont="1" applyFill="1" applyBorder="0"/>
    <x:xf numFmtId="0" fontId="31" fillId="38" xfId="0" applyNumberFormat="1" applyFont="1" applyFill="1" applyBorder="0" applyAlignment="1">
      <x:alignment wrapText="1"/>
    </x:xf>
    <x:xf numFmtId="0" fontId="32" fillId="35" borderId="0" xfId="0" applyNumberFormat="1" applyFont="1" applyFill="1" applyBorder="1"/>
    <x:xf numFmtId="0" fontId="32" fillId="35" xfId="0" applyNumberFormat="1" applyFont="1" applyFill="1" applyBorder="0"/>
    <x:xf numFmtId="0" fontId="31" fillId="36" borderId="0" xfId="0" applyNumberFormat="1" applyFont="1" applyFill="1" applyBorder="1"/>
    <x:xf numFmtId="0" fontId="31" fillId="36" xfId="0" applyNumberFormat="1" applyFont="1" applyFill="1" applyBorder="0"/>
    <x:xf numFmtId="0" fontId="31" fillId="36" xfId="0" applyNumberFormat="1" applyFont="1" applyFill="1" applyBorder="0" applyAlignment="1">
      <x:alignment wrapText="1"/>
    </x:xf>
    <x:xf numFmtId="0" fontId="30" fillId="11" xfId="0" applyNumberFormat="1" applyFont="1" applyFill="1" applyBorder="0" applyAlignment="1">
      <x:alignment vertical="top" wrapText="1"/>
    </x:xf>
    <x:xf numFmtId="201" fontId="30" fillId="11" xfId="0" applyNumberFormat="1" applyFont="1" applyFill="1" applyBorder="0" applyAlignment="1">
      <x:alignment vertical="top" wrapText="1"/>
    </x:xf>
    <x:xf numFmtId="200" fontId="30" fillId="11" xfId="0" applyNumberFormat="1" applyFont="1" applyFill="1" applyBorder="0" applyAlignment="1">
      <x:alignment vertical="top" wrapText="1"/>
    </x:xf>
    <x:xf numFmtId="202" fontId="30" fillId="11" xfId="0" applyNumberFormat="1" applyFont="1" applyFill="1" applyBorder="0" applyAlignment="1">
      <x:alignment vertical="top" wrapText="1"/>
    </x:xf>
    <x:xf numFmtId="0" fontId="0" fillId="11" borderId="0" xfId="0" applyNumberFormat="1" applyFont="1" applyFill="1" applyBorder="1"/>
    <x:xf numFmtId="0" fontId="31" fillId="11" borderId="0" xfId="0" applyNumberFormat="1" applyFont="1" applyFill="1" applyBorder="1"/>
    <x:xf numFmtId="0" fontId="31" fillId="11" xfId="0" applyNumberFormat="1" applyFont="1" applyFill="1" applyBorder="0"/>
    <x:xf numFmtId="0" fontId="31" fillId="11" xfId="0" applyNumberFormat="1" applyFont="1" applyFill="1" applyBorder="0" applyAlignment="1">
      <x:alignment wrapText="1"/>
    </x:xf>
    <x:xf numFmtId="0" fontId="0" fillId="39" borderId="0" xfId="0" applyNumberFormat="1" applyFont="1" applyFill="1" applyBorder="1"/>
    <x:xf numFmtId="0" fontId="1" fillId="39" borderId="0" xfId="0" applyNumberFormat="1" applyFont="1" applyFill="1" applyBorder="1"/>
    <x:xf numFmtId="0" fontId="1" fillId="39" borderId="0" xfId="0" applyNumberFormat="1" applyFont="1" applyFill="1" applyBorder="1" applyAlignment="1">
      <x:alignment horizontal="left"/>
    </x:xf>
    <x:xf numFmtId="0" fontId="1" fillId="39" borderId="0" xfId="0" applyNumberFormat="1" applyFont="1" applyFill="1" applyBorder="1" applyAlignment="1">
      <x:alignment horizontal="left" vertical="center"/>
    </x:xf>
    <x:xf numFmtId="0" fontId="0" fillId="40" borderId="0" xfId="0" applyNumberFormat="1" applyFont="1" applyFill="1" applyBorder="1"/>
    <x:xf numFmtId="0" fontId="5" fillId="40" borderId="0" xfId="0" applyNumberFormat="1" applyFont="1" applyFill="1" applyBorder="1"/>
    <x:xf numFmtId="0" fontId="5" fillId="40" borderId="0" xfId="0" applyNumberFormat="1" applyFont="1" applyFill="1" applyBorder="1" applyAlignment="1">
      <x:alignment wrapText="1"/>
    </x:xf>
    <x:xf numFmtId="0" fontId="5" fillId="40" borderId="0" xfId="0" applyNumberFormat="1" applyFont="1" applyFill="1" applyBorder="1" applyAlignment="1">
      <x:alignment horizontal="left" wrapText="1"/>
    </x:xf>
    <x:xf numFmtId="0" fontId="5" fillId="40" borderId="0" xfId="0" applyNumberFormat="1" applyFont="1" applyFill="1" applyBorder="1" applyAlignment="1">
      <x:alignment horizontal="left" vertical="center" wrapText="1"/>
    </x:xf>
    <x:xf numFmtId="0" fontId="0" fillId="41" borderId="0" xfId="0" applyNumberFormat="1" applyFont="1" applyFill="1" applyBorder="1"/>
    <x:xf numFmtId="0" fontId="3" fillId="41" borderId="0" xfId="0" applyNumberFormat="1" applyFont="1" applyFill="1" applyBorder="1"/>
    <x:xf numFmtId="0" fontId="3" fillId="41" borderId="0" xfId="0" applyNumberFormat="1" applyFont="1" applyFill="1" applyBorder="1" applyAlignment="1">
      <x:alignment wrapText="1"/>
    </x:xf>
    <x:xf numFmtId="0" fontId="3" fillId="41" borderId="0" xfId="0" applyNumberFormat="1" applyFont="1" applyFill="1" applyBorder="1" applyAlignment="1">
      <x:alignment horizontal="center" wrapText="1"/>
    </x:xf>
    <x:xf numFmtId="0" fontId="3" fillId="41" borderId="0" xfId="0" applyNumberFormat="1" applyFont="1" applyFill="1" applyBorder="1" applyAlignment="1">
      <x:alignment horizontal="center" vertical="center" wrapText="1"/>
    </x:xf>
    <x:xf numFmtId="0" fontId="3" fillId="41" borderId="19" xfId="0" applyNumberFormat="1" applyFont="1" applyFill="1" applyBorder="1" applyAlignment="1">
      <x:alignment horizontal="center" vertical="center" wrapText="1"/>
    </x:xf>
    <x:xf numFmtId="0" fontId="0" fillId="0" borderId="19" xfId="0" applyNumberFormat="1" applyFont="1" applyFill="1" applyBorder="1" applyAlignment="1">
      <x:alignment wrapText="1"/>
    </x:xf>
    <x:xf numFmtId="0" fontId="0" fillId="42" borderId="0" xfId="0" applyNumberFormat="1" applyFont="1" applyFill="1" applyBorder="1"/>
    <x:xf numFmtId="0" fontId="7" fillId="42" borderId="0" xfId="0" applyNumberFormat="1" applyFont="1" applyFill="1" applyBorder="1"/>
    <x:xf numFmtId="0" fontId="7" fillId="42" borderId="0" xfId="0" applyNumberFormat="1" applyFont="1" applyFill="1" applyBorder="1" applyAlignment="1">
      <x:alignment wrapText="1"/>
    </x:xf>
    <x:xf numFmtId="0" fontId="33" fillId="0" borderId="19" xfId="0" applyNumberFormat="1" applyFont="1" applyFill="1" applyBorder="1" applyAlignment="1">
      <x:alignment wrapText="1"/>
    </x:xf>
    <x:xf numFmtId="0" fontId="34" fillId="0" borderId="19" xfId="0" applyNumberFormat="1" applyFont="1" applyFill="1" applyBorder="1" applyAlignment="1">
      <x:alignment wrapText="1"/>
    </x:xf>
    <x:xf numFmtId="0" fontId="0" fillId="0" borderId="19" xfId="0" applyNumberFormat="1" applyFont="1" applyFill="1" applyBorder="1"/>
    <x:xf numFmtId="0" fontId="0" fillId="43" borderId="0" xfId="0" applyNumberFormat="1" applyFont="1" applyFill="1" applyBorder="1"/>
    <x:xf numFmtId="0" fontId="35" fillId="43" borderId="0" xfId="0" applyNumberFormat="1" applyFont="1" applyFill="1" applyBorder="1"/>
    <x:xf numFmtId="0" fontId="35" fillId="43" borderId="0" xfId="0" applyNumberFormat="1" applyFont="1" applyFill="1" applyBorder="1" applyAlignment="1">
      <x:alignment vertical="center"/>
    </x:xf>
    <x:xf numFmtId="0" fontId="0" fillId="41" borderId="19" xfId="0" applyNumberFormat="1" applyFont="1" applyFill="1" applyBorder="1"/>
    <x:xf numFmtId="0" fontId="3" fillId="41" borderId="19" xfId="0" applyNumberFormat="1" applyFont="1" applyFill="1" applyBorder="1"/>
    <x:xf numFmtId="0" fontId="3" fillId="41" borderId="19" xfId="0" applyNumberFormat="1" applyFont="1" applyFill="1" applyBorder="1" applyAlignment="1">
      <x:alignment wrapText="1"/>
    </x:xf>
    <x:xf numFmtId="0" fontId="3" fillId="41" borderId="19" xfId="0" applyNumberFormat="1" applyFont="1" applyFill="1" applyBorder="1" applyAlignment="1">
      <x:alignment horizontal="center" wrapText="1"/>
    </x:xf>
    <x:xf numFmtId="0" fontId="13" fillId="39" borderId="0" xfId="0" applyNumberFormat="1" applyFont="1" applyFill="1" applyBorder="1" applyAlignment="1">
      <x:alignment horizontal="left" vertical="center" wrapText="1"/>
    </x:xf>
    <x:xf numFmtId="0" fontId="1" fillId="39" borderId="0" xfId="0" applyNumberFormat="1" applyFont="1" applyFill="1" applyBorder="1" applyAlignment="1">
      <x:alignment horizontal="left" vertical="center" wrapText="1"/>
    </x:xf>
    <x:xf numFmtId="0" fontId="32" fillId="43" xfId="0" applyNumberFormat="1" applyFont="1" applyFill="1" applyBorder="0"/>
    <x:xf numFmtId="0" fontId="36" fillId="43" xfId="0" applyNumberFormat="1" applyFont="1" applyFill="1" applyBorder="0"/>
    <x:xf numFmtId="0" fontId="36" fillId="43" xfId="0" applyNumberFormat="1" applyFont="1" applyFill="1" applyBorder="0" applyAlignment="1">
      <x:alignment vertical="center"/>
    </x:xf>
    <x:xf numFmtId="0" fontId="31" fillId="36" borderId="19" xfId="0" applyNumberFormat="1" applyFont="1" applyFill="1" applyBorder="1" applyAlignment="1">
      <x:alignment wrapText="1"/>
    </x:xf>
    <x:xf numFmtId="0" fontId="33" fillId="0" borderId="0" xfId="0" applyNumberFormat="1" applyFont="1" applyFill="1" applyBorder="1" applyAlignment="1">
      <x:alignment wrapText="1"/>
    </x:xf>
    <x:xf numFmtId="0" fontId="34" fillId="0" borderId="0" xfId="0" applyNumberFormat="1" applyFont="1" applyFill="1" applyBorder="1" applyAlignment="1">
      <x:alignment wrapText="1"/>
    </x:xf>
    <x:xf numFmtId="0" fontId="1" fillId="2" borderId="0" xfId="0" applyNumberFormat="1" applyFont="1" applyFill="1" applyBorder="1" applyAlignment="1">
      <x:alignment horizontal="left" vertical="center" wrapText="1"/>
    </x:xf>
    <x:xf numFmtId="0" fontId="31" fillId="36" borderId="0" xfId="0" applyNumberFormat="1" applyFont="1" applyFill="1" applyBorder="1" applyAlignment="1">
      <x:alignment wrapText="1"/>
    </x:xf>
    <x:xf numFmtId="0" fontId="0" fillId="44" borderId="0" xfId="0" applyNumberFormat="1" applyFont="1" applyFill="1" applyBorder="1"/>
    <x:xf numFmtId="0" fontId="1" fillId="44" borderId="0" xfId="0" applyNumberFormat="1" applyFont="1" applyFill="1" applyBorder="1"/>
    <x:xf numFmtId="0" fontId="1" fillId="44" borderId="0" xfId="0" applyNumberFormat="1" applyFont="1" applyFill="1" applyBorder="1" applyAlignment="1">
      <x:alignment horizontal="left"/>
    </x:xf>
    <x:xf numFmtId="0" fontId="1" fillId="44" borderId="0" xfId="0" applyNumberFormat="1" applyFont="1" applyFill="1" applyBorder="1" applyAlignment="1">
      <x:alignment horizontal="left" vertical="center"/>
    </x:xf>
    <x:xf numFmtId="0" fontId="0" fillId="45" borderId="0" xfId="0" applyNumberFormat="1" applyFont="1" applyFill="1" applyBorder="1"/>
    <x:xf numFmtId="0" fontId="5" fillId="45" borderId="0" xfId="0" applyNumberFormat="1" applyFont="1" applyFill="1" applyBorder="1"/>
    <x:xf numFmtId="0" fontId="5" fillId="45" borderId="0" xfId="0" applyNumberFormat="1" applyFont="1" applyFill="1" applyBorder="1" applyAlignment="1">
      <x:alignment wrapText="1"/>
    </x:xf>
    <x:xf numFmtId="0" fontId="5" fillId="45" borderId="0" xfId="0" applyNumberFormat="1" applyFont="1" applyFill="1" applyBorder="1" applyAlignment="1">
      <x:alignment horizontal="left" wrapText="1"/>
    </x:xf>
    <x:xf numFmtId="0" fontId="5" fillId="45" borderId="0" xfId="0" applyNumberFormat="1" applyFont="1" applyFill="1" applyBorder="1" applyAlignment="1">
      <x:alignment horizontal="left" vertical="center" wrapText="1"/>
    </x:xf>
    <x:xf numFmtId="0" fontId="0" fillId="46" borderId="0" xfId="0" applyNumberFormat="1" applyFont="1" applyFill="1" applyBorder="1"/>
    <x:xf numFmtId="0" fontId="3" fillId="46" borderId="0" xfId="0" applyNumberFormat="1" applyFont="1" applyFill="1" applyBorder="1"/>
    <x:xf numFmtId="0" fontId="3" fillId="46" borderId="0" xfId="0" applyNumberFormat="1" applyFont="1" applyFill="1" applyBorder="1" applyAlignment="1">
      <x:alignment wrapText="1"/>
    </x:xf>
    <x:xf numFmtId="0" fontId="3" fillId="46" borderId="0" xfId="0" applyNumberFormat="1" applyFont="1" applyFill="1" applyBorder="1" applyAlignment="1">
      <x:alignment horizontal="center" wrapText="1"/>
    </x:xf>
    <x:xf numFmtId="0" fontId="3" fillId="46" borderId="0" xfId="0" applyNumberFormat="1" applyFont="1" applyFill="1" applyBorder="1" applyAlignment="1">
      <x:alignment horizontal="center" vertical="center" wrapText="1"/>
    </x:xf>
    <x:xf numFmtId="0" fontId="3" fillId="46" borderId="20" xfId="0" applyNumberFormat="1" applyFont="1" applyFill="1" applyBorder="1" applyAlignment="1">
      <x:alignment horizontal="center" vertical="center" wrapText="1"/>
    </x:xf>
    <x:xf numFmtId="0" fontId="3" fillId="46" borderId="21" xfId="0" applyNumberFormat="1" applyFont="1" applyFill="1" applyBorder="1" applyAlignment="1">
      <x:alignment horizontal="center" vertical="center"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47" borderId="0" xfId="0" applyNumberFormat="1" applyFont="1" applyFill="1" applyBorder="1" applyAlignment="1">
      <x:alignment wrapText="1"/>
    </x:xf>
    <x:xf numFmtId="0" fontId="35" fillId="47" borderId="0" xfId="0" applyNumberFormat="1" applyFont="1" applyFill="1" applyBorder="1" applyAlignment="1">
      <x:alignment wrapText="1"/>
    </x:xf>
    <x:xf numFmtId="0" fontId="0" fillId="48" borderId="0" xfId="0" applyNumberFormat="1" applyFont="1" applyFill="1" applyBorder="1" applyAlignment="1">
      <x:alignment wrapText="1"/>
    </x:xf>
    <x:xf numFmtId="0" fontId="7" fillId="48" borderId="0" xfId="0" applyNumberFormat="1" applyFont="1" applyFill="1" applyBorder="1" applyAlignment="1">
      <x:alignment wrapText="1"/>
    </x:xf>
    <x:xf numFmtId="0" fontId="3" fillId="46" xfId="0" applyNumberFormat="1" applyFont="1" applyFill="1" applyBorder="0" applyAlignment="1">
      <x:alignment wrapText="1"/>
    </x:xf>
    <x:xf numFmtId="0" fontId="3" fillId="46" xfId="0" applyNumberFormat="1" applyFont="1" applyFill="1" applyBorder="0" applyAlignment="1">
      <x:alignment horizontal="center" wrapText="1"/>
    </x:xf>
    <x:xf numFmtId="0" fontId="3" fillId="46" xfId="0" applyNumberFormat="1" applyFont="1" applyFill="1" applyBorder="0" applyAlignment="1">
      <x:alignment horizontal="center" vertical="center" wrapText="1"/>
    </x:xf>
    <x:xf numFmtId="0" fontId="1" fillId="44" borderId="0" xfId="0" applyNumberFormat="1" applyFont="1" applyFill="1" applyBorder="1" applyAlignment="1">
      <x:alignment horizontal="left" vertical="center" wrapText="1"/>
    </x:xf>
    <x:xf numFmtId="0" fontId="15" fillId="48" xfId="0" applyNumberFormat="1" applyFont="1" applyFill="1" applyBorder="0" applyAlignment="1">
      <x:alignment vertical="top" wrapText="1"/>
    </x:xf>
    <x:xf numFmtId="0" fontId="15" fillId="48" borderId="17" xfId="0" applyNumberFormat="1" applyFont="1" applyFill="1" applyBorder="1" applyAlignment="1">
      <x:alignment vertical="top" wrapText="1"/>
    </x:xf>
    <x:xf numFmtId="0" fontId="19" fillId="48" xfId="0" applyNumberFormat="1" applyFont="1" applyFill="1" applyBorder="0" applyAlignment="1">
      <x:alignment vertical="top" wrapText="1"/>
    </x:xf>
    <x:xf numFmtId="0" fontId="19" fillId="48" borderId="17" xfId="0" applyNumberFormat="1" applyFont="1" applyFill="1" applyBorder="1" applyAlignment="1">
      <x:alignment vertical="top" wrapText="1"/>
    </x:xf>
    <x:xf numFmtId="0" fontId="0" fillId="43" borderId="0" xfId="0" applyNumberFormat="1" applyFont="1" applyFill="1" applyBorder="1" applyAlignment="1">
      <x:alignment wrapText="1"/>
    </x:xf>
    <x:xf numFmtId="0" fontId="35" fillId="43" borderId="0" xfId="0" applyNumberFormat="1" applyFont="1" applyFill="1" applyBorder="1" applyAlignment="1">
      <x:alignment wrapText="1"/>
    </x:xf>
    <x:xf numFmtId="0" fontId="0" fillId="5" borderId="0" xfId="0" applyNumberFormat="1" applyFont="1" applyFill="1" applyBorder="1" applyAlignment="1">
      <x:alignment wrapText="1"/>
    </x:xf>
    <x:xf numFmtId="0" fontId="3" fillId="8" xfId="0" applyNumberFormat="1" applyFont="1" applyFill="1" applyBorder="0" applyAlignment="1">
      <x:alignment wrapText="1"/>
    </x:xf>
    <x:xf numFmtId="0" fontId="3" fillId="8" xfId="0" applyNumberFormat="1" applyFont="1" applyFill="1" applyBorder="0" applyAlignment="1">
      <x:alignment horizontal="center" wrapText="1"/>
    </x:xf>
    <x:xf numFmtId="0" fontId="3" fillId="8" xfId="0" applyNumberFormat="1" applyFont="1" applyFill="1" applyBorder="0" applyAlignment="1">
      <x:alignment horizontal="center" vertical="center" wrapText="1"/>
    </x:xf>
    <x:xf numFmtId="0" fontId="15" fillId="5" borderId="17" xfId="0" applyNumberFormat="1" applyFont="1" applyFill="1" applyBorder="1" applyAlignment="1">
      <x:alignment vertical="top" wrapText="1"/>
    </x:xf>
    <x:xf numFmtId="0" fontId="19" fillId="5" borderId="17" xfId="0" applyNumberFormat="1" applyFont="1" applyFill="1" applyBorder="1" applyAlignment="1">
      <x:alignment vertical="top" wrapText="1"/>
    </x:xf>
    <x:xf numFmtId="0" fontId="0" fillId="49" borderId="0" xfId="0" applyNumberFormat="1" applyFont="1" applyFill="1" applyBorder="1"/>
    <x:xf numFmtId="0" fontId="1" fillId="49" borderId="0" xfId="0" applyNumberFormat="1" applyFont="1" applyFill="1" applyBorder="1"/>
    <x:xf numFmtId="0" fontId="1" fillId="49" borderId="0" xfId="0" applyNumberFormat="1" applyFont="1" applyFill="1" applyBorder="1" applyAlignment="1">
      <x:alignment horizontal="left"/>
    </x:xf>
    <x:xf numFmtId="0" fontId="1" fillId="49" borderId="0" xfId="0" applyNumberFormat="1" applyFont="1" applyFill="1" applyBorder="1" applyAlignment="1">
      <x:alignment horizontal="left" vertical="center"/>
    </x:xf>
    <x:xf numFmtId="0" fontId="0" fillId="50" borderId="0" xfId="0" applyNumberFormat="1" applyFont="1" applyFill="1" applyBorder="1"/>
    <x:xf numFmtId="0" fontId="5" fillId="50" borderId="0" xfId="0" applyNumberFormat="1" applyFont="1" applyFill="1" applyBorder="1"/>
    <x:xf numFmtId="0" fontId="5" fillId="50" borderId="0" xfId="0" applyNumberFormat="1" applyFont="1" applyFill="1" applyBorder="1" applyAlignment="1">
      <x:alignment wrapText="1"/>
    </x:xf>
    <x:xf numFmtId="0" fontId="5" fillId="50" borderId="0" xfId="0" applyNumberFormat="1" applyFont="1" applyFill="1" applyBorder="1" applyAlignment="1">
      <x:alignment horizontal="left" wrapText="1"/>
    </x:xf>
    <x:xf numFmtId="0" fontId="5" fillId="50" borderId="0" xfId="0" applyNumberFormat="1" applyFont="1" applyFill="1" applyBorder="1" applyAlignment="1">
      <x:alignment horizontal="left" vertical="center" wrapText="1"/>
    </x:xf>
    <x:xf numFmtId="0" fontId="0" fillId="51" borderId="0" xfId="0" applyNumberFormat="1" applyFont="1" applyFill="1" applyBorder="1"/>
    <x:xf numFmtId="0" fontId="3" fillId="51" borderId="0" xfId="0" applyNumberFormat="1" applyFont="1" applyFill="1" applyBorder="1"/>
    <x:xf numFmtId="0" fontId="3" fillId="51" borderId="0" xfId="0" applyNumberFormat="1" applyFont="1" applyFill="1" applyBorder="1" applyAlignment="1">
      <x:alignment wrapText="1"/>
    </x:xf>
    <x:xf numFmtId="0" fontId="3" fillId="51" borderId="0" xfId="0" applyNumberFormat="1" applyFont="1" applyFill="1" applyBorder="1" applyAlignment="1">
      <x:alignment horizontal="center" wrapText="1"/>
    </x:xf>
    <x:xf numFmtId="0" fontId="3" fillId="51" borderId="0" xfId="0" applyNumberFormat="1" applyFont="1" applyFill="1" applyBorder="1" applyAlignment="1">
      <x:alignment horizontal="center" vertical="center" wrapText="1"/>
    </x:xf>
    <x:xf numFmtId="0" fontId="0" fillId="52" borderId="0" xfId="0" applyNumberFormat="1" applyFont="1" applyFill="1" applyBorder="1" applyAlignment="1">
      <x:alignment wrapText="1"/>
    </x:xf>
    <x:xf numFmtId="0" fontId="7" fillId="52" borderId="0" xfId="0" applyNumberFormat="1" applyFont="1" applyFill="1" applyBorder="1" applyAlignment="1">
      <x:alignment wrapText="1"/>
    </x:xf>
    <x:xf numFmtId="0" fontId="1" fillId="49" borderId="0" xfId="0" applyNumberFormat="1" applyFont="1" applyFill="1" applyBorder="1" applyAlignment="1">
      <x:alignment horizontal="left" vertical="center" wrapText="1"/>
    </x:xf>
    <x:xf numFmtId="0" fontId="19" fillId="52" xfId="0" applyNumberFormat="1" applyFont="1" applyFill="1" applyBorder="0" applyAlignment="1">
      <x:alignment vertical="top" wrapText="1"/>
    </x:xf>
    <x:xf numFmtId="0" fontId="19" fillId="52" borderId="17" xfId="0" applyNumberFormat="1" applyFont="1" applyFill="1" applyBorder="1" applyAlignment="1">
      <x:alignment vertical="top" wrapText="1"/>
    </x:xf>
    <x:xf numFmtId="0" fontId="0" fillId="53" borderId="0" xfId="0" applyNumberFormat="1" applyFont="1" applyFill="1" applyBorder="1"/>
    <x:xf numFmtId="0" fontId="1" fillId="53" borderId="0" xfId="0" applyNumberFormat="1" applyFont="1" applyFill="1" applyBorder="1"/>
    <x:xf numFmtId="0" fontId="1" fillId="53" borderId="0" xfId="0" applyNumberFormat="1" applyFont="1" applyFill="1" applyBorder="1" applyAlignment="1">
      <x:alignment horizontal="left"/>
    </x:xf>
    <x:xf numFmtId="0" fontId="1" fillId="53" borderId="0" xfId="0" applyNumberFormat="1" applyFont="1" applyFill="1" applyBorder="1" applyAlignment="1">
      <x:alignment horizontal="left" vertical="center"/>
    </x:xf>
    <x:xf numFmtId="0" fontId="0" fillId="54" borderId="0" xfId="0" applyNumberFormat="1" applyFont="1" applyFill="1" applyBorder="1"/>
    <x:xf numFmtId="0" fontId="5" fillId="54" borderId="0" xfId="0" applyNumberFormat="1" applyFont="1" applyFill="1" applyBorder="1"/>
    <x:xf numFmtId="0" fontId="5" fillId="54" borderId="0" xfId="0" applyNumberFormat="1" applyFont="1" applyFill="1" applyBorder="1" applyAlignment="1">
      <x:alignment wrapText="1"/>
    </x:xf>
    <x:xf numFmtId="0" fontId="5" fillId="54" borderId="0" xfId="0" applyNumberFormat="1" applyFont="1" applyFill="1" applyBorder="1" applyAlignment="1">
      <x:alignment horizontal="left" wrapText="1"/>
    </x:xf>
    <x:xf numFmtId="0" fontId="5" fillId="54" borderId="0" xfId="0" applyNumberFormat="1" applyFont="1" applyFill="1" applyBorder="1" applyAlignment="1">
      <x:alignment horizontal="left" vertical="center" wrapText="1"/>
    </x:xf>
    <x:xf numFmtId="0" fontId="0" fillId="55" borderId="0" xfId="0" applyNumberFormat="1" applyFont="1" applyFill="1" applyBorder="1"/>
    <x:xf numFmtId="0" fontId="3" fillId="55" borderId="0" xfId="0" applyNumberFormat="1" applyFont="1" applyFill="1" applyBorder="1"/>
    <x:xf numFmtId="0" fontId="3" fillId="55" borderId="0" xfId="0" applyNumberFormat="1" applyFont="1" applyFill="1" applyBorder="1" applyAlignment="1">
      <x:alignment wrapText="1"/>
    </x:xf>
    <x:xf numFmtId="0" fontId="3" fillId="55" borderId="0" xfId="0" applyNumberFormat="1" applyFont="1" applyFill="1" applyBorder="1" applyAlignment="1">
      <x:alignment horizontal="center" wrapText="1"/>
    </x:xf>
    <x:xf numFmtId="0" fontId="3" fillId="55" borderId="0" xfId="0" applyNumberFormat="1" applyFont="1" applyFill="1" applyBorder="1" applyAlignment="1">
      <x:alignment horizontal="center" vertical="center" wrapText="1"/>
    </x:xf>
    <x:xf numFmtId="0" fontId="0" fillId="56" borderId="0" xfId="0" applyNumberFormat="1" applyFont="1" applyFill="1" applyBorder="1"/>
    <x:xf numFmtId="0" fontId="35" fillId="56" borderId="0" xfId="0" applyNumberFormat="1" applyFont="1" applyFill="1" applyBorder="1"/>
    <x:xf numFmtId="0" fontId="35" fillId="56" borderId="0" xfId="0" applyNumberFormat="1" applyFont="1" applyFill="1" applyBorder="1" applyAlignment="1">
      <x:alignment wrapText="1"/>
    </x:xf>
    <x:xf numFmtId="0" fontId="0" fillId="57" borderId="0" xfId="0" applyNumberFormat="1" applyFont="1" applyFill="1" applyBorder="1"/>
    <x:xf numFmtId="0" fontId="7" fillId="57" borderId="0" xfId="0" applyNumberFormat="1" applyFont="1" applyFill="1" applyBorder="1"/>
    <x:xf numFmtId="0" fontId="7" fillId="57" borderId="0" xfId="0" applyNumberFormat="1" applyFont="1" applyFill="1" applyBorder="1" applyAlignment="1">
      <x:alignment wrapText="1"/>
    </x:xf>
    <x:xf numFmtId="0" fontId="1" fillId="57" borderId="0" xfId="0" applyNumberFormat="1" applyFont="1" applyFill="1" applyBorder="1" applyAlignment="1">
      <x:alignment horizontal="left" vertical="center"/>
    </x:xf>
    <x:xf numFmtId="0" fontId="37" fillId="57" borderId="0" xfId="0" applyNumberFormat="1" applyFont="1" applyFill="1" applyBorder="1" applyAlignment="1">
      <x:alignment horizontal="left" vertical="center"/>
    </x:xf>
    <x:xf numFmtId="0" fontId="37" fillId="57" borderId="0" xfId="0" applyNumberFormat="1" applyFont="1" applyFill="1" applyBorder="1" applyAlignment="1">
      <x:alignment horizontal="left" vertical="center" wrapText="1"/>
    </x:xf>
    <x:xf numFmtId="0" fontId="3" fillId="54" borderId="0" xfId="0" applyNumberFormat="1" applyFont="1" applyFill="1" applyBorder="1" applyAlignment="1">
      <x:alignment horizontal="center" vertical="center" wrapText="1"/>
    </x:xf>
    <x:xf numFmtId="0" fontId="38" fillId="54" borderId="0" xfId="0" applyNumberFormat="1" applyFont="1" applyFill="1" applyBorder="1" applyAlignment="1">
      <x:alignment horizontal="center" vertical="center" wrapText="1"/>
    </x:xf>
    <x:xf numFmtId="0" fontId="38" fillId="54" borderId="0" xfId="0" applyNumberFormat="1" applyFont="1" applyFill="1" applyBorder="1" applyAlignment="1">
      <x:alignment horizontal="left" vertical="center" wrapText="1"/>
    </x:xf>
    <x:xf numFmtId="0" fontId="1" fillId="53" borderId="0" xfId="0" applyNumberFormat="1" applyFont="1" applyFill="1" applyBorder="1" applyAlignment="1">
      <x:alignment horizontal="left" vertical="center" wrapText="1"/>
    </x:xf>
    <x:xf numFmtId="0" fontId="19" fillId="57" xfId="0" applyNumberFormat="1" applyFont="1" applyFill="1" applyBorder="0" applyAlignment="1">
      <x:alignment vertical="top" wrapText="1"/>
    </x:xf>
    <x:xf numFmtId="0" fontId="19" fillId="57" borderId="17" xfId="0" applyNumberFormat="1" applyFont="1" applyFill="1" applyBorder="1" applyAlignment="1">
      <x:alignment vertical="top" wrapText="1"/>
    </x:xf>
    <x:xf numFmtId="0" fontId="1" fillId="5" borderId="0" xfId="0" applyNumberFormat="1" applyFont="1" applyFill="1" applyBorder="1" applyAlignment="1">
      <x:alignment horizontal="left" vertical="center"/>
    </x:xf>
    <x:xf numFmtId="0" fontId="37" fillId="5" borderId="0" xfId="0" applyNumberFormat="1" applyFont="1" applyFill="1" applyBorder="1" applyAlignment="1">
      <x:alignment horizontal="left" vertical="center"/>
    </x:xf>
    <x:xf numFmtId="0" fontId="37" fillId="5" borderId="0" xfId="0" applyNumberFormat="1" applyFont="1" applyFill="1" applyBorder="1" applyAlignment="1">
      <x:alignment horizontal="left" vertical="center" wrapText="1"/>
    </x:xf>
    <x:xf numFmtId="0" fontId="3" fillId="3" borderId="0" xfId="0" applyNumberFormat="1" applyFont="1" applyFill="1" applyBorder="1" applyAlignment="1">
      <x:alignment horizontal="center" vertical="center" wrapText="1"/>
    </x:xf>
    <x:xf numFmtId="0" fontId="38" fillId="3" borderId="0" xfId="0" applyNumberFormat="1" applyFont="1" applyFill="1" applyBorder="1" applyAlignment="1">
      <x:alignment horizontal="center" vertical="center" wrapText="1"/>
    </x:xf>
    <x:xf numFmtId="0" fontId="38" fillId="3" borderId="0" xfId="0" applyNumberFormat="1" applyFont="1" applyFill="1" applyBorder="1" applyAlignment="1">
      <x:alignment horizontal="left" vertical="center" wrapText="1"/>
    </x:xf>
    <x:xf numFmtId="0" fontId="0" fillId="58" borderId="0" xfId="0" applyNumberFormat="1" applyFont="1" applyFill="1" applyBorder="1"/>
    <x:xf numFmtId="0" fontId="1" fillId="58" borderId="0" xfId="0" applyNumberFormat="1" applyFont="1" applyFill="1" applyBorder="1"/>
    <x:xf numFmtId="0" fontId="1" fillId="58" borderId="0" xfId="0" applyNumberFormat="1" applyFont="1" applyFill="1" applyBorder="1" applyAlignment="1">
      <x:alignment horizontal="left"/>
    </x:xf>
    <x:xf numFmtId="0" fontId="1" fillId="58" borderId="0" xfId="0" applyNumberFormat="1" applyFont="1" applyFill="1" applyBorder="1" applyAlignment="1">
      <x:alignment horizontal="left" vertical="center"/>
    </x:xf>
    <x:xf numFmtId="0" fontId="0" fillId="59" borderId="0" xfId="0" applyNumberFormat="1" applyFont="1" applyFill="1" applyBorder="1"/>
    <x:xf numFmtId="0" fontId="5" fillId="59" borderId="0" xfId="0" applyNumberFormat="1" applyFont="1" applyFill="1" applyBorder="1"/>
    <x:xf numFmtId="0" fontId="5" fillId="59" borderId="0" xfId="0" applyNumberFormat="1" applyFont="1" applyFill="1" applyBorder="1" applyAlignment="1">
      <x:alignment wrapText="1"/>
    </x:xf>
    <x:xf numFmtId="0" fontId="5" fillId="59" borderId="0" xfId="0" applyNumberFormat="1" applyFont="1" applyFill="1" applyBorder="1" applyAlignment="1">
      <x:alignment horizontal="left" wrapText="1"/>
    </x:xf>
    <x:xf numFmtId="0" fontId="5" fillId="59" borderId="0" xfId="0" applyNumberFormat="1" applyFont="1" applyFill="1" applyBorder="1" applyAlignment="1">
      <x:alignment horizontal="left" vertical="center" wrapText="1"/>
    </x:xf>
    <x:xf numFmtId="0" fontId="0" fillId="60" borderId="0" xfId="0" applyNumberFormat="1" applyFont="1" applyFill="1" applyBorder="1"/>
    <x:xf numFmtId="0" fontId="3" fillId="60" borderId="0" xfId="0" applyNumberFormat="1" applyFont="1" applyFill="1" applyBorder="1"/>
    <x:xf numFmtId="0" fontId="3" fillId="60" borderId="0" xfId="0" applyNumberFormat="1" applyFont="1" applyFill="1" applyBorder="1" applyAlignment="1">
      <x:alignment wrapText="1"/>
    </x:xf>
    <x:xf numFmtId="0" fontId="3" fillId="60" borderId="0" xfId="0" applyNumberFormat="1" applyFont="1" applyFill="1" applyBorder="1" applyAlignment="1">
      <x:alignment horizontal="center" wrapText="1"/>
    </x:xf>
    <x:xf numFmtId="0" fontId="3" fillId="60" borderId="0" xfId="0" applyNumberFormat="1" applyFont="1" applyFill="1" applyBorder="1" applyAlignment="1">
      <x:alignment horizontal="center" vertical="center" wrapText="1"/>
    </x:xf>
    <x:xf numFmtId="0" fontId="0" fillId="61" borderId="0" xfId="0" applyNumberFormat="1" applyFont="1" applyFill="1" applyBorder="1" applyAlignment="1">
      <x:alignment wrapText="1"/>
    </x:xf>
    <x:xf numFmtId="0" fontId="35" fillId="61" borderId="0" xfId="0" applyNumberFormat="1" applyFont="1" applyFill="1" applyBorder="1" applyAlignment="1">
      <x:alignment wrapText="1"/>
    </x:xf>
    <x:xf numFmtId="0" fontId="0" fillId="62" borderId="0" xfId="0" applyNumberFormat="1" applyFont="1" applyFill="1" applyBorder="1" applyAlignment="1">
      <x:alignment wrapText="1"/>
    </x:xf>
    <x:xf numFmtId="0" fontId="7" fillId="62" borderId="0" xfId="0" applyNumberFormat="1" applyFont="1" applyFill="1" applyBorder="1" applyAlignment="1">
      <x:alignment wrapText="1"/>
    </x:xf>
    <x:xf numFmtId="0" fontId="1" fillId="58" borderId="0" xfId="0" applyNumberFormat="1" applyFont="1" applyFill="1" applyBorder="1" applyAlignment="1">
      <x:alignment horizontal="left" vertical="center" wrapText="1"/>
    </x:xf>
    <x:xf numFmtId="0" fontId="19" fillId="62" xfId="0" applyNumberFormat="1" applyFont="1" applyFill="1" applyBorder="0" applyAlignment="1">
      <x:alignment vertical="top" wrapText="1"/>
    </x:xf>
    <x:xf numFmtId="0" fontId="19" fillId="62" borderId="17" xfId="0" applyNumberFormat="1" applyFont="1" applyFill="1" applyBorder="1" applyAlignment="1">
      <x:alignment vertical="top" wrapText="1"/>
    </x:xf>
    <x:xf numFmtId="0" fontId="0" fillId="63" borderId="0" xfId="0" applyNumberFormat="1" applyFont="1" applyFill="1" applyBorder="1"/>
    <x:xf numFmtId="0" fontId="1" fillId="63" borderId="0" xfId="0" applyNumberFormat="1" applyFont="1" applyFill="1" applyBorder="1"/>
    <x:xf numFmtId="0" fontId="1" fillId="63" borderId="0" xfId="0" applyNumberFormat="1" applyFont="1" applyFill="1" applyBorder="1" applyAlignment="1">
      <x:alignment horizontal="left"/>
    </x:xf>
    <x:xf numFmtId="0" fontId="1" fillId="63" borderId="0" xfId="0" applyNumberFormat="1" applyFont="1" applyFill="1" applyBorder="1" applyAlignment="1">
      <x:alignment horizontal="left" vertical="center"/>
    </x:xf>
    <x:xf numFmtId="0" fontId="0" fillId="64" borderId="0" xfId="0" applyNumberFormat="1" applyFont="1" applyFill="1" applyBorder="1"/>
    <x:xf numFmtId="0" fontId="5" fillId="64" borderId="0" xfId="0" applyNumberFormat="1" applyFont="1" applyFill="1" applyBorder="1"/>
    <x:xf numFmtId="0" fontId="5" fillId="64" borderId="0" xfId="0" applyNumberFormat="1" applyFont="1" applyFill="1" applyBorder="1" applyAlignment="1">
      <x:alignment wrapText="1"/>
    </x:xf>
    <x:xf numFmtId="0" fontId="5" fillId="64" borderId="0" xfId="0" applyNumberFormat="1" applyFont="1" applyFill="1" applyBorder="1" applyAlignment="1">
      <x:alignment horizontal="left" wrapText="1"/>
    </x:xf>
    <x:xf numFmtId="0" fontId="5" fillId="64" borderId="0" xfId="0" applyNumberFormat="1" applyFont="1" applyFill="1" applyBorder="1" applyAlignment="1">
      <x:alignment horizontal="left" vertical="center" wrapText="1"/>
    </x:xf>
    <x:xf numFmtId="0" fontId="0" fillId="65" borderId="0" xfId="0" applyNumberFormat="1" applyFont="1" applyFill="1" applyBorder="1"/>
    <x:xf numFmtId="0" fontId="3" fillId="65" borderId="0" xfId="0" applyNumberFormat="1" applyFont="1" applyFill="1" applyBorder="1"/>
    <x:xf numFmtId="0" fontId="3" fillId="65" borderId="0" xfId="0" applyNumberFormat="1" applyFont="1" applyFill="1" applyBorder="1" applyAlignment="1">
      <x:alignment wrapText="1"/>
    </x:xf>
    <x:xf numFmtId="0" fontId="3" fillId="65" borderId="0" xfId="0" applyNumberFormat="1" applyFont="1" applyFill="1" applyBorder="1" applyAlignment="1">
      <x:alignment horizontal="center" wrapText="1"/>
    </x:xf>
    <x:xf numFmtId="0" fontId="3" fillId="65" borderId="0" xfId="0" applyNumberFormat="1" applyFont="1" applyFill="1" applyBorder="1" applyAlignment="1">
      <x:alignment horizontal="center" vertical="center" wrapText="1"/>
    </x:xf>
    <x:xf numFmtId="0" fontId="0" fillId="66" borderId="0" xfId="0" applyNumberFormat="1" applyFont="1" applyFill="1" applyBorder="1" applyAlignment="1">
      <x:alignment wrapText="1"/>
    </x:xf>
    <x:xf numFmtId="0" fontId="35" fillId="66" borderId="0" xfId="0" applyNumberFormat="1" applyFont="1" applyFill="1" applyBorder="1" applyAlignment="1">
      <x:alignment wrapText="1"/>
    </x:xf>
    <x:xf numFmtId="0" fontId="0" fillId="67" borderId="0" xfId="0" applyNumberFormat="1" applyFont="1" applyFill="1" applyBorder="1" applyAlignment="1">
      <x:alignment wrapText="1"/>
    </x:xf>
    <x:xf numFmtId="0" fontId="7" fillId="67" borderId="0" xfId="0" applyNumberFormat="1" applyFont="1" applyFill="1" applyBorder="1" applyAlignment="1">
      <x:alignment wrapText="1"/>
    </x:xf>
    <x:xf numFmtId="0" fontId="1" fillId="63" borderId="0" xfId="0" applyNumberFormat="1" applyFont="1" applyFill="1" applyBorder="1" applyAlignment="1">
      <x:alignment horizontal="left" vertical="center" wrapText="1"/>
    </x:xf>
    <x:xf numFmtId="0" fontId="19" fillId="67" xfId="0" applyNumberFormat="1" applyFont="1" applyFill="1" applyBorder="0" applyAlignment="1">
      <x:alignment vertical="top" wrapText="1"/>
    </x:xf>
    <x:xf numFmtId="0" fontId="19" fillId="67" borderId="17" xfId="0" applyNumberFormat="1" applyFont="1" applyFill="1" applyBorder="1" applyAlignment="1">
      <x:alignment vertical="top" wrapText="1"/>
    </x:xf>
    <x:xf numFmtId="0" fontId="0" fillId="68" borderId="0" xfId="0" applyNumberFormat="1" applyFont="1" applyFill="1" applyBorder="1"/>
    <x:xf numFmtId="0" fontId="1" fillId="68" borderId="0" xfId="0" applyNumberFormat="1" applyFont="1" applyFill="1" applyBorder="1"/>
    <x:xf numFmtId="0" fontId="1" fillId="68" borderId="0" xfId="0" applyNumberFormat="1" applyFont="1" applyFill="1" applyBorder="1" applyAlignment="1">
      <x:alignment horizontal="left"/>
    </x:xf>
    <x:xf numFmtId="0" fontId="1" fillId="68" borderId="0" xfId="0" applyNumberFormat="1" applyFont="1" applyFill="1" applyBorder="1" applyAlignment="1">
      <x:alignment horizontal="left" vertical="center"/>
    </x:xf>
    <x:xf numFmtId="0" fontId="0" fillId="69" borderId="0" xfId="0" applyNumberFormat="1" applyFont="1" applyFill="1" applyBorder="1"/>
    <x:xf numFmtId="0" fontId="5" fillId="69" borderId="0" xfId="0" applyNumberFormat="1" applyFont="1" applyFill="1" applyBorder="1"/>
    <x:xf numFmtId="0" fontId="5" fillId="69" borderId="0" xfId="0" applyNumberFormat="1" applyFont="1" applyFill="1" applyBorder="1" applyAlignment="1">
      <x:alignment wrapText="1"/>
    </x:xf>
    <x:xf numFmtId="0" fontId="5" fillId="69" borderId="0" xfId="0" applyNumberFormat="1" applyFont="1" applyFill="1" applyBorder="1" applyAlignment="1">
      <x:alignment horizontal="left" wrapText="1"/>
    </x:xf>
    <x:xf numFmtId="0" fontId="5" fillId="69" borderId="0" xfId="0" applyNumberFormat="1" applyFont="1" applyFill="1" applyBorder="1" applyAlignment="1">
      <x:alignment horizontal="left" vertical="center" wrapText="1"/>
    </x:xf>
    <x:xf numFmtId="0" fontId="0" fillId="70" borderId="0" xfId="0" applyNumberFormat="1" applyFont="1" applyFill="1" applyBorder="1"/>
    <x:xf numFmtId="0" fontId="3" fillId="70" borderId="0" xfId="0" applyNumberFormat="1" applyFont="1" applyFill="1" applyBorder="1"/>
    <x:xf numFmtId="0" fontId="3" fillId="70" borderId="0" xfId="0" applyNumberFormat="1" applyFont="1" applyFill="1" applyBorder="1" applyAlignment="1">
      <x:alignment wrapText="1"/>
    </x:xf>
    <x:xf numFmtId="0" fontId="3" fillId="70" borderId="0" xfId="0" applyNumberFormat="1" applyFont="1" applyFill="1" applyBorder="1" applyAlignment="1">
      <x:alignment horizontal="center" wrapText="1"/>
    </x:xf>
    <x:xf numFmtId="0" fontId="3" fillId="70" borderId="0" xfId="0" applyNumberFormat="1" applyFont="1" applyFill="1" applyBorder="1" applyAlignment="1">
      <x:alignment horizontal="center" vertical="center" wrapText="1"/>
    </x:xf>
    <x:xf numFmtId="202" fontId="0" fillId="0" borderId="0" xfId="0" applyNumberFormat="1" applyFont="1" applyFill="1" applyBorder="1" applyAlignment="1">
      <x:alignment wrapText="1"/>
    </x:xf>
    <x:xf numFmtId="0" fontId="0" fillId="71" borderId="0" xfId="0" applyNumberFormat="1" applyFont="1" applyFill="1" applyBorder="1" applyAlignment="1">
      <x:alignment wrapText="1"/>
    </x:xf>
    <x:xf numFmtId="0" fontId="35" fillId="71" borderId="0" xfId="0" applyNumberFormat="1" applyFont="1" applyFill="1" applyBorder="1" applyAlignment="1">
      <x:alignment wrapText="1"/>
    </x:xf>
    <x:xf numFmtId="0" fontId="0" fillId="72" borderId="0" xfId="0" applyNumberFormat="1" applyFont="1" applyFill="1" applyBorder="1" applyAlignment="1">
      <x:alignment wrapText="1"/>
    </x:xf>
    <x:xf numFmtId="0" fontId="7" fillId="72" borderId="0" xfId="0" applyNumberFormat="1" applyFont="1" applyFill="1" applyBorder="1" applyAlignment="1">
      <x:alignment wrapText="1"/>
    </x:xf>
    <x:xf numFmtId="0" fontId="1" fillId="68" borderId="0" xfId="0" applyNumberFormat="1" applyFont="1" applyFill="1" applyBorder="1" applyAlignment="1">
      <x:alignment horizontal="left" vertical="center" wrapText="1"/>
    </x:xf>
    <x:xf numFmtId="0" fontId="19" fillId="72" xfId="0" applyNumberFormat="1" applyFont="1" applyFill="1" applyBorder="0" applyAlignment="1">
      <x:alignment vertical="top" wrapText="1"/>
    </x:xf>
    <x:xf numFmtId="0" fontId="19" fillId="72" borderId="17" xfId="0" applyNumberFormat="1" applyFont="1" applyFill="1" applyBorder="1" applyAlignment="1">
      <x:alignment vertical="top" wrapText="1"/>
    </x:xf>
    <x:xf numFmtId="0" fontId="0" fillId="73" borderId="0" xfId="0" applyNumberFormat="1" applyFont="1" applyFill="1" applyBorder="1"/>
    <x:xf numFmtId="0" fontId="1" fillId="73" borderId="0" xfId="0" applyNumberFormat="1" applyFont="1" applyFill="1" applyBorder="1"/>
    <x:xf numFmtId="0" fontId="1" fillId="73" borderId="0" xfId="0" applyNumberFormat="1" applyFont="1" applyFill="1" applyBorder="1" applyAlignment="1">
      <x:alignment horizontal="left"/>
    </x:xf>
    <x:xf numFmtId="0" fontId="1" fillId="73" borderId="0" xfId="0" applyNumberFormat="1" applyFont="1" applyFill="1" applyBorder="1" applyAlignment="1">
      <x:alignment horizontal="left" vertical="center"/>
    </x:xf>
    <x:xf numFmtId="0" fontId="0" fillId="74" borderId="0" xfId="0" applyNumberFormat="1" applyFont="1" applyFill="1" applyBorder="1"/>
    <x:xf numFmtId="0" fontId="5" fillId="74" borderId="0" xfId="0" applyNumberFormat="1" applyFont="1" applyFill="1" applyBorder="1"/>
    <x:xf numFmtId="0" fontId="5" fillId="74" borderId="0" xfId="0" applyNumberFormat="1" applyFont="1" applyFill="1" applyBorder="1" applyAlignment="1">
      <x:alignment wrapText="1"/>
    </x:xf>
    <x:xf numFmtId="0" fontId="5" fillId="74" borderId="0" xfId="0" applyNumberFormat="1" applyFont="1" applyFill="1" applyBorder="1" applyAlignment="1">
      <x:alignment horizontal="left" wrapText="1"/>
    </x:xf>
    <x:xf numFmtId="0" fontId="5" fillId="74" borderId="0" xfId="0" applyNumberFormat="1" applyFont="1" applyFill="1" applyBorder="1" applyAlignment="1">
      <x:alignment horizontal="left" vertical="center" wrapText="1"/>
    </x:xf>
    <x:xf numFmtId="0" fontId="0" fillId="75" borderId="0" xfId="0" applyNumberFormat="1" applyFont="1" applyFill="1" applyBorder="1"/>
    <x:xf numFmtId="0" fontId="3" fillId="75" borderId="0" xfId="0" applyNumberFormat="1" applyFont="1" applyFill="1" applyBorder="1"/>
    <x:xf numFmtId="0" fontId="3" fillId="75" borderId="0" xfId="0" applyNumberFormat="1" applyFont="1" applyFill="1" applyBorder="1" applyAlignment="1">
      <x:alignment wrapText="1"/>
    </x:xf>
    <x:xf numFmtId="0" fontId="3" fillId="75" borderId="0" xfId="0" applyNumberFormat="1" applyFont="1" applyFill="1" applyBorder="1" applyAlignment="1">
      <x:alignment horizontal="center" wrapText="1"/>
    </x:xf>
    <x:xf numFmtId="0" fontId="3" fillId="75" borderId="0" xfId="0" applyNumberFormat="1" applyFont="1" applyFill="1" applyBorder="1" applyAlignment="1">
      <x:alignment horizontal="center" vertical="center" wrapText="1"/>
    </x:xf>
    <x:xf numFmtId="0" fontId="0" fillId="76" borderId="0" xfId="0" applyNumberFormat="1" applyFont="1" applyFill="1" applyBorder="1" applyAlignment="1">
      <x:alignment wrapText="1"/>
    </x:xf>
    <x:xf numFmtId="0" fontId="35" fillId="76" borderId="0" xfId="0" applyNumberFormat="1" applyFont="1" applyFill="1" applyBorder="1" applyAlignment="1">
      <x:alignment wrapText="1"/>
    </x:xf>
    <x:xf numFmtId="0" fontId="0" fillId="77" borderId="0" xfId="0" applyNumberFormat="1" applyFont="1" applyFill="1" applyBorder="1" applyAlignment="1">
      <x:alignment wrapText="1"/>
    </x:xf>
    <x:xf numFmtId="0" fontId="7" fillId="77" borderId="0" xfId="0" applyNumberFormat="1" applyFont="1" applyFill="1" applyBorder="1" applyAlignment="1">
      <x:alignment wrapText="1"/>
    </x:xf>
    <x:xf numFmtId="0" fontId="1" fillId="73" borderId="0" xfId="0" applyNumberFormat="1" applyFont="1" applyFill="1" applyBorder="1" applyAlignment="1">
      <x:alignment horizontal="left" vertical="center" wrapText="1"/>
    </x:xf>
    <x:xf numFmtId="0" fontId="19" fillId="77" xfId="0" applyNumberFormat="1" applyFont="1" applyFill="1" applyBorder="0" applyAlignment="1">
      <x:alignment vertical="top" wrapText="1"/>
    </x:xf>
    <x:xf numFmtId="0" fontId="19" fillId="77" borderId="17" xfId="0" applyNumberFormat="1" applyFont="1" applyFill="1" applyBorder="1" applyAlignment="1">
      <x:alignment vertical="top" wrapText="1"/>
    </x:xf>
    <x:xf numFmtId="0" fontId="36" fillId="77" xfId="0" applyNumberFormat="1" applyFont="1" applyFill="1" applyBorder="0" applyAlignment="1">
      <x:alignment vertical="center"/>
    </x:xf>
    <x:xf numFmtId="0" fontId="39" fillId="77" xfId="0" applyNumberFormat="1" applyFont="1" applyFill="1" applyBorder="0" applyAlignment="1">
      <x:alignment vertical="center"/>
    </x:xf>
    <x:xf numFmtId="0" fontId="39" fillId="77" xfId="0" applyNumberFormat="1" applyFont="1" applyFill="1" applyBorder="0" applyAlignment="1">
      <x:alignment vertical="center" wrapText="1"/>
    </x:xf>
    <x:xf numFmtId="0" fontId="36" fillId="43" xfId="0" applyNumberFormat="1" applyFont="1" applyFill="1" applyBorder="0" applyAlignment="1">
      <x:alignment vertical="center" wrapText="1"/>
    </x:xf>
  </x:cellXfs>
  <x:cellStyles count="1">
    <x:cellStyle name="Normal" xfId="0"/>
  </x:cellStyles>
  <x:dxfs count="48">
    <x:dxf>
      <x:font>
        <x:b/>
      </x:font>
      <x:fill>
        <x:patternFill>
          <x:bgColor rgb="FFE2F0D9"/>
        </x:patternFill>
      </x:fill>
    </x:dxf>
    <x:dxf>
      <x:fill>
        <x:patternFill>
          <x:bgColor rgb="FFFFF2CC"/>
        </x:patternFill>
      </x:fill>
    </x:dxf>
    <x:dxf>
      <x:font>
        <x:b/>
      </x:font>
      <x:fill>
        <x:patternFill>
          <x:bgColor rgb="FFE2F0D9"/>
        </x:patternFill>
      </x:fill>
    </x:dxf>
    <x:dxf>
      <x:fill>
        <x:patternFill>
          <x:bgColor rgb="FFFFF2CC"/>
        </x:patternFill>
      </x:fill>
    </x:dxf>
    <x:dxf>
      <x:font>
        <x:b/>
        <x:color rgb="FFC65911"/>
      </x:font>
      <x:fill>
        <x:patternFill>
          <x:bgColor rgb="FFFCE4D6"/>
        </x:patternFill>
      </x:fill>
    </x:dxf>
    <x:dxf>
      <x:font>
        <x:color rgb="FF375623"/>
      </x:font>
      <x:fill>
        <x:patternFill>
          <x:bgColor rgb="FFE2F0D9"/>
        </x:patternFill>
      </x:fill>
    </x:dxf>
    <x:dxf>
      <x:font>
        <x:color rgb="FF7F6000"/>
      </x:font>
      <x:fill>
        <x:patternFill>
          <x:bgColor rgb="FFFFF2CC"/>
        </x:patternFill>
      </x:fill>
    </x:dxf>
    <x:dxf>
      <x:font>
        <x:b/>
        <x:color rgb="FF375623"/>
      </x:font>
      <x:fill>
        <x:patternFill>
          <x:bgColor rgb="FFE2F0D9"/>
        </x:patternFill>
      </x:fill>
    </x:dxf>
    <x:dxf>
      <x:font>
        <x:b/>
        <x:color rgb="FF1F4E78"/>
      </x:font>
      <x:fill>
        <x:patternFill>
          <x:bgColor rgb="FFD9EAF7"/>
        </x:patternFill>
      </x:fill>
    </x:dxf>
    <x:dxf>
      <x:font>
        <x:b/>
        <x:color rgb="FF9C0006"/>
      </x:font>
      <x:fill>
        <x:patternFill>
          <x:bgColor rgb="FFF4CCCC"/>
        </x:patternFill>
      </x:fill>
    </x:dxf>
    <x:dxf>
      <x:font>
        <x:b/>
        <x:color rgb="FF843C0C"/>
      </x:font>
      <x:fill>
        <x:patternFill>
          <x:bgColor rgb="FFFCE4D6"/>
        </x:patternFill>
      </x:fill>
    </x:dxf>
    <x:dxf>
      <x:font>
        <x:b/>
      </x:font>
      <x:fill>
        <x:patternFill>
          <x:bgColor rgb="FFE2F0D9"/>
        </x:patternFill>
      </x:fill>
    </x:dxf>
    <x:dxf>
      <x:font>
        <x:b/>
        <x:color rgb="FF2E7D32"/>
      </x:font>
      <x:fill>
        <x:patternFill>
          <x:bgColor rgb="FFE2F0D9"/>
        </x:patternFill>
      </x:fill>
    </x:dxf>
    <x:dxf>
      <x:font>
        <x:b/>
        <x:color rgb="FF9A4E00"/>
      </x:font>
      <x:fill>
        <x:patternFill>
          <x:bgColor rgb="FFFCE8D2"/>
        </x:patternFill>
      </x:fill>
    </x:dxf>
    <x:dxf>
      <x:font>
        <x:b/>
        <x:color rgb="FF16324F"/>
      </x:font>
      <x:fill>
        <x:patternFill>
          <x:bgColor rgb="FFE7F0F8"/>
        </x:patternFill>
      </x:fill>
    </x:dxf>
    <x:dxf>
      <x:font>
        <x:b/>
        <x:color rgb="FF2E7D32"/>
      </x:font>
      <x:fill>
        <x:patternFill>
          <x:bgColor rgb="FFE2F0D9"/>
        </x:patternFill>
      </x:fill>
    </x:dxf>
    <x:dxf>
      <x:font>
        <x:b/>
        <x:color rgb="FF9A4E00"/>
      </x:font>
      <x:fill>
        <x:patternFill>
          <x:bgColor rgb="FFFCE8D2"/>
        </x:patternFill>
      </x:fill>
    </x:dxf>
    <x:dxf>
      <x:font>
        <x:b/>
        <x:color rgb="FF16324F"/>
      </x:font>
      <x:fill>
        <x:patternFill>
          <x:bgColor rgb="FFE7F0F8"/>
        </x:patternFill>
      </x:fill>
    </x:dxf>
    <x:dxf>
      <x:font>
        <x:b/>
        <x:color rgb="FF2E7D32"/>
      </x:font>
      <x:fill>
        <x:patternFill>
          <x:bgColor rgb="FFE2F0D9"/>
        </x:patternFill>
      </x:fill>
    </x:dxf>
    <x:dxf>
      <x:font>
        <x:b/>
        <x:color rgb="FF9A4E00"/>
      </x:font>
      <x:fill>
        <x:patternFill>
          <x:bgColor rgb="FFFCE8D2"/>
        </x:patternFill>
      </x:fill>
    </x:dxf>
    <x:dxf>
      <x:font>
        <x:b/>
        <x:color rgb="FF16324F"/>
      </x:font>
      <x:fill>
        <x:patternFill>
          <x:bgColor rgb="FFE7F0F8"/>
        </x:patternFill>
      </x:fill>
    </x:dxf>
    <x:dxf>
      <x:font>
        <x:b/>
        <x:color rgb="FF2E7D32"/>
      </x:font>
      <x:fill>
        <x:patternFill>
          <x:bgColor rgb="FFE2F0D9"/>
        </x:patternFill>
      </x:fill>
    </x:dxf>
    <x:dxf>
      <x:font>
        <x:b/>
        <x:color rgb="FF9A4E00"/>
      </x:font>
      <x:fill>
        <x:patternFill>
          <x:bgColor rgb="FFFCE8D2"/>
        </x:patternFill>
      </x:fill>
    </x:dxf>
    <x:dxf>
      <x:font>
        <x:b/>
        <x:color rgb="FF16324F"/>
      </x:font>
      <x:fill>
        <x:patternFill>
          <x:bgColor rgb="FFE7F0F8"/>
        </x:patternFill>
      </x:fill>
    </x:dxf>
    <x:dxf>
      <x:font>
        <x:b/>
        <x:color rgb="FF9A4E00"/>
      </x:font>
      <x:fill>
        <x:patternFill>
          <x:bgColor rgb="FFFCE8D2"/>
        </x:patternFill>
      </x:fill>
    </x:dxf>
    <x:dxf>
      <x:font>
        <x:b/>
        <x:color rgb="FF2E7D32"/>
      </x:font>
      <x:fill>
        <x:patternFill>
          <x:bgColor rgb="FFE2F0D9"/>
        </x:patternFill>
      </x:fill>
    </x:dxf>
    <x:dxf>
      <x:font>
        <x:b/>
        <x:color rgb="FF9A4E00"/>
      </x:font>
      <x:fill>
        <x:patternFill>
          <x:bgColor rgb="FFFCE8D2"/>
        </x:patternFill>
      </x:fill>
    </x:dxf>
    <x:dxf>
      <x:font>
        <x:b/>
        <x:color rgb="FF2E7D32"/>
      </x:font>
      <x:fill>
        <x:patternFill>
          <x:bgColor rgb="FFE2F0D9"/>
        </x:patternFill>
      </x:fill>
    </x:dxf>
    <x:dxf>
      <x:font>
        <x:b/>
        <x:color rgb="FF9A4E00"/>
      </x:font>
      <x:fill>
        <x:patternFill>
          <x:bgColor rgb="FFFCE8D2"/>
        </x:patternFill>
      </x:fill>
    </x:dxf>
    <x:dxf>
      <x:font>
        <x:b/>
        <x:color rgb="FF16324F"/>
      </x:font>
      <x:fill>
        <x:patternFill>
          <x:bgColor rgb="FFE7F0F8"/>
        </x:patternFill>
      </x:fill>
    </x:dxf>
    <x:dxf>
      <x:font>
        <x:b/>
        <x:color rgb="FF9A4E00"/>
      </x:font>
      <x:fill>
        <x:patternFill>
          <x:bgColor rgb="FFFCE8D2"/>
        </x:patternFill>
      </x:fill>
    </x:dxf>
    <x:dxf>
      <x:font>
        <x:b/>
        <x:color rgb="FF274E13"/>
      </x:font>
      <x:fill>
        <x:patternFill>
          <x:bgColor rgb="FFD9EAD3"/>
        </x:patternFill>
      </x:fill>
    </x:dxf>
    <x:dxf>
      <x:font>
        <x:b/>
        <x:color rgb="FF1F4E78"/>
      </x:font>
      <x:fill>
        <x:patternFill>
          <x:bgColor rgb="FFD9EAF7"/>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D9EAD3"/>
        </x:patternFill>
      </x:fill>
    </x:dxf>
    <x:dxf>
      <x:font>
        <x:b/>
        <x:color rgb="FF1F4E78"/>
      </x:font>
      <x:fill>
        <x:patternFill>
          <x:bgColor rgb="FFD9EAF7"/>
        </x:patternFill>
      </x:fill>
    </x:dxf>
    <x:dxf>
      <x:font>
        <x:b/>
        <x:color rgb="FF7F6000"/>
      </x:font>
      <x:fill>
        <x:patternFill>
          <x:bgColor rgb="FFFFF2CC"/>
        </x:patternFill>
      </x:fill>
    </x:dxf>
    <x:dxf>
      <x:font>
        <x:b/>
        <x:color rgb="FF990000"/>
      </x:font>
      <x:fill>
        <x:patternFill>
          <x:bgColor rgb="FFF4CCCC"/>
        </x:patternFill>
      </x:fill>
    </x:dxf>
    <x:dxf>
      <x:font>
        <x:b/>
        <x:color rgb="FF990000"/>
      </x:font>
      <x:fill>
        <x:patternFill>
          <x:bgColor rgb="FFF4CCCC"/>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D9EAD3"/>
        </x:patternFill>
      </x:fill>
    </x:dxf>
    <x:dxf>
      <x:font>
        <x:b/>
        <x:color rgb="FF990000"/>
      </x:font>
      <x:fill>
        <x:patternFill>
          <x:bgColor rgb="FFF4CCCC"/>
        </x:patternFill>
      </x:fill>
    </x:dxf>
    <x:dxf>
      <x:font>
        <x:b/>
        <x:color rgb="FF990000"/>
      </x:font>
      <x:fill>
        <x:patternFill>
          <x:bgColor rgb="FFF4CCCC"/>
        </x:patternFill>
      </x:fill>
    </x:dxf>
    <x:dxf>
      <x:font>
        <x:b/>
        <x:color rgb="FF274E13"/>
      </x:font>
      <x:fill>
        <x:patternFill>
          <x:bgColor rgb="FFD9EAD3"/>
        </x:patternFill>
      </x:fill>
    </x:dxf>
    <x:dxf>
      <x:font>
        <x:b/>
        <x:color rgb="FF7F6000"/>
      </x:font>
      <x:fill>
        <x:patternFill>
          <x:bgColor rgb="FFFFF2CC"/>
        </x:patternFill>
      </x:fill>
    </x:dxf>
    <x:dxf>
      <x:font>
        <x:b/>
        <x:color rgb="FF990000"/>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ff4ac5728f4a43" /><Relationship Type="http://schemas.openxmlformats.org/officeDocument/2006/relationships/theme" Target="/xl/theme/theme1.xml" Id="R449bf75897424831" /><Relationship Type="http://schemas.openxmlformats.org/officeDocument/2006/relationships/sharedStrings" Target="/xl/sharedStrings.xml" Id="R8dbe49bdb11048d7" /><Relationship Type="http://schemas.openxmlformats.org/officeDocument/2006/relationships/worksheet" Target="/xl/worksheets/sheet1.xml" Id="Rdab70e6593e0436c" /><Relationship Type="http://schemas.openxmlformats.org/officeDocument/2006/relationships/worksheet" Target="/xl/worksheets/sheet2.xml" Id="R499f87b91a014b64" /><Relationship Type="http://schemas.openxmlformats.org/officeDocument/2006/relationships/worksheet" Target="/xl/worksheets/sheet3.xml" Id="R2b7eebd85fc14277" /><Relationship Type="http://schemas.openxmlformats.org/officeDocument/2006/relationships/worksheet" Target="/xl/worksheets/sheet4.xml" Id="R5d9758eeea47495c" /><Relationship Type="http://schemas.openxmlformats.org/officeDocument/2006/relationships/worksheet" Target="/xl/worksheets/sheet5.xml" Id="R35fa64e170884853" /><Relationship Type="http://schemas.openxmlformats.org/officeDocument/2006/relationships/worksheet" Target="/xl/worksheets/sheet6.xml" Id="Re62271d9703043bd" /><Relationship Type="http://schemas.openxmlformats.org/officeDocument/2006/relationships/worksheet" Target="/xl/worksheets/sheet7.xml" Id="R60e3d5a6d2234790" /><Relationship Type="http://schemas.openxmlformats.org/officeDocument/2006/relationships/worksheet" Target="/xl/worksheets/sheet8.xml" Id="R0600a2b13c0e4788" /><Relationship Type="http://schemas.openxmlformats.org/officeDocument/2006/relationships/worksheet" Target="/xl/worksheets/sheet9.xml" Id="R4bf845c596fa4723" /><Relationship Type="http://schemas.openxmlformats.org/officeDocument/2006/relationships/worksheet" Target="/xl/worksheets/sheet10.xml" Id="Raf840f40aff6491a" /><Relationship Type="http://schemas.openxmlformats.org/officeDocument/2006/relationships/worksheet" Target="/xl/worksheets/sheet11.xml" Id="R4d6eb7ae29c74a7d" /><Relationship Type="http://schemas.openxmlformats.org/officeDocument/2006/relationships/worksheet" Target="/xl/worksheets/sheet12.xml" Id="Ra2005989d2214ba0" /><Relationship Type="http://schemas.openxmlformats.org/officeDocument/2006/relationships/worksheet" Target="/xl/worksheets/sheet13.xml" Id="R5e51114751a840ee" /><Relationship Type="http://schemas.openxmlformats.org/officeDocument/2006/relationships/worksheet" Target="/xl/worksheets/sheet14.xml" Id="R6b395c30f8c143e8" /><Relationship Type="http://schemas.openxmlformats.org/officeDocument/2006/relationships/worksheet" Target="/xl/worksheets/sheet15.xml" Id="Ra7df63785f4b4910" /><Relationship Type="http://schemas.openxmlformats.org/officeDocument/2006/relationships/worksheet" Target="/xl/worksheets/sheet16.xml" Id="R8bd06c2bd1fb45fd" /><Relationship Type="http://schemas.openxmlformats.org/officeDocument/2006/relationships/worksheet" Target="/xl/worksheets/sheet17.xml" Id="Rfaef30c5bbf144ff" /><Relationship Type="http://schemas.openxmlformats.org/officeDocument/2006/relationships/worksheet" Target="/xl/worksheets/sheet18.xml" Id="R3fbd4f46ab4a4629" /><Relationship Type="http://schemas.openxmlformats.org/officeDocument/2006/relationships/worksheet" Target="/xl/worksheets/sheet19.xml" Id="R16dca33c7ce44f41" /><Relationship Type="http://schemas.openxmlformats.org/officeDocument/2006/relationships/worksheet" Target="/xl/worksheets/sheet20.xml" Id="Rc3dd28a85e5a455a" /><Relationship Type="http://schemas.openxmlformats.org/officeDocument/2006/relationships/worksheet" Target="/xl/worksheets/sheet21.xml" Id="R96bdaca6d8b1467b" /><Relationship Type="http://schemas.openxmlformats.org/officeDocument/2006/relationships/worksheet" Target="/xl/worksheets/sheet22.xml" Id="Rcd48f00baab843e3" /><Relationship Type="http://schemas.openxmlformats.org/officeDocument/2006/relationships/worksheet" Target="/xl/worksheets/sheet23.xml" Id="Rc9c89d84df3c4b10" /><Relationship Type="http://schemas.openxmlformats.org/officeDocument/2006/relationships/worksheet" Target="/xl/worksheets/sheet24.xml" Id="R1dd83988fc024d6c" /><Relationship Type="http://schemas.openxmlformats.org/officeDocument/2006/relationships/worksheet" Target="/xl/worksheets/sheet25.xml" Id="R6795257b6a6b44f0" /><Relationship Type="http://schemas.openxmlformats.org/officeDocument/2006/relationships/worksheet" Target="/xl/worksheets/sheet26.xml" Id="R12edc556b86247f9" /><Relationship Type="http://schemas.openxmlformats.org/officeDocument/2006/relationships/worksheet" Target="/xl/worksheets/sheet27.xml" Id="Rfd956a812b2641f8" /><Relationship Type="http://schemas.openxmlformats.org/officeDocument/2006/relationships/worksheet" Target="/xl/worksheets/sheet28.xml" Id="R1d2eaff2f06a4fe8" /><Relationship Type="http://schemas.openxmlformats.org/officeDocument/2006/relationships/worksheet" Target="/xl/worksheets/sheet29.xml" Id="R49125481744c402d" /><Relationship Type="http://schemas.openxmlformats.org/officeDocument/2006/relationships/worksheet" Target="/xl/worksheets/sheet30.xml" Id="Rf39bf1054e7a424e" /><Relationship Type="http://schemas.openxmlformats.org/officeDocument/2006/relationships/worksheet" Target="/xl/worksheets/sheet31.xml" Id="R2bcf2b5bec3c456b" /><Relationship Type="http://schemas.openxmlformats.org/officeDocument/2006/relationships/worksheet" Target="/xl/worksheets/sheet32.xml" Id="R59515a39ae934309" /><Relationship Type="http://schemas.openxmlformats.org/officeDocument/2006/relationships/worksheet" Target="/xl/worksheets/sheet33.xml" Id="R8ddb32e8a39744e2" /><Relationship Type="http://schemas.openxmlformats.org/officeDocument/2006/relationships/worksheet" Target="/xl/worksheets/sheet34.xml" Id="R4870401595ac4bac" /><Relationship Type="http://schemas.openxmlformats.org/officeDocument/2006/relationships/worksheet" Target="/xl/worksheets/sheet35.xml" Id="R0f06a6680a8a4cd3" /><Relationship Type="http://schemas.openxmlformats.org/officeDocument/2006/relationships/worksheet" Target="/xl/worksheets/sheet36.xml" Id="R77d67ecc8b8e44c2" /><Relationship Type="http://schemas.openxmlformats.org/officeDocument/2006/relationships/worksheet" Target="/xl/worksheets/sheet37.xml" Id="R54cbc82ecd894390" /><Relationship Type="http://schemas.openxmlformats.org/officeDocument/2006/relationships/worksheet" Target="/xl/worksheets/sheet38.xml" Id="Rd1cb55c8976247ff" /><Relationship Type="http://schemas.openxmlformats.org/officeDocument/2006/relationships/worksheet" Target="/xl/worksheets/sheet39.xml" Id="R9470e1b14af64366" /><Relationship Type="http://schemas.openxmlformats.org/officeDocument/2006/relationships/worksheet" Target="/xl/worksheets/sheet40.xml" Id="R2b026d5ba02c4df7" /><Relationship Type="http://schemas.openxmlformats.org/officeDocument/2006/relationships/worksheet" Target="/xl/worksheets/sheet41.xml" Id="R848629542ad94b86" /><Relationship Type="http://schemas.openxmlformats.org/officeDocument/2006/relationships/worksheet" Target="/xl/worksheets/sheet42.xml" Id="R47a10d13c5ed4643" /><Relationship Type="http://schemas.openxmlformats.org/officeDocument/2006/relationships/worksheet" Target="/xl/worksheets/sheet43.xml" Id="Rb0deef1f993c4bef" /><Relationship Type="http://schemas.openxmlformats.org/officeDocument/2006/relationships/worksheet" Target="/xl/worksheets/sheet44.xml" Id="Rdd8666c32ed247b5" /><Relationship Type="http://schemas.openxmlformats.org/officeDocument/2006/relationships/worksheet" Target="/xl/worksheets/sheet45.xml" Id="R47a5ee7b83af4d8e" /><Relationship Type="http://schemas.openxmlformats.org/officeDocument/2006/relationships/worksheet" Target="/xl/worksheets/sheet46.xml" Id="Rc9765cde1ab4408f" /><Relationship Type="http://schemas.openxmlformats.org/officeDocument/2006/relationships/worksheet" Target="/xl/worksheets/sheet47.xml" Id="Rf4d86f7f02994529" /><Relationship Type="http://schemas.openxmlformats.org/officeDocument/2006/relationships/worksheet" Target="/xl/worksheets/sheet48.xml" Id="Rfe03e27e806a40b0" /><Relationship Type="http://schemas.openxmlformats.org/officeDocument/2006/relationships/worksheet" Target="/xl/worksheets/sheet49.xml" Id="R2157e84600294135" /><Relationship Type="http://schemas.openxmlformats.org/officeDocument/2006/relationships/worksheet" Target="/xl/worksheets/sheet50.xml" Id="R681b2dbdc594491e" /><Relationship Type="http://schemas.openxmlformats.org/officeDocument/2006/relationships/worksheet" Target="/xl/worksheets/sheet51.xml" Id="R706f8ca67d714cd5" /><Relationship Type="http://schemas.openxmlformats.org/officeDocument/2006/relationships/worksheet" Target="/xl/worksheets/sheet52.xml" Id="Racefeadc95914b84" /><Relationship Type="http://schemas.openxmlformats.org/officeDocument/2006/relationships/worksheet" Target="/xl/worksheets/sheet53.xml" Id="R9d585a7403a8445b" /><Relationship Type="http://schemas.openxmlformats.org/officeDocument/2006/relationships/worksheet" Target="/xl/worksheets/sheet54.xml" Id="R45a737db7f2e42bc" /><Relationship Type="http://schemas.openxmlformats.org/officeDocument/2006/relationships/worksheet" Target="/xl/worksheets/sheet55.xml" Id="R7cbb7d2b3c68414d" /><Relationship Type="http://schemas.openxmlformats.org/officeDocument/2006/relationships/worksheet" Target="/xl/worksheets/sheet56.xml" Id="R181d738d8f5840da" /><Relationship Type="http://schemas.openxmlformats.org/officeDocument/2006/relationships/worksheet" Target="/xl/worksheets/sheet57.xml" Id="Ra7560f8861484bef" /><Relationship Type="http://schemas.openxmlformats.org/officeDocument/2006/relationships/worksheet" Target="/xl/worksheets/sheet58.xml" Id="Rfad5826d13a347d4" /><Relationship Type="http://schemas.openxmlformats.org/officeDocument/2006/relationships/worksheet" Target="/xl/worksheets/sheet59.xml" Id="Rce496b5fabbd4dab" /><Relationship Type="http://schemas.openxmlformats.org/officeDocument/2006/relationships/worksheet" Target="/xl/worksheets/sheet60.xml" Id="Rbf710a3d8a1f4a19" /><Relationship Type="http://schemas.openxmlformats.org/officeDocument/2006/relationships/worksheet" Target="/xl/worksheets/sheet61.xml" Id="R75c22e474c514d1f" /><Relationship Type="http://schemas.openxmlformats.org/officeDocument/2006/relationships/worksheet" Target="/xl/worksheets/sheet62.xml" Id="Rdfa5680515bc43c1" /><Relationship Type="http://schemas.openxmlformats.org/officeDocument/2006/relationships/worksheet" Target="/xl/worksheets/sheet63.xml" Id="Re78c0406c013411a" /><Relationship Type="http://schemas.openxmlformats.org/officeDocument/2006/relationships/worksheet" Target="/xl/worksheets/sheet64.xml" Id="Rf0922df7403243f7" /><Relationship Type="http://schemas.openxmlformats.org/officeDocument/2006/relationships/worksheet" Target="/xl/worksheets/sheet65.xml" Id="R0dbb03d3d2b24832" /><Relationship Type="http://schemas.openxmlformats.org/officeDocument/2006/relationships/worksheet" Target="/xl/worksheets/sheet66.xml" Id="R2675bae5c1564394" /><Relationship Type="http://schemas.openxmlformats.org/officeDocument/2006/relationships/worksheet" Target="/xl/worksheets/sheet67.xml" Id="R89fbd5fe39c34edf" /><Relationship Type="http://schemas.openxmlformats.org/officeDocument/2006/relationships/worksheet" Target="/xl/worksheets/sheet68.xml" Id="R64e3ff5ed9004123" /><Relationship Type="http://schemas.openxmlformats.org/officeDocument/2006/relationships/worksheet" Target="/xl/worksheets/sheet69.xml" Id="R8dabb1f8500542c8" /><Relationship Type="http://schemas.openxmlformats.org/officeDocument/2006/relationships/worksheet" Target="/xl/worksheets/sheet70.xml" Id="Rcb97f51583cd4dac" /><Relationship Type="http://schemas.openxmlformats.org/officeDocument/2006/relationships/worksheet" Target="/xl/worksheets/sheet71.xml" Id="R66ca4a087a8245b5" /><Relationship Type="http://schemas.openxmlformats.org/officeDocument/2006/relationships/worksheet" Target="/xl/worksheets/sheet72.xml" Id="R6652c0af372e4fe0" /><Relationship Type="http://schemas.openxmlformats.org/officeDocument/2006/relationships/worksheet" Target="/xl/worksheets/sheet73.xml" Id="Rfb95b9a2eebd40d8" /><Relationship Type="http://schemas.openxmlformats.org/officeDocument/2006/relationships/worksheet" Target="/xl/worksheets/sheet74.xml" Id="R8e18ae64c7ec4657" /><Relationship Type="http://schemas.openxmlformats.org/officeDocument/2006/relationships/worksheet" Target="/xl/worksheets/sheet75.xml" Id="Rab721fae7731478a" /><Relationship Type="http://schemas.openxmlformats.org/officeDocument/2006/relationships/worksheet" Target="/xl/worksheets/sheet76.xml" Id="R6551cd45c02e423e" /><Relationship Type="http://schemas.openxmlformats.org/officeDocument/2006/relationships/worksheet" Target="/xl/worksheets/sheet77.xml" Id="R8fccc11ef66a447f" /><Relationship Type="http://schemas.openxmlformats.org/officeDocument/2006/relationships/worksheet" Target="/xl/worksheets/sheet78.xml" Id="Rc24ad1606f374033" /><Relationship Type="http://schemas.openxmlformats.org/officeDocument/2006/relationships/worksheet" Target="/xl/worksheets/sheet79.xml" Id="R3e4d892f8f4e4292" /><Relationship Type="http://schemas.openxmlformats.org/officeDocument/2006/relationships/worksheet" Target="/xl/worksheets/sheet80.xml" Id="R38d6137127aa47f3" /><Relationship Type="http://schemas.openxmlformats.org/officeDocument/2006/relationships/worksheet" Target="/xl/worksheets/sheet81.xml" Id="Ra8c857697adb4c57" /><Relationship Type="http://schemas.openxmlformats.org/officeDocument/2006/relationships/worksheet" Target="/xl/worksheets/sheet82.xml" Id="Rdcc6168ade984afc" /><Relationship Type="http://schemas.openxmlformats.org/officeDocument/2006/relationships/worksheet" Target="/xl/worksheets/sheet83.xml" Id="Rd9ba574e965848c0" /><Relationship Type="http://schemas.openxmlformats.org/officeDocument/2006/relationships/worksheet" Target="/xl/worksheets/sheet84.xml" Id="R1a9fdff73de24589" /><Relationship Type="http://schemas.openxmlformats.org/officeDocument/2006/relationships/worksheet" Target="/xl/worksheets/sheet85.xml" Id="Re779a4b682294838" /><Relationship Type="http://schemas.openxmlformats.org/officeDocument/2006/relationships/worksheet" Target="/xl/worksheets/sheet86.xml" Id="R3793112247724954" /><Relationship Type="http://schemas.openxmlformats.org/officeDocument/2006/relationships/worksheet" Target="/xl/worksheets/sheet87.xml" Id="Re1410a5e9b8a4fee" /><Relationship Type="http://schemas.openxmlformats.org/officeDocument/2006/relationships/worksheet" Target="/xl/worksheets/sheet88.xml" Id="R3b84d8900a574739" /><Relationship Type="http://schemas.openxmlformats.org/officeDocument/2006/relationships/worksheet" Target="/xl/worksheets/sheet89.xml" Id="R2a3da639b9db41e5" /><Relationship Type="http://schemas.openxmlformats.org/officeDocument/2006/relationships/worksheet" Target="/xl/worksheets/sheet90.xml" Id="R3bd9534fd5a54efd" /><Relationship Type="http://schemas.openxmlformats.org/officeDocument/2006/relationships/worksheet" Target="/xl/worksheets/sheet91.xml" Id="R2c1725e3f76d491a" /><Relationship Type="http://schemas.openxmlformats.org/officeDocument/2006/relationships/worksheet" Target="/xl/worksheets/sheet92.xml" Id="R614031c4fd9c4a0c" /><Relationship Type="http://schemas.openxmlformats.org/officeDocument/2006/relationships/worksheet" Target="/xl/worksheets/sheet93.xml" Id="R44cb23167d7a4162" /><Relationship Type="http://schemas.openxmlformats.org/officeDocument/2006/relationships/worksheet" Target="/xl/worksheets/sheet94.xml" Id="R8f6a38dfe4c64e48" /><Relationship Type="http://schemas.openxmlformats.org/officeDocument/2006/relationships/worksheet" Target="/xl/worksheets/sheet95.xml" Id="R74cb23dd17eb4795" /><Relationship Type="http://schemas.openxmlformats.org/officeDocument/2006/relationships/worksheet" Target="/xl/worksheets/sheet96.xml" Id="R0bc8b798bd804bde" /><Relationship Type="http://schemas.openxmlformats.org/officeDocument/2006/relationships/worksheet" Target="/xl/worksheets/sheet97.xml" Id="Refe9030295994d5d" /><Relationship Type="http://schemas.openxmlformats.org/officeDocument/2006/relationships/worksheet" Target="/xl/worksheets/sheet98.xml" Id="R1cce196f79874bb1" /><Relationship Type="http://schemas.openxmlformats.org/officeDocument/2006/relationships/worksheet" Target="/xl/worksheets/sheet99.xml" Id="Rb0225e1d3871496f" /><Relationship Type="http://schemas.openxmlformats.org/officeDocument/2006/relationships/worksheet" Target="/xl/worksheets/sheet100.xml" Id="Rd447984a3a6a414b" /><Relationship Type="http://schemas.openxmlformats.org/officeDocument/2006/relationships/worksheet" Target="/xl/worksheets/sheet101.xml" Id="R41e4e5dabb7143e8" /><Relationship Type="http://schemas.openxmlformats.org/officeDocument/2006/relationships/worksheet" Target="/xl/worksheets/sheet102.xml" Id="Re87ccb00b3d04229" /><Relationship Type="http://schemas.openxmlformats.org/officeDocument/2006/relationships/worksheet" Target="/xl/worksheets/sheet103.xml" Id="R8ef9e40b6c374301" /><Relationship Type="http://schemas.openxmlformats.org/officeDocument/2006/relationships/worksheet" Target="/xl/worksheets/sheet104.xml" Id="R15fa977d56914f4b" /><Relationship Type="http://schemas.openxmlformats.org/officeDocument/2006/relationships/worksheet" Target="/xl/worksheets/sheet105.xml" Id="R81d516b541664f69" /><Relationship Type="http://schemas.openxmlformats.org/officeDocument/2006/relationships/worksheet" Target="/xl/worksheets/sheet106.xml" Id="R695ebcf400ef437e" /><Relationship Type="http://schemas.openxmlformats.org/officeDocument/2006/relationships/worksheet" Target="/xl/worksheets/sheet107.xml" Id="R6ee77cc194e34c77" /><Relationship Type="http://schemas.openxmlformats.org/officeDocument/2006/relationships/worksheet" Target="/xl/worksheets/sheet108.xml" Id="Rfa551b2c98ee42e5" /><Relationship Type="http://schemas.openxmlformats.org/officeDocument/2006/relationships/worksheet" Target="/xl/worksheets/sheet109.xml" Id="R3e69cc95941743a2" /><Relationship Type="http://schemas.openxmlformats.org/officeDocument/2006/relationships/worksheet" Target="/xl/worksheets/sheet110.xml" Id="Rdefd55f9b391493a" /><Relationship Type="http://schemas.openxmlformats.org/officeDocument/2006/relationships/worksheet" Target="/xl/worksheets/sheet111.xml" Id="R18d0f5c56adb4863" /><Relationship Type="http://schemas.openxmlformats.org/officeDocument/2006/relationships/worksheet" Target="/xl/worksheets/sheet112.xml" Id="R947b0d73e515489b" /><Relationship Type="http://schemas.openxmlformats.org/officeDocument/2006/relationships/worksheet" Target="/xl/worksheets/sheet113.xml" Id="Ra68b2c53a2784929" /><Relationship Type="http://schemas.openxmlformats.org/officeDocument/2006/relationships/worksheet" Target="/xl/worksheets/sheet114.xml" Id="R112a91be593743aa" /><Relationship Type="http://schemas.openxmlformats.org/officeDocument/2006/relationships/worksheet" Target="/xl/worksheets/sheet115.xml" Id="R30b62e425a784bb8" /><Relationship Type="http://schemas.openxmlformats.org/officeDocument/2006/relationships/worksheet" Target="/xl/worksheets/sheet116.xml" Id="R9ff401d185b947e9" /><Relationship Type="http://schemas.openxmlformats.org/officeDocument/2006/relationships/worksheet" Target="/xl/worksheets/sheet117.xml" Id="Rc99a98afab0e41d8" /><Relationship Type="http://schemas.openxmlformats.org/officeDocument/2006/relationships/worksheet" Target="/xl/worksheets/sheet118.xml" Id="R7a626bab61ab4f36" /><Relationship Type="http://schemas.openxmlformats.org/officeDocument/2006/relationships/worksheet" Target="/xl/worksheets/sheet119.xml" Id="Re5b476f298ae41f0" /><Relationship Type="http://schemas.openxmlformats.org/officeDocument/2006/relationships/worksheet" Target="/xl/worksheets/sheet120.xml" Id="R889a8a1ca67e4d92" /><Relationship Type="http://schemas.openxmlformats.org/officeDocument/2006/relationships/worksheet" Target="/xl/worksheets/sheet121.xml" Id="Rc726306526a84227" /><Relationship Type="http://schemas.openxmlformats.org/officeDocument/2006/relationships/worksheet" Target="/xl/worksheets/sheet122.xml" Id="R8a45a169a1454303" /><Relationship Type="http://schemas.openxmlformats.org/officeDocument/2006/relationships/worksheet" Target="/xl/worksheets/sheet123.xml" Id="R916cb9d383ad4e51" /><Relationship Type="http://schemas.openxmlformats.org/officeDocument/2006/relationships/worksheet" Target="/xl/worksheets/sheet124.xml" Id="Rdc1919e04d624ed6" /><Relationship Type="http://schemas.openxmlformats.org/officeDocument/2006/relationships/worksheet" Target="/xl/worksheets/sheet125.xml" Id="Re6dc9b39da8d4c09" /><Relationship Type="http://schemas.openxmlformats.org/officeDocument/2006/relationships/worksheet" Target="/xl/worksheets/sheet126.xml" Id="R396295a2d46b489d" /><Relationship Type="http://schemas.openxmlformats.org/officeDocument/2006/relationships/worksheet" Target="/xl/worksheets/sheet127.xml" Id="Rec37784b6039489d" /><Relationship Type="http://schemas.openxmlformats.org/officeDocument/2006/relationships/worksheet" Target="/xl/worksheets/sheet128.xml" Id="R7c055e5b077a4167" /><Relationship Type="http://schemas.openxmlformats.org/officeDocument/2006/relationships/worksheet" Target="/xl/worksheets/sheet129.xml" Id="R30ef3260d78e48e5" /><Relationship Type="http://schemas.openxmlformats.org/officeDocument/2006/relationships/worksheet" Target="/xl/worksheets/sheet130.xml" Id="Rd5f7a5abd329472b" /><Relationship Type="http://schemas.openxmlformats.org/officeDocument/2006/relationships/worksheet" Target="/xl/worksheets/sheet131.xml" Id="R4595184d02ed4706" /><Relationship Type="http://schemas.openxmlformats.org/officeDocument/2006/relationships/worksheet" Target="/xl/worksheets/sheet132.xml" Id="R467ab574e5064678" /><Relationship Type="http://schemas.openxmlformats.org/officeDocument/2006/relationships/worksheet" Target="/xl/worksheets/sheet133.xml" Id="Rd4e09a138f814934" /><Relationship Type="http://schemas.openxmlformats.org/officeDocument/2006/relationships/worksheet" Target="/xl/worksheets/sheet134.xml" Id="R00155474c92a4d33" /><Relationship Type="http://schemas.openxmlformats.org/officeDocument/2006/relationships/worksheet" Target="/xl/worksheets/sheet135.xml" Id="R80e41b23121c4647" /><Relationship Type="http://schemas.openxmlformats.org/officeDocument/2006/relationships/worksheet" Target="/xl/worksheets/sheet136.xml" Id="Rbb75ac1d3d124231" /><Relationship Type="http://schemas.openxmlformats.org/officeDocument/2006/relationships/worksheet" Target="/xl/worksheets/sheet137.xml" Id="Refbea3ca7ca747d9" /><Relationship Type="http://schemas.openxmlformats.org/officeDocument/2006/relationships/worksheet" Target="/xl/worksheets/sheet138.xml" Id="R2fa0f2a8b7534413" /><Relationship Type="http://schemas.openxmlformats.org/officeDocument/2006/relationships/worksheet" Target="/xl/worksheets/sheet139.xml" Id="R5c4beff7079e4474" /><Relationship Type="http://schemas.openxmlformats.org/officeDocument/2006/relationships/worksheet" Target="/xl/worksheets/sheet140.xml" Id="R4a9a5319d6cb4bf5" /><Relationship Type="http://schemas.openxmlformats.org/officeDocument/2006/relationships/worksheet" Target="/xl/worksheets/sheet141.xml" Id="R9beca9505b634163" /><Relationship Type="http://schemas.openxmlformats.org/officeDocument/2006/relationships/worksheet" Target="/xl/worksheets/sheet142.xml" Id="Rfcbe3e788edc4a5c" /><Relationship Type="http://schemas.openxmlformats.org/officeDocument/2006/relationships/worksheet" Target="/xl/worksheets/sheet143.xml" Id="R19b12109899742df" /><Relationship Type="http://schemas.openxmlformats.org/officeDocument/2006/relationships/worksheet" Target="/xl/worksheets/sheet144.xml" Id="R1e537bb268c44b6c" /><Relationship Type="http://schemas.openxmlformats.org/officeDocument/2006/relationships/worksheet" Target="/xl/worksheets/sheet145.xml" Id="R8b091a84f2ef4936" /></Relationships>
</file>

<file path=xl/drawings/_rels/drawing1.xml.rels>&#65279;<?xml version="1.0" encoding="utf-8"?><Relationships xmlns="http://schemas.openxmlformats.org/package/2006/relationships"><Relationship Type="http://schemas.openxmlformats.org/officeDocument/2006/relationships/chart" Target="/xl/drawings/charts/chart1.xml" Id="R60da70409c644831" /></Relationships>
</file>

<file path=xl/drawings/_rels/drawing2.xml.rels>&#65279;<?xml version="1.0" encoding="utf-8"?><Relationships xmlns="http://schemas.openxmlformats.org/package/2006/relationships"><Relationship Type="http://schemas.openxmlformats.org/officeDocument/2006/relationships/chart" Target="/xl/drawings/charts/chart2.xml" Id="Rc6a66fcbf7944c82" /></Relationships>
</file>

<file path=xl/drawings/_rels/drawing3.xml.rels>&#65279;<?xml version="1.0" encoding="utf-8"?><Relationships xmlns="http://schemas.openxmlformats.org/package/2006/relationships"><Relationship Type="http://schemas.openxmlformats.org/officeDocument/2006/relationships/chart" Target="/xl/drawings/charts/chart3.xml" Id="R2744358722644535" /></Relationships>
</file>

<file path=xl/drawings/_rels/drawing4.xml.rels>&#65279;<?xml version="1.0" encoding="utf-8"?><Relationships xmlns="http://schemas.openxmlformats.org/package/2006/relationships"><Relationship Type="http://schemas.openxmlformats.org/officeDocument/2006/relationships/chart" Target="/xl/drawings/charts/chart4.xml" Id="R4dcf025b4af044d6" /></Relationships>
</file>

<file path=xl/drawings/_rels/drawing5.xml.rels>&#65279;<?xml version="1.0" encoding="utf-8"?><Relationships xmlns="http://schemas.openxmlformats.org/package/2006/relationships"><Relationship Type="http://schemas.openxmlformats.org/officeDocument/2006/relationships/chart" Target="/xl/drawings/charts/chart5.xml" Id="R34ba07345c394b24" /></Relationships>
</file>

<file path=xl/drawings/_rels/drawing6.xml.rels>&#65279;<?xml version="1.0" encoding="utf-8"?><Relationships xmlns="http://schemas.openxmlformats.org/package/2006/relationships"><Relationship Type="http://schemas.openxmlformats.org/officeDocument/2006/relationships/chart" Target="/xl/drawings/charts/chart6.xml" Id="Rec318119da4d4a40" /></Relationships>
</file>

<file path=xl/drawings/_rels/drawing7.xml.rels>&#65279;<?xml version="1.0" encoding="utf-8"?><Relationships xmlns="http://schemas.openxmlformats.org/package/2006/relationships"><Relationship Type="http://schemas.openxmlformats.org/officeDocument/2006/relationships/chart" Target="/xl/drawings/charts/chart7.xml" Id="R71821e2112a44592" /></Relationships>
</file>

<file path=xl/drawings/_rels/drawing8.xml.rels>&#65279;<?xml version="1.0" encoding="utf-8"?><Relationships xmlns="http://schemas.openxmlformats.org/package/2006/relationships"><Relationship Type="http://schemas.openxmlformats.org/officeDocument/2006/relationships/chart" Target="/xl/drawings/charts/chart8.xml" Id="R4cee4c257c6d42b5" /></Relationships>
</file>

<file path=xl/drawings/_rels/drawing9.xml.rels>&#65279;<?xml version="1.0" encoding="utf-8"?><Relationships xmlns="http://schemas.openxmlformats.org/package/2006/relationships"><Relationship Type="http://schemas.openxmlformats.org/officeDocument/2006/relationships/chart" Target="/xl/drawings/charts/chart9.xml" Id="R4d927ef0c6f04842" /></Relationships>
</file>

<file path=xl/drawings/_rels/drawing10.xml.rels>&#65279;<?xml version="1.0" encoding="utf-8"?><Relationships xmlns="http://schemas.openxmlformats.org/package/2006/relationships"><Relationship Type="http://schemas.openxmlformats.org/officeDocument/2006/relationships/chart" Target="/xl/drawings/charts/chart10.xml" Id="Rfa65e1e77bfa45b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Current Register by Object Type</a:t>
            </a:r>
          </a:p>
        </c:rich>
      </c:tx>
      <c:overlay val="0"/>
    </c:title>
    <c:autoTitleDeleted val="0"/>
    <c:plotArea>
      <c:layout/>
      <c:barChart>
        <c:barDir val="col"/>
        <c:varyColors val="0"/>
        <c:ser>
          <c:idx val="0"/>
          <c:order val="0"/>
          <c:tx>
            <c:v>Count</c:v>
          </c:tx>
          <c:cat>
            <c:strRef>
              <c:f>'Dashboard'!$A$5:$A$13</c:f>
              <c:strCache>
                <c:ptCount val="0"/>
              </c:strCache>
            </c:strRef>
          </c:cat>
          <c:val>
            <c:numRef>
              <c:f>'Dashboard'!$B$5:$B$13</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Exact BMXMuseum IDs Recovered by Cluster</a:t>
            </a:r>
          </a:p>
        </c:rich>
      </c:tx>
      <c:overlay val="0"/>
    </c:title>
    <c:autoTitleDeleted val="0"/>
    <c:plotArea>
      <c:layout/>
      <c:barChart>
        <c:barDir val="col"/>
        <c:varyColors val="0"/>
        <c:ser>
          <c:idx val="0"/>
          <c:order val="0"/>
          <c:tx>
            <c:v>Exact IDs</c:v>
          </c:tx>
          <c:cat>
            <c:strRef>
              <c:f>'v0.4 Scan Dashboard'!$D$5:$D$13</c:f>
              <c:strCache>
                <c:ptCount val="0"/>
              </c:strCache>
            </c:strRef>
          </c:cat>
          <c:val>
            <c:numRef>
              <c:f>'v0.4 Scan Dashboard'!$E$5:$E$13</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Source Records by Sequence Stage</a:t>
            </a:r>
          </a:p>
        </c:rich>
      </c:tx>
      <c:overlay val="0"/>
    </c:title>
    <c:autoTitleDeleted val="0"/>
    <c:plotArea>
      <c:layout/>
      <c:barChart>
        <c:barDir val="col"/>
        <c:grouping val="clustered"/>
        <c:varyColors val="0"/>
        <c:ser>
          <c:idx val="0"/>
          <c:order val="0"/>
          <c:tx>
            <c:v>Source records</c:v>
          </c:tx>
          <c:cat>
            <c:strRef>
              <c:f>'v1.0 Dashboard'!$J$5:$J$9</c:f>
              <c:strCache>
                <c:ptCount val="0"/>
              </c:strCache>
            </c:strRef>
          </c:cat>
          <c:val>
            <c:numRef>
              <c:f>'v1.0 Dashboard'!$K$5:$K$9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Claim Grades by Evidence Family</a:t>
            </a:r>
          </a:p>
        </c:rich>
      </c:tx>
      <c:overlay val="0"/>
    </c:title>
    <c:autoTitleDeleted val="0"/>
    <c:plotArea>
      <c:layout/>
      <c:barChart>
        <c:barDir val="col"/>
        <c:varyColors val="0"/>
        <c:ser>
          <c:idx val="0"/>
          <c:order val="0"/>
          <c:tx>
            <c:v>Claims</c:v>
          </c:tx>
          <c:cat>
            <c:strRef>
              <c:f>'v1.1 Auth Dashboard'!$K$5:$K$8</c:f>
              <c:strCache>
                <c:ptCount val="0"/>
              </c:strCache>
            </c:strRef>
          </c:cat>
          <c:val>
            <c:numRef>
              <c:f>'v1.1 Auth Dashboard'!$L$5:$L$8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v1.2 Work Products</a:t>
            </a:r>
          </a:p>
        </c:rich>
      </c:tx>
      <c:overlay val="0"/>
    </c:title>
    <c:autoTitleDeleted val="0"/>
    <c:plotArea>
      <c:layout/>
      <c:barChart>
        <c:barDir val="col"/>
        <c:varyColors val="0"/>
        <c:ser>
          <c:idx val="0"/>
          <c:order val="0"/>
          <c:tx>
            <c:v>Count</c:v>
          </c:tx>
          <c:cat>
            <c:strRef>
              <c:f>'v1.2 Continuation Dashboard'!$A$5:$A$12</c:f>
              <c:strCache>
                <c:ptCount val="0"/>
              </c:strCache>
            </c:strRef>
          </c:cat>
          <c:val>
            <c:numRef>
              <c:f>'v1.2 Continuation Dashboard'!$B$5:$B$12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v1.4 Dossier Records</a:t>
            </a:r>
          </a:p>
        </c:rich>
      </c:tx>
      <c:overlay val="0"/>
    </c:title>
    <c:autoTitleDeleted val="0"/>
    <c:plotArea>
      <c:layout/>
      <c:barChart>
        <c:barDir val="col"/>
        <c:varyColors val="0"/>
        <c:ser>
          <c:idx val="0"/>
          <c:order val="0"/>
          <c:tx>
            <c:v>Count</c:v>
          </c:tx>
          <c:cat>
            <c:strRef>
              <c:f>'v1.4 Deep Dossier Dashboard'!$A$5:$A$14</c:f>
              <c:strCache>
                <c:ptCount val="0"/>
              </c:strCache>
            </c:strRef>
          </c:cat>
          <c:val>
            <c:numRef>
              <c:f>'v1.4 Deep Dossier Dashboard'!$B$5:$B$14</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v1.5 JMC Work Products</a:t>
            </a:r>
          </a:p>
        </c:rich>
      </c:tx>
      <c:overlay val="0"/>
    </c:title>
    <c:autoTitleDeleted val="0"/>
    <c:plotArea>
      <c:layout/>
      <c:barChart>
        <c:barDir val="col"/>
        <c:varyColors val="0"/>
        <c:ser>
          <c:idx val="0"/>
          <c:order val="0"/>
          <c:tx>
            <c:v>Count</c:v>
          </c:tx>
          <c:cat>
            <c:strRef>
              <c:f>'v1.5 JMC Dashboard'!$A$5:$A$18</c:f>
              <c:strCache>
                <c:ptCount val="0"/>
              </c:strCache>
            </c:strRef>
          </c:cat>
          <c:val>
            <c:numRef>
              <c:f>'v1.5 JMC Dashboard'!$B$5:$B$18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v1.6 GT/Dyno Work Products</a:t>
            </a:r>
          </a:p>
        </c:rich>
      </c:tx>
      <c:overlay val="0"/>
    </c:title>
    <c:autoTitleDeleted val="0"/>
    <c:plotArea>
      <c:layout/>
      <c:barChart>
        <c:barDir val="col"/>
        <c:varyColors val="0"/>
        <c:ser>
          <c:idx val="0"/>
          <c:order val="0"/>
          <c:tx>
            <c:v>Count</c:v>
          </c:tx>
          <c:cat>
            <c:strRef>
              <c:f>'v1.6 GT-Dyno Dashboard'!$A$5:$A$19</c:f>
              <c:strCache>
                <c:ptCount val="0"/>
              </c:strCache>
            </c:strRef>
          </c:cat>
          <c:val>
            <c:numRef>
              <c:f>'v1.6 GT-Dyno Dashboard'!$B$5:$B$19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v1.7 Work Products</a:t>
            </a:r>
          </a:p>
        </c:rich>
      </c:tx>
      <c:overlay val="0"/>
    </c:title>
    <c:autoTitleDeleted val="0"/>
    <c:plotArea>
      <c:layout/>
      <c:barChart>
        <c:barDir val="col"/>
        <c:varyColors val="0"/>
        <c:ser>
          <c:idx val="0"/>
          <c:order val="0"/>
          <c:tx>
            <c:v>Count</c:v>
          </c:tx>
          <c:cat>
            <c:strRef>
              <c:f>'v1.7 Ephemera Dashboard'!$A$5:$A$17</c:f>
              <c:strCache>
                <c:ptCount val="0"/>
              </c:strCache>
            </c:strRef>
          </c:cat>
          <c:val>
            <c:numRef>
              <c:f>'v1.7 Ephemera Dashboard'!$B$5:$B$17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v1.8 Public Release Work Products</a:t>
            </a:r>
          </a:p>
        </c:rich>
      </c:tx>
      <c:overlay val="0"/>
    </c:title>
    <c:autoTitleDeleted val="0"/>
    <c:plotArea>
      <c:layout/>
      <c:barChart>
        <c:barDir val="col"/>
        <c:varyColors val="0"/>
        <c:ser>
          <c:idx val="0"/>
          <c:order val="0"/>
          <c:tx>
            <c:v>Count</c:v>
          </c:tx>
          <c:cat>
            <c:strRef>
              <c:f>'v1.8 Public Dashboard'!$A$5:$A$17</c:f>
              <c:strCache>
                <c:ptCount val="0"/>
              </c:strCache>
            </c:strRef>
          </c:cat>
          <c:val>
            <c:numRef>
              <c:f>'v1.8 Public Dashboard'!$B$5:$B$17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0da70409c644831"/>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12</xdr:row>
      <xdr:rowOff>0</xdr:rowOff>
    </xdr:from>
    <xdr:to>
      <xdr:col>14</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6a66fcbf7944c82"/>
        </a:graphicData>
      </a:graphic>
    </xdr:graphicFrame>
    <xdr:clientData/>
  </xdr:twoCellAnchor>
</xdr:wsDr>
</file>

<file path=xl/drawings/drawing3.xml><?xml version="1.0" encoding="utf-8"?>
<xdr:wsDr xmlns:xdr="http://schemas.openxmlformats.org/drawingml/2006/spreadsheetDrawing">
  <xdr:twoCellAnchor>
    <xdr:from>
      <xdr:col>9</xdr:col>
      <xdr:colOff>0</xdr:colOff>
      <xdr:row>10</xdr:row>
      <xdr:rowOff>0</xdr:rowOff>
    </xdr:from>
    <xdr:to>
      <xdr:col>14</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44358722644535"/>
        </a:graphicData>
      </a:graphic>
    </xdr:graphicFrame>
    <xdr:clientData/>
  </xdr:twoCellAnchor>
</xdr:wsDr>
</file>

<file path=xl/drawings/drawing4.xml><?xml version="1.0" encoding="utf-8"?>
<xdr:wsDr xmlns:xdr="http://schemas.openxmlformats.org/drawingml/2006/spreadsheetDrawing">
  <xdr:twoCellAnchor>
    <xdr:from>
      <xdr:col>10</xdr:col>
      <xdr:colOff>0</xdr:colOff>
      <xdr:row>9</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dcf025b4af044d6"/>
        </a:graphicData>
      </a:graphic>
    </xdr:graphicFrame>
    <xdr:clientData/>
  </xdr:twoCellAnchor>
</xdr:wsDr>
</file>

<file path=xl/drawings/drawing5.xml><?xml version="1.0" encoding="utf-8"?>
<xdr:wsDr xmlns:xdr="http://schemas.openxmlformats.org/drawingml/2006/spreadsheetDrawing">
  <xdr:twoCellAnchor>
    <xdr:from>
      <xdr:col>10</xdr:col>
      <xdr:colOff>0</xdr:colOff>
      <xdr:row>3</xdr:row>
      <xdr:rowOff>0</xdr:rowOff>
    </xdr:from>
    <xdr:to>
      <xdr:col>14</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4ba07345c394b24"/>
        </a:graphicData>
      </a:graphic>
    </xdr:graphicFrame>
    <xdr:clientData/>
  </xdr:twoCellAnchor>
</xdr:wsDr>
</file>

<file path=xl/drawings/drawing6.xml><?xml version="1.0" encoding="utf-8"?>
<xdr:wsDr xmlns:xdr="http://schemas.openxmlformats.org/drawingml/2006/spreadsheetDrawing">
  <xdr:twoCellAnchor>
    <xdr:from>
      <xdr:col>10</xdr:col>
      <xdr:colOff>0</xdr:colOff>
      <xdr:row>3</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c318119da4d4a40"/>
        </a:graphicData>
      </a:graphic>
    </xdr:graphicFrame>
    <xdr:clientData/>
  </xdr:twoCellAnchor>
</xdr:wsDr>
</file>

<file path=xl/drawings/drawing7.xml><?xml version="1.0" encoding="utf-8"?>
<xdr:wsDr xmlns:xdr="http://schemas.openxmlformats.org/drawingml/2006/spreadsheetDrawing">
  <xdr:twoCellAnchor>
    <xdr:from>
      <xdr:col>10</xdr:col>
      <xdr:colOff>0</xdr:colOff>
      <xdr:row>3</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1821e2112a44592"/>
        </a:graphicData>
      </a:graphic>
    </xdr:graphicFrame>
    <xdr:clientData/>
  </xdr:twoCellAnchor>
</xdr:wsDr>
</file>

<file path=xl/drawings/drawing8.xml><?xml version="1.0" encoding="utf-8"?>
<xdr:wsDr xmlns:xdr="http://schemas.openxmlformats.org/drawingml/2006/spreadsheetDrawing">
  <xdr:twoCellAnchor>
    <xdr:from>
      <xdr:col>10</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cee4c257c6d42b5"/>
        </a:graphicData>
      </a:graphic>
    </xdr:graphicFrame>
    <xdr:clientData/>
  </xdr:twoCellAnchor>
</xdr:wsDr>
</file>

<file path=xl/drawings/drawing9.xml><?xml version="1.0" encoding="utf-8"?>
<xdr:wsDr xmlns:xdr="http://schemas.openxmlformats.org/drawingml/2006/spreadsheetDrawing">
  <xdr:twoCellAnchor>
    <xdr:from>
      <xdr:col>10</xdr:col>
      <xdr:colOff>0</xdr:colOff>
      <xdr:row>3</xdr:row>
      <xdr:rowOff>0</xdr:rowOff>
    </xdr:from>
    <xdr:to>
      <xdr:col>14</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d927ef0c6f04842"/>
        </a:graphicData>
      </a:graphic>
    </xdr:graphicFrame>
    <xdr:clientData/>
  </xdr:twoCellAnchor>
</xdr:wsDr>
</file>

<file path=xl/drawings/drawing10.xml><?xml version="1.0" encoding="utf-8"?>
<xdr:wsDr xmlns:xdr="http://schemas.openxmlformats.org/drawingml/2006/spreadsheetDrawing">
  <xdr:twoCellAnchor>
    <xdr:from>
      <xdr:col>10</xdr:col>
      <xdr:colOff>0</xdr:colOff>
      <xdr:row>3</xdr:row>
      <xdr:rowOff>0</xdr:rowOff>
    </xdr:from>
    <xdr:to>
      <xdr:col>14</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a65e1e77bfa45b2"/>
        </a:graphicData>
      </a:graphic>
    </xdr:graphicFrame>
    <xdr:clientData/>
  </xdr:twoCellAnchor>
</xdr:wsDr>
</file>

<file path=xl/tables/table1.xml><?xml version="1.0" encoding="utf-8"?>
<x:table xmlns:x="http://schemas.openxmlformats.org/spreadsheetml/2006/main" id="1" name="ExactRecordsTable" displayName="ExactRecordsTable" ref="A1:P42" headerRowCount="1">
  <x:tableColumns count="16">
    <x:tableColumn id="1" name="Object ID"/>
    <x:tableColumn id="2" name="BMXMuseum Record ID"/>
    <x:tableColumn id="3" name="Submitted Year"/>
    <x:tableColumn id="4" name="Brand / Company"/>
    <x:tableColumn id="5" name="Submitted Model / Title"/>
    <x:tableColumn id="6" name="Canonical BMXMuseum URL"/>
    <x:tableColumn id="7" name="Discovery Channel"/>
    <x:tableColumn id="8" name="Discovery Source URL"/>
    <x:tableColumn id="9" name="Evidence Class"/>
    <x:tableColumn id="10" name="Confidence"/>
    <x:tableColumn id="11" name="Verification Status"/>
    <x:tableColumn id="12" name="Claim / Interpretation Notes"/>
    <x:tableColumn id="13" name="Rights Code"/>
    <x:tableColumn id="14" name="Image Action"/>
    <x:tableColumn id="15" name="Text Action"/>
    <x:tableColumn id="16" name="Accessed"/>
  </x:tableColumns>
  <x:tableStyleInfo name="TableStyleMedium2" showRowStripes="1"/>
</x:table>
</file>

<file path=xl/tables/table2.xml><?xml version="1.0" encoding="utf-8"?>
<x:table xmlns:x="http://schemas.openxmlformats.org/spreadsheetml/2006/main" id="2" name="TitledLeadsTable" displayName="TitledLeadsTable" ref="A1:I61" headerRowCount="1">
  <x:tableColumns count="9">
    <x:tableColumn id="1" name="Lead ID"/>
    <x:tableColumn id="2" name="Submitted Year"/>
    <x:tableColumn id="3" name="Brand / Company"/>
    <x:tableColumn id="4" name="Submitted Model / Title"/>
    <x:tableColumn id="5" name="Discovery Source URL"/>
    <x:tableColumn id="6" name="Evidence Class"/>
    <x:tableColumn id="7" name="Caution / Next Verification Step"/>
    <x:tableColumn id="8" name="Rights Code"/>
    <x:tableColumn id="9" name="Accessed"/>
  </x:tableColumns>
  <x:tableStyleInfo name="TableStyleMedium2" showRowStripes="1"/>
</x:table>
</file>

<file path=xl/tables/table3.xml><?xml version="1.0" encoding="utf-8"?>
<x:table xmlns:x="http://schemas.openxmlformats.org/spreadsheetml/2006/main" id="3" name="VerificationLogTable" displayName="VerificationLogTable" ref="A1:G13" headerRowCount="1">
  <x:tableColumns count="7">
    <x:tableColumn id="1" name="Verification ID"/>
    <x:tableColumn id="2" name="Subject"/>
    <x:tableColumn id="3" name="Claim"/>
    <x:tableColumn id="4" name="Finding"/>
    <x:tableColumn id="5" name="Confidence"/>
    <x:tableColumn id="6" name="Verification Source URL"/>
    <x:tableColumn id="7" name="Limit / Interpretation"/>
  </x:tableColumns>
  <x:tableStyleInfo name="TableStyleMedium2" showRowStripes="1"/>
</x:table>
</file>

<file path=xl/tables/table4.xml><?xml version="1.0" encoding="utf-8"?>
<x:table xmlns:x="http://schemas.openxmlformats.org/spreadsheetml/2006/main" id="4" name="PeopleRidersTable" displayName="PeopleRidersTable" ref="A4:N10" headerRowCount="1">
  <x:tableColumns count="14">
    <x:tableColumn id="1" name="Object ID"/>
    <x:tableColumn id="2" name="Person"/>
    <x:tableColumn id="3" name="Role / Discipline"/>
    <x:tableColumn id="4" name="BMXMuseum Object"/>
    <x:tableColumn id="5" name="BMXMuseum Connection"/>
    <x:tableColumn id="6" name="Claim / Research Lead"/>
    <x:tableColumn id="7" name="Independent Verification / Qualification"/>
    <x:tableColumn id="8" name="Evidence Class"/>
    <x:tableColumn id="9" name="Confidence"/>
    <x:tableColumn id="10" name="Research Status"/>
    <x:tableColumn id="11" name="Discovery Source URL"/>
    <x:tableColumn id="12" name="Verification URL"/>
    <x:tableColumn id="13" name="Rights Code"/>
    <x:tableColumn id="14" name="Accessed"/>
  </x:tableColumns>
  <x:tableStyleInfo name="TableStyleMedium2" showRowStripes="1"/>
</x:table>
</file>

<file path=xl/tables/table5.xml><?xml version="1.0" encoding="utf-8"?>
<x:table xmlns:x="http://schemas.openxmlformats.org/spreadsheetml/2006/main" id="5" name="RecordsResultsTable" displayName="RecordsResultsTable" ref="A4:P10" headerRowCount="1">
  <x:tableColumns count="16">
    <x:tableColumn id="1" name="Object ID"/>
    <x:tableColumn id="2" name="Person / Team"/>
    <x:tableColumn id="3" name="Record or Result"/>
    <x:tableColumn id="4" name="Year / Date"/>
    <x:tableColumn id="5" name="Sanction / Event"/>
    <x:tableColumn id="6" name="Class / Category"/>
    <x:tableColumn id="7" name="Track / Location"/>
    <x:tableColumn id="8" name="BMXMuseum Connection"/>
    <x:tableColumn id="9" name="Evidence from BMXMuseum Ecosystem"/>
    <x:tableColumn id="10" name="Independent Verification"/>
    <x:tableColumn id="11" name="Confidence"/>
    <x:tableColumn id="12" name="Status"/>
    <x:tableColumn id="13" name="Discovery Source URL"/>
    <x:tableColumn id="14" name="Verification URL"/>
    <x:tableColumn id="15" name="Rights Code"/>
    <x:tableColumn id="16" name="Accessed"/>
  </x:tableColumns>
  <x:tableStyleInfo name="TableStyleMedium2" showRowStripes="1"/>
</x:table>
</file>

<file path=xl/tables/table6.xml><?xml version="1.0" encoding="utf-8"?>
<x:table xmlns:x="http://schemas.openxmlformats.org/spreadsheetml/2006/main" id="6" name="TracksVenuesTable" displayName="TracksVenuesTable" ref="A4:N10" headerRowCount="1">
  <x:tableColumns count="14">
    <x:tableColumn id="1" name="Object ID"/>
    <x:tableColumn id="2" name="Track / Venue"/>
    <x:tableColumn id="3" name="Location"/>
    <x:tableColumn id="4" name="Active Period / Date Lead"/>
    <x:tableColumn id="5" name="BMXMuseum Connection"/>
    <x:tableColumn id="6" name="Exact BMXMuseum Object"/>
    <x:tableColumn id="7" name="Claim / Research Lead"/>
    <x:tableColumn id="8" name="Independent Verification / Qualification"/>
    <x:tableColumn id="9" name="Confidence"/>
    <x:tableColumn id="10" name="Research Status"/>
    <x:tableColumn id="11" name="Discovery Source URL"/>
    <x:tableColumn id="12" name="Verification URL"/>
    <x:tableColumn id="13" name="Rights Code"/>
    <x:tableColumn id="14" name="Accessed"/>
  </x:tableColumns>
  <x:tableStyleInfo name="TableStyleMedium2" showRowStripes="1"/>
</x:table>
</file>

<file path=xl/tables/table7.xml><?xml version="1.0" encoding="utf-8"?>
<x:table xmlns:x="http://schemas.openxmlformats.org/spreadsheetml/2006/main" id="7" name="BrandsCompaniesTable" displayName="BrandsCompaniesTable" ref="A4:M13" headerRowCount="1">
  <x:tableColumns count="13">
    <x:tableColumn id="1" name="Object ID"/>
    <x:tableColumn id="2" name="Brand / Company"/>
    <x:tableColumn id="3" name="BMXMuseum Object(s)"/>
    <x:tableColumn id="4" name="BMXMuseum Role"/>
    <x:tableColumn id="5" name="Historical Lead"/>
    <x:tableColumn id="6" name="Independent Verification / Qualification"/>
    <x:tableColumn id="7" name="Brand Relationships"/>
    <x:tableColumn id="8" name="Confidence"/>
    <x:tableColumn id="9" name="Research Status"/>
    <x:tableColumn id="10" name="Discovery Source URL"/>
    <x:tableColumn id="11" name="Verification URL"/>
    <x:tableColumn id="12" name="Rights Code"/>
    <x:tableColumn id="13" name="Accessed"/>
  </x:tableColumns>
  <x:tableStyleInfo name="TableStyleMedium2" showRowStripes="1"/>
</x:table>
</file>

<file path=xl/tables/table8.xml><?xml version="1.0" encoding="utf-8"?>
<x:table xmlns:x="http://schemas.openxmlformats.org/spreadsheetml/2006/main" id="8" name="AdvertisementsEphemeraTable" displayName="AdvertisementsEphemeraTable" ref="A4:P14" headerRowCount="1">
  <x:tableColumns count="16">
    <x:tableColumn id="1" name="Object ID"/>
    <x:tableColumn id="2" name="Material Type"/>
    <x:tableColumn id="3" name="Title / Description"/>
    <x:tableColumn id="4" name="Year / Date"/>
    <x:tableColumn id="5" name="Brand(s) / Person(s)"/>
    <x:tableColumn id="6" name="BMXMuseum Object"/>
    <x:tableColumn id="7" name="What It Can Verify"/>
    <x:tableColumn id="8" name="Current Evidence / Limitation"/>
    <x:tableColumn id="9" name="Confidence"/>
    <x:tableColumn id="10" name="Research Status"/>
    <x:tableColumn id="11" name="Discovery Source URL"/>
    <x:tableColumn id="12" name="Independent Source URL"/>
    <x:tableColumn id="13" name="Rights Code"/>
    <x:tableColumn id="14" name="Image Action"/>
    <x:tableColumn id="15" name="Text Action"/>
    <x:tableColumn id="16" name="Accessed"/>
  </x:tableColumns>
  <x:tableStyleInfo name="TableStyleMedium2" showRowStripes="1"/>
</x:table>
</file>

<file path=xl/tables/table9.xml><?xml version="1.0" encoding="utf-8"?>
<x:table xmlns:x="http://schemas.openxmlformats.org/spreadsheetml/2006/main" id="9" name="KnowledgeRelationshipsTable" displayName="KnowledgeRelationshipsTable" ref="A4:K14" headerRowCount="1">
  <x:tableColumns count="11">
    <x:tableColumn id="1" name="Relationship ID"/>
    <x:tableColumn id="2" name="From Object"/>
    <x:tableColumn id="3" name="From Type"/>
    <x:tableColumn id="4" name="Relationship"/>
    <x:tableColumn id="5" name="To Object"/>
    <x:tableColumn id="6" name="To Type"/>
    <x:tableColumn id="7" name="Date / Period"/>
    <x:tableColumn id="8" name="Evidence Summary"/>
    <x:tableColumn id="9" name="Confidence"/>
    <x:tableColumn id="10" name="Source URL"/>
    <x:tableColumn id="11" name="Status"/>
  </x:tableColumns>
  <x:tableStyleInfo name="TableStyleMedium2" showRowStripes="1"/>
</x:table>
</file>

<file path=xl/tables/table10.xml><?xml version="1.0" encoding="utf-8"?>
<x:table xmlns:x="http://schemas.openxmlformats.org/spreadsheetml/2006/main" id="10" name="HLDBOverviewTable" displayName="HLDBOverviewTable" ref="A4:C12" headerRowCount="1">
  <x:tableColumns count="3">
    <x:tableColumn id="1" name="Metric"/>
    <x:tableColumn id="2" name="Count / Status"/>
    <x:tableColumn id="3" name="Meaning"/>
  </x:tableColumns>
  <x:tableStyleInfo name="TableStyleMedium2" showRowStripes="1"/>
</x:table>
</file>

<file path=xl/tables/table11.xml><?xml version="1.0" encoding="utf-8"?>
<x:table xmlns:x="http://schemas.openxmlformats.org/spreadsheetml/2006/main" id="11" name="HLDBObjectsTable" displayName="HLDBObjectsTable" ref="A4:K10" headerRowCount="1">
  <x:tableColumns count="11">
    <x:tableColumn id="1" name="Object ID"/>
    <x:tableColumn id="2" name="Object Type"/>
    <x:tableColumn id="3" name="BMXMuseum ID / Path"/>
    <x:tableColumn id="4" name="Publicly Exposed Title / Subject"/>
    <x:tableColumn id="5" name="Canonical BMXMuseum URL"/>
    <x:tableColumn id="6" name="Discovery Evidence"/>
    <x:tableColumn id="7" name="Confidence"/>
    <x:tableColumn id="8" name="What Is Established"/>
    <x:tableColumn id="9" name="What Is Not Established"/>
    <x:tableColumn id="10" name="Rights / Access Status"/>
    <x:tableColumn id="11" name="Accessed"/>
  </x:tableColumns>
  <x:tableStyleInfo name="TableStyleMedium2" showRowStripes="1"/>
</x:table>
</file>

<file path=xl/tables/table12.xml><?xml version="1.0" encoding="utf-8"?>
<x:table xmlns:x="http://schemas.openxmlformats.org/spreadsheetml/2006/main" id="12" name="HLDBClaimsTable" displayName="HLDBClaimsTable" ref="A4:J21" headerRowCount="1">
  <x:tableColumns count="10">
    <x:tableColumn id="1" name="Claim ID"/>
    <x:tableColumn id="2" name="Claim"/>
    <x:tableColumn id="3" name="Date / Period"/>
    <x:tableColumn id="4" name="Subject"/>
    <x:tableColumn id="5" name="Source Class"/>
    <x:tableColumn id="6" name="Primary Source / URL"/>
    <x:tableColumn id="7" name="Evidence Level"/>
    <x:tableColumn id="8" name="Status"/>
    <x:tableColumn id="9" name="Qualification / Conflict Note"/>
    <x:tableColumn id="10" name="Next Verification Action"/>
  </x:tableColumns>
  <x:tableStyleInfo name="TableStyleMedium2" showRowStripes="1"/>
</x:table>
</file>

<file path=xl/tables/table13.xml><?xml version="1.0" encoding="utf-8"?>
<x:table xmlns:x="http://schemas.openxmlformats.org/spreadsheetml/2006/main" id="13" name="HLDBPeriodSourcesTable" displayName="HLDBPeriodSourcesTable" ref="A4:K9" headerRowCount="1">
  <x:tableColumns count="11">
    <x:tableColumn id="1" name="Source ID"/>
    <x:tableColumn id="2" name="Material Type"/>
    <x:tableColumn id="3" name="Title / Issue"/>
    <x:tableColumn id="4" name="Date"/>
    <x:tableColumn id="5" name="Pages / Location"/>
    <x:tableColumn id="6" name="People / Products"/>
    <x:tableColumn id="7" name="What It Verifies"/>
    <x:tableColumn id="8" name="Evidence Quality"/>
    <x:tableColumn id="9" name="Rights Action"/>
    <x:tableColumn id="10" name="Source URL"/>
    <x:tableColumn id="11" name="Review Status"/>
  </x:tableColumns>
  <x:tableStyleInfo name="TableStyleMedium2" showRowStripes="1"/>
</x:table>
</file>

<file path=xl/tables/table14.xml><?xml version="1.0" encoding="utf-8"?>
<x:table xmlns:x="http://schemas.openxmlformats.org/spreadsheetml/2006/main" id="14" name="HLDBCrosswalkTable" displayName="HLDBCrosswalkTable" ref="A4:I13" headerRowCount="1">
  <x:tableColumns count="9">
    <x:tableColumn id="1" name="Crosswalk ID"/>
    <x:tableColumn id="2" name="Lititz Artifact ID"/>
    <x:tableColumn id="3" name="Artifact"/>
    <x:tableColumn id="4" name="Cluster Role"/>
    <x:tableColumn id="5" name="Recorded Provenance / Significance"/>
    <x:tableColumn id="6" name="BMXMuseum Research Need"/>
    <x:tableColumn id="7" name="Current Verification Status"/>
    <x:tableColumn id="8" name="Public Artifact URL"/>
    <x:tableColumn id="9" name="Priority Action"/>
  </x:tableColumns>
  <x:tableStyleInfo name="TableStyleMedium2" showRowStripes="1"/>
</x:table>
</file>

<file path=xl/tables/table15.xml><?xml version="1.0" encoding="utf-8"?>
<x:table xmlns:x="http://schemas.openxmlformats.org/spreadsheetml/2006/main" id="15" name="HLDBRelationshipsTable" displayName="HLDBRelationshipsTable" ref="A4:K22" headerRowCount="1">
  <x:tableColumns count="11">
    <x:tableColumn id="1" name="Relationship ID"/>
    <x:tableColumn id="2" name="From"/>
    <x:tableColumn id="3" name="From Type"/>
    <x:tableColumn id="4" name="Relationship"/>
    <x:tableColumn id="5" name="To"/>
    <x:tableColumn id="6" name="To Type"/>
    <x:tableColumn id="7" name="Date / Period"/>
    <x:tableColumn id="8" name="Evidence"/>
    <x:tableColumn id="9" name="Confidence"/>
    <x:tableColumn id="10" name="Source URL"/>
    <x:tableColumn id="11" name="Status"/>
  </x:tableColumns>
  <x:tableStyleInfo name="TableStyleMedium2" showRowStripes="1"/>
</x:table>
</file>

<file path=xl/tables/table16.xml><?xml version="1.0" encoding="utf-8"?>
<x:table xmlns:x="http://schemas.openxmlformats.org/spreadsheetml/2006/main" id="16" name="HLDBOpenQuestionsTable" displayName="HLDBOpenQuestionsTable" ref="A4:F12" headerRowCount="1">
  <x:tableColumns count="6">
    <x:tableColumn id="1" name="Priority"/>
    <x:tableColumn id="2" name="Question / Task"/>
    <x:tableColumn id="3" name="Why It Matters"/>
    <x:tableColumn id="4" name="Required Evidence"/>
    <x:tableColumn id="5" name="Current Lead"/>
    <x:tableColumn id="6" name="Completion Test"/>
  </x:tableColumns>
  <x:tableStyleInfo name="TableStyleMedium2" showRowStripes="1"/>
</x:table>
</file>

<file path=xl/tables/table17.xml><?xml version="1.0" encoding="utf-8"?>
<x:table xmlns:x="http://schemas.openxmlformats.org/spreadsheetml/2006/main" id="17" name="PriorityExpansionTable" displayName="PriorityExpansionTable" ref="A4:M13" headerRowCount="1">
  <x:tableColumns count="13">
    <x:tableColumn id="1" name="Cluster ID"/>
    <x:tableColumn id="2" name="Status"/>
    <x:tableColumn id="3" name="Canonical Cluster"/>
    <x:tableColumn id="4" name="Aliases / Search Variants"/>
    <x:tableColumn id="5" name="Primary Object Types"/>
    <x:tableColumn id="6" name="Research Scope"/>
    <x:tableColumn id="7" name="Known Lititz BMX Anchor(s)"/>
    <x:tableColumn id="8" name="Anchor Status"/>
    <x:tableColumn id="9" name="BMXMuseum Targets"/>
    <x:tableColumn id="10" name="Independent Verification Targets"/>
    <x:tableColumn id="11" name="Rights / Safety Rule"/>
    <x:tableColumn id="12" name="Next Research Action"/>
    <x:tableColumn id="13" name="Notes"/>
  </x:tableColumns>
  <x:tableStyleInfo name="TableStyleMedium2" showRowStripes="1"/>
</x:table>
</file>

<file path=xl/tables/table18.xml><?xml version="1.0" encoding="utf-8"?>
<x:table xmlns:x="http://schemas.openxmlformats.org/spreadsheetml/2006/main" id="18" name="AliasRegistryTable" displayName="AliasRegistryTable" ref="A4:G39" headerRowCount="1">
  <x:tableColumns count="7">
    <x:tableColumn id="1" name="Alias ID"/>
    <x:tableColumn id="2" name="Canonical Cluster"/>
    <x:tableColumn id="3" name="Alias / Search Term"/>
    <x:tableColumn id="4" name="Use"/>
    <x:tableColumn id="5" name="Disambiguation Rule"/>
    <x:tableColumn id="6" name="Status"/>
    <x:tableColumn id="7" name="Notes"/>
  </x:tableColumns>
  <x:tableStyleInfo name="TableStyleMedium2" showRowStripes="1"/>
</x:table>
</file>

<file path=xl/tables/table19.xml><?xml version="1.0" encoding="utf-8"?>
<x:table xmlns:x="http://schemas.openxmlformats.org/spreadsheetml/2006/main" id="19" name="V04ClusterStatus" displayName="V04ClusterStatus" ref="A4:K13" headerRowCount="1">
  <x:tableColumns count="11">
    <x:tableColumn id="1" name="Cluster"/>
    <x:tableColumn id="2" name="Exact BMXMuseum IDs"/>
    <x:tableColumn id="3" name="Gallery / Search Endpoints"/>
    <x:tableColumn id="4" name="Title-only / Community Leads"/>
    <x:tableColumn id="5" name="Independent Sources"/>
    <x:tableColumn id="6" name="Lititz Anchors"/>
    <x:tableColumn id="7" name="Current Assessment"/>
    <x:tableColumn id="8" name="Confidence"/>
    <x:tableColumn id="9" name="Primary Gap"/>
    <x:tableColumn id="10" name="Next Action"/>
    <x:tableColumn id="11" name="Scan Date"/>
  </x:tableColumns>
  <x:tableStyleInfo name="TableStyleMedium2" showRowStripes="1"/>
</x:table>
</file>

<file path=xl/tables/table20.xml><?xml version="1.0" encoding="utf-8"?>
<x:table xmlns:x="http://schemas.openxmlformats.org/spreadsheetml/2006/main" id="20" name="V04BMXMObjects" displayName="V04BMXMObjects" ref="A4:M29" headerRowCount="1">
  <x:tableColumns count="13">
    <x:tableColumn id="1" name="Object ID"/>
    <x:tableColumn id="2" name="Cluster"/>
    <x:tableColumn id="3" name="Object Type"/>
    <x:tableColumn id="4" name="BMXMuseum ID / Path"/>
    <x:tableColumn id="5" name="Submitted / Exposed Title"/>
    <x:tableColumn id="6" name="Canonical URL"/>
    <x:tableColumn id="7" name="Discovery Route"/>
    <x:tableColumn id="8" name="Evidence Class"/>
    <x:tableColumn id="9" name="Confidence"/>
    <x:tableColumn id="10" name="Usefulness"/>
    <x:tableColumn id="11" name="Limitation"/>
    <x:tableColumn id="12" name="Rights Code"/>
    <x:tableColumn id="13" name="Accessed"/>
  </x:tableColumns>
  <x:tableStyleInfo name="TableStyleMedium2" showRowStripes="1"/>
</x:table>
</file>

<file path=xl/tables/table21.xml><?xml version="1.0" encoding="utf-8"?>
<x:table xmlns:x="http://schemas.openxmlformats.org/spreadsheetml/2006/main" id="21" name="V04Findings" displayName="V04Findings" ref="A4:K44" headerRowCount="1">
  <x:tableColumns count="11">
    <x:tableColumn id="1" name="Finding ID"/>
    <x:tableColumn id="2" name="Cluster"/>
    <x:tableColumn id="3" name="Claim / Finding"/>
    <x:tableColumn id="4" name="Date / Period"/>
    <x:tableColumn id="5" name="Source Class"/>
    <x:tableColumn id="6" name="Evidence Level"/>
    <x:tableColumn id="7" name="Status"/>
    <x:tableColumn id="8" name="Primary URL"/>
    <x:tableColumn id="9" name="Corroborating URL"/>
    <x:tableColumn id="10" name="Qualification / Safety Note"/>
    <x:tableColumn id="11" name="Next Verification Action"/>
  </x:tableColumns>
  <x:tableStyleInfo name="TableStyleMedium2" showRowStripes="1"/>
</x:table>
</file>

<file path=xl/tables/table22.xml><?xml version="1.0" encoding="utf-8"?>
<x:table xmlns:x="http://schemas.openxmlformats.org/spreadsheetml/2006/main" id="22" name="V04LititzCrosswalk" displayName="V04LititzCrosswalk" ref="A4:J18" headerRowCount="1">
  <x:tableColumns count="10">
    <x:tableColumn id="1" name="Crosswalk ID"/>
    <x:tableColumn id="2" name="Cluster"/>
    <x:tableColumn id="3" name="Lititz Artifact ID"/>
    <x:tableColumn id="4" name="Artifact / Holding"/>
    <x:tableColumn id="5" name="Current Evidence"/>
    <x:tableColumn id="6" name="BMXMuseum Relationship"/>
    <x:tableColumn id="7" name="Independent Verification"/>
    <x:tableColumn id="8" name="Authentication Status"/>
    <x:tableColumn id="9" name="Highest-Priority Work"/>
    <x:tableColumn id="10" name="Public URL"/>
  </x:tableColumns>
  <x:tableStyleInfo name="TableStyleMedium2" showRowStripes="1"/>
</x:table>
</file>

<file path=xl/tables/table23.xml><?xml version="1.0" encoding="utf-8"?>
<x:table xmlns:x="http://schemas.openxmlformats.org/spreadsheetml/2006/main" id="23" name="V04Sources" displayName="V04Sources" ref="A4:I26" headerRowCount="1">
  <x:tableColumns count="9">
    <x:tableColumn id="1" name="Source ID"/>
    <x:tableColumn id="2" name="Cluster(s)"/>
    <x:tableColumn id="3" name="Source Title / Organization"/>
    <x:tableColumn id="4" name="Source Type"/>
    <x:tableColumn id="5" name="URL"/>
    <x:tableColumn id="6" name="Authority Class"/>
    <x:tableColumn id="7" name="Claims Supported"/>
    <x:tableColumn id="8" name="Limitations / Rights Note"/>
    <x:tableColumn id="9" name="Accessed"/>
  </x:tableColumns>
  <x:tableStyleInfo name="TableStyleMedium2" showRowStripes="1"/>
</x:table>
</file>

<file path=xl/tables/table24.xml><?xml version="1.0" encoding="utf-8"?>
<x:table xmlns:x="http://schemas.openxmlformats.org/spreadsheetml/2006/main" id="24" name="V04OpenQuestions" displayName="V04OpenQuestions" ref="A4:I23" headerRowCount="1">
  <x:tableColumns count="9">
    <x:tableColumn id="1" name="Question ID"/>
    <x:tableColumn id="2" name="Cluster"/>
    <x:tableColumn id="3" name="Priority"/>
    <x:tableColumn id="4" name="Open Question"/>
    <x:tableColumn id="5" name="Why It Matters"/>
    <x:tableColumn id="6" name="Evidence Needed"/>
    <x:tableColumn id="7" name="Current Blocker"/>
    <x:tableColumn id="8" name="Recommended Route"/>
    <x:tableColumn id="9" name="Status"/>
  </x:tableColumns>
  <x:tableStyleInfo name="TableStyleMedium2" showRowStripes="1"/>
</x:table>
</file>

<file path=xl/tables/table25.xml><?xml version="1.0" encoding="utf-8"?>
<x:table xmlns:x="http://schemas.openxmlformats.org/spreadsheetml/2006/main" id="25" name="v06GTDynoObjects" displayName="v06GTDynoObjects" ref="A4:P10" headerRowCount="1">
  <x:tableColumns count="16">
    <x:tableColumn id="1" name="Object ID"/>
    <x:tableColumn id="2" name="Object Type"/>
    <x:tableColumn id="3" name="Title"/>
    <x:tableColumn id="4" name="Year / Date"/>
    <x:tableColumn id="5" name="Brand(s)"/>
    <x:tableColumn id="6" name="BMXMuseum Status"/>
    <x:tableColumn id="7" name="Exact Reference ID"/>
    <x:tableColumn id="8" name="What It Can Verify"/>
    <x:tableColumn id="9" name="Evidence / Limitation"/>
    <x:tableColumn id="10" name="Confidence"/>
    <x:tableColumn id="11" name="Primary Source URL"/>
    <x:tableColumn id="12" name="Corroborating Source URL"/>
    <x:tableColumn id="13" name="Rights Code"/>
    <x:tableColumn id="14" name="Research Status"/>
    <x:tableColumn id="15" name="Accessed"/>
    <x:tableColumn id="16" name="Notes"/>
  </x:tableColumns>
  <x:tableStyleInfo name="TableStyleMedium2" showRowStripes="1"/>
</x:table>
</file>

<file path=xl/tables/table26.xml><?xml version="1.0" encoding="utf-8"?>
<x:table xmlns:x="http://schemas.openxmlformats.org/spreadsheetml/2006/main" id="26" name="v06PriceBenchmarks" displayName="v06PriceBenchmarks" ref="A4:R25" headerRowCount="1">
  <x:tableColumns count="18">
    <x:tableColumn id="1" name="Price Observation ID"/>
    <x:tableColumn id="2" name="Source Object ID"/>
    <x:tableColumn id="3" name="Brand"/>
    <x:tableColumn id="4" name="Product / Model"/>
    <x:tableColumn id="5" name="Product Type"/>
    <x:tableColumn id="6" name="Issue / Year"/>
    <x:tableColumn id="7" name="Price Numeric"/>
    <x:tableColumn id="8" name="Currency"/>
    <x:tableColumn id="9" name="Displayed Price"/>
    <x:tableColumn id="10" name="Price Basis"/>
    <x:tableColumn id="11" name="Geography / Context"/>
    <x:tableColumn id="12" name="Source Type"/>
    <x:tableColumn id="13" name="Directness"/>
    <x:tableColumn id="14" name="Confidence"/>
    <x:tableColumn id="15" name="Source URL"/>
    <x:tableColumn id="16" name="Rights Code"/>
    <x:tableColumn id="17" name="Normalization Note"/>
    <x:tableColumn id="18" name="Accessed"/>
  </x:tableColumns>
  <x:tableStyleInfo name="TableStyleMedium2" showRowStripes="1"/>
</x:table>
</file>

<file path=xl/tables/table27.xml><?xml version="1.0" encoding="utf-8"?>
<x:table xmlns:x="http://schemas.openxmlformats.org/spreadsheetml/2006/main" id="27" name="v06DashboardTable" displayName="v06DashboardTable" ref="A4:H11" headerRowCount="1">
  <x:tableColumns count="8">
    <x:tableColumn id="1" name="Metric"/>
    <x:tableColumn id="2" name="Count"/>
    <x:tableColumn id="3" name="Outcome"/>
    <x:tableColumn id="4" name="Determination"/>
    <x:tableColumn id="5" name="Rights"/>
    <x:tableColumn id="6" name="Status"/>
    <x:tableColumn id="7" name="Next action"/>
    <x:tableColumn id="8" name="Version"/>
  </x:tableColumns>
  <x:tableStyleInfo name="TableStyleMedium2" showRowStripes="1"/>
</x:table>
</file>

<file path=xl/tables/table28.xml><?xml version="1.0" encoding="utf-8"?>
<x:table xmlns:x="http://schemas.openxmlformats.org/spreadsheetml/2006/main" id="28" name="v07HaroObjects" displayName="v07HaroObjects" ref="A4:P12" headerRowCount="1">
  <x:tableColumns count="16">
    <x:tableColumn id="1" name="Object ID"/>
    <x:tableColumn id="2" name="Object Type"/>
    <x:tableColumn id="3" name="Title / Subject"/>
    <x:tableColumn id="4" name="Year"/>
    <x:tableColumn id="5" name="Brand"/>
    <x:tableColumn id="6" name="Source Role"/>
    <x:tableColumn id="7" name="BMXMuseum Status"/>
    <x:tableColumn id="8" name="What It Can Verify"/>
    <x:tableColumn id="9" name="Evidence / Limitation"/>
    <x:tableColumn id="10" name="Confidence"/>
    <x:tableColumn id="11" name="Primary Source URL"/>
    <x:tableColumn id="12" name="Secondary Source URL"/>
    <x:tableColumn id="13" name="Rights Code"/>
    <x:tableColumn id="14" name="Research Status"/>
    <x:tableColumn id="15" name="Accessed"/>
    <x:tableColumn id="16" name="Notes"/>
  </x:tableColumns>
  <x:tableStyleInfo name="TableStyleMedium2" showRowStripes="1"/>
</x:table>
</file>

<file path=xl/tables/table29.xml><?xml version="1.0" encoding="utf-8"?>
<x:table xmlns:x="http://schemas.openxmlformats.org/spreadsheetml/2006/main" id="29" name="v07Ashtabula" displayName="v07Ashtabula" ref="A4:P9" headerRowCount="1">
  <x:tableColumns count="16">
    <x:tableColumn id="1" name="Object ID"/>
    <x:tableColumn id="2" name="Object Type"/>
    <x:tableColumn id="3" name="Title / Subject"/>
    <x:tableColumn id="4" name="Year / Date"/>
    <x:tableColumn id="5" name="Brand"/>
    <x:tableColumn id="6" name="Exact Reference"/>
    <x:tableColumn id="7" name="Evidence Class"/>
    <x:tableColumn id="8" name="What It Can Verify"/>
    <x:tableColumn id="9" name="Evidence / Limitation"/>
    <x:tableColumn id="10" name="Confidence"/>
    <x:tableColumn id="11" name="Primary Source URL"/>
    <x:tableColumn id="12" name="Corroborating Source URL"/>
    <x:tableColumn id="13" name="Rights Code"/>
    <x:tableColumn id="14" name="Research Status"/>
    <x:tableColumn id="15" name="Accessed"/>
    <x:tableColumn id="16" name="Notes"/>
  </x:tableColumns>
  <x:tableStyleInfo name="TableStyleMedium2" showRowStripes="1"/>
</x:table>
</file>

<file path=xl/tables/table30.xml><?xml version="1.0" encoding="utf-8"?>
<x:table xmlns:x="http://schemas.openxmlformats.org/spreadsheetml/2006/main" id="30" name="v07HaroPrice" displayName="v07HaroPrice" ref="A4:R9" headerRowCount="1">
  <x:tableColumns count="18">
    <x:tableColumn id="1" name="Price Observation ID"/>
    <x:tableColumn id="2" name="Source Object ID"/>
    <x:tableColumn id="3" name="Brand"/>
    <x:tableColumn id="4" name="Product / Model"/>
    <x:tableColumn id="5" name="Product Type"/>
    <x:tableColumn id="6" name="Issue / Year"/>
    <x:tableColumn id="7" name="Price Numeric"/>
    <x:tableColumn id="8" name="Currency"/>
    <x:tableColumn id="9" name="Displayed Price"/>
    <x:tableColumn id="10" name="Price Basis"/>
    <x:tableColumn id="11" name="Geography / Context"/>
    <x:tableColumn id="12" name="Source Type"/>
    <x:tableColumn id="13" name="Directness"/>
    <x:tableColumn id="14" name="Confidence"/>
    <x:tableColumn id="15" name="Source URL"/>
    <x:tableColumn id="16" name="Rights Code"/>
    <x:tableColumn id="17" name="Normalization Note"/>
    <x:tableColumn id="18" name="Accessed"/>
  </x:tableColumns>
  <x:tableStyleInfo name="TableStyleMedium2" showRowStripes="1"/>
</x:table>
</file>

<file path=xl/tables/table31.xml><?xml version="1.0" encoding="utf-8"?>
<x:table xmlns:x="http://schemas.openxmlformats.org/spreadsheetml/2006/main" id="31" name="v07DashboardTable" displayName="v07DashboardTable" ref="A4:H12" headerRowCount="1">
  <x:tableColumns count="8">
    <x:tableColumn id="1" name="Metric"/>
    <x:tableColumn id="2" name="Count"/>
    <x:tableColumn id="3" name="Outcome"/>
    <x:tableColumn id="4" name="Determination"/>
    <x:tableColumn id="5" name="Rights"/>
    <x:tableColumn id="6" name="Status"/>
    <x:tableColumn id="7" name="Next action"/>
    <x:tableColumn id="8" name="Version"/>
  </x:tableColumns>
  <x:tableStyleInfo name="TableStyleMedium2" showRowStripes="1"/>
</x:table>
</file>

<file path=xl/tables/table32.xml><?xml version="1.0" encoding="utf-8"?>
<x:table xmlns:x="http://schemas.openxmlformats.org/spreadsheetml/2006/main" id="32" name="v08BrandEphemera" displayName="v08BrandEphemera" ref="A4:P18" headerRowCount="1">
  <x:tableColumns count="16">
    <x:tableColumn id="1" name="Object ID"/>
    <x:tableColumn id="2" name="Brand"/>
    <x:tableColumn id="3" name="Object Type"/>
    <x:tableColumn id="4" name="Title / Subject"/>
    <x:tableColumn id="5" name="Year / Date"/>
    <x:tableColumn id="6" name="Source Role"/>
    <x:tableColumn id="7" name="BMXMuseum Relationship"/>
    <x:tableColumn id="8" name="What It Can Verify"/>
    <x:tableColumn id="9" name="Evidence / Limitation"/>
    <x:tableColumn id="10" name="Confidence"/>
    <x:tableColumn id="11" name="Primary Source URL"/>
    <x:tableColumn id="12" name="Secondary Source URL"/>
    <x:tableColumn id="13" name="Rights Code"/>
    <x:tableColumn id="14" name="Research Status"/>
    <x:tableColumn id="15" name="Accessed"/>
    <x:tableColumn id="16" name="Notes"/>
  </x:tableColumns>
  <x:tableStyleInfo name="TableStyleMedium2" showRowStripes="1"/>
</x:table>
</file>

<file path=xl/tables/table33.xml><?xml version="1.0" encoding="utf-8"?>
<x:table xmlns:x="http://schemas.openxmlformats.org/spreadsheetml/2006/main" id="33" name="v08PriceBenchmarks" displayName="v08PriceBenchmarks" ref="A4:R12" headerRowCount="1">
  <x:tableColumns count="18">
    <x:tableColumn id="1" name="Price Observation ID"/>
    <x:tableColumn id="2" name="Source Object ID"/>
    <x:tableColumn id="3" name="Brand"/>
    <x:tableColumn id="4" name="Product / Model"/>
    <x:tableColumn id="5" name="Product Type"/>
    <x:tableColumn id="6" name="Issue / Year"/>
    <x:tableColumn id="7" name="Price Numeric"/>
    <x:tableColumn id="8" name="Currency"/>
    <x:tableColumn id="9" name="Displayed Price"/>
    <x:tableColumn id="10" name="Price Basis"/>
    <x:tableColumn id="11" name="Geography / Context"/>
    <x:tableColumn id="12" name="Source Type"/>
    <x:tableColumn id="13" name="Directness"/>
    <x:tableColumn id="14" name="Confidence"/>
    <x:tableColumn id="15" name="Source URL"/>
    <x:tableColumn id="16" name="Rights Code"/>
    <x:tableColumn id="17" name="Normalization Note"/>
    <x:tableColumn id="18" name="Accessed"/>
  </x:tableColumns>
  <x:tableStyleInfo name="TableStyleMedium2" showRowStripes="1"/>
</x:table>
</file>

<file path=xl/tables/table34.xml><?xml version="1.0" encoding="utf-8"?>
<x:table xmlns:x="http://schemas.openxmlformats.org/spreadsheetml/2006/main" id="34" name="v08DashboardTable" displayName="v08DashboardTable" ref="A4:H12" headerRowCount="1">
  <x:tableColumns count="8">
    <x:tableColumn id="1" name="Metric"/>
    <x:tableColumn id="2" name="Count"/>
    <x:tableColumn id="3" name="Outcome"/>
    <x:tableColumn id="4" name="Determination"/>
    <x:tableColumn id="5" name="Rights"/>
    <x:tableColumn id="6" name="Status"/>
    <x:tableColumn id="7" name="Next action"/>
    <x:tableColumn id="8" name="Version"/>
  </x:tableColumns>
  <x:tableStyleInfo name="TableStyleMedium2" showRowStripes="1"/>
</x:table>
</file>

<file path=xl/tables/table35.xml><?xml version="1.0" encoding="utf-8"?>
<x:table xmlns:x="http://schemas.openxmlformats.org/spreadsheetml/2006/main" id="35" name="v09FlyerRegister" displayName="v09FlyerRegister" ref="A4:T16" headerRowCount="1">
  <x:tableColumns count="20">
    <x:tableColumn id="1" name="Flyer ID"/>
    <x:tableColumn id="2" name="Flyer Type"/>
    <x:tableColumn id="3" name="Title / Object"/>
    <x:tableColumn id="4" name="Date / Period"/>
    <x:tableColumn id="5" name="Promoter / Brand"/>
    <x:tableColumn id="6" name="Event / Product"/>
    <x:tableColumn id="7" name="Riders / People"/>
    <x:tableColumn id="8" name="Venue"/>
    <x:tableColumn id="9" name="Location"/>
    <x:tableColumn id="10" name="Entry / Offer Detail"/>
    <x:tableColumn id="11" name="Source Role"/>
    <x:tableColumn id="12" name="BMXMuseum Relationship"/>
    <x:tableColumn id="13" name="Primary Source URL"/>
    <x:tableColumn id="14" name="Confidence"/>
    <x:tableColumn id="15" name="Rights Code"/>
    <x:tableColumn id="16" name="Image Action"/>
    <x:tableColumn id="17" name="Text Action"/>
    <x:tableColumn id="18" name="Research Status"/>
    <x:tableColumn id="19" name="Accessed"/>
    <x:tableColumn id="20" name="Notes"/>
  </x:tableColumns>
  <x:tableStyleInfo name="TableStyleMedium2" showRowStripes="1"/>
</x:table>
</file>

<file path=xl/tables/table36.xml><?xml version="1.0" encoding="utf-8"?>
<x:table xmlns:x="http://schemas.openxmlformats.org/spreadsheetml/2006/main" id="36" name="v09DashboardTable" displayName="v09DashboardTable" ref="A4:H13" headerRowCount="1">
  <x:tableColumns count="8">
    <x:tableColumn id="1" name="Metric"/>
    <x:tableColumn id="2" name="Count"/>
    <x:tableColumn id="3" name="Outcome"/>
    <x:tableColumn id="4" name="Determination"/>
    <x:tableColumn id="5" name="Rights / privacy"/>
    <x:tableColumn id="6" name="Status"/>
    <x:tableColumn id="7" name="Next action"/>
    <x:tableColumn id="8" name="Version"/>
  </x:tableColumns>
  <x:tableStyleInfo name="TableStyleMedium2" showRowStripes="1"/>
</x:table>
</file>

<file path=xl/tables/table37.xml><?xml version="1.0" encoding="utf-8"?>
<x:table xmlns:x="http://schemas.openxmlformats.org/spreadsheetml/2006/main" id="37" name="v10MasterEphemera" displayName="v10MasterEphemera" ref="A4:Y65" headerRowCount="1">
  <x:tableColumns count="25">
    <x:tableColumn id="1" name="Master ID"/>
    <x:tableColumn id="2" name="Source Stage"/>
    <x:tableColumn id="3" name="Original ID"/>
    <x:tableColumn id="4" name="Object Type"/>
    <x:tableColumn id="5" name="Title"/>
    <x:tableColumn id="6" name="Start Year"/>
    <x:tableColumn id="7" name="End Year"/>
    <x:tableColumn id="8" name="Date Text"/>
    <x:tableColumn id="9" name="Brand / Promoter"/>
    <x:tableColumn id="10" name="Primary Subject"/>
    <x:tableColumn id="11" name="Geography"/>
    <x:tableColumn id="12" name="BMXMuseum Status"/>
    <x:tableColumn id="13" name="Exact Reference ID"/>
    <x:tableColumn id="14" name="Source Role"/>
    <x:tableColumn id="15" name="Evidence / Limitation"/>
    <x:tableColumn id="16" name="Confidence"/>
    <x:tableColumn id="17" name="Rights Code"/>
    <x:tableColumn id="18" name="Research Status"/>
    <x:tableColumn id="19" name="Primary Source URL"/>
    <x:tableColumn id="20" name="Secondary Source URL"/>
    <x:tableColumn id="21" name="Normalized Duplicate Key"/>
    <x:tableColumn id="22" name="Duplicate Group"/>
    <x:tableColumn id="23" name="Canonical Action"/>
    <x:tableColumn id="24" name="Notes"/>
    <x:tableColumn id="25" name="Accessed"/>
  </x:tableColumns>
  <x:tableStyleInfo name="TableStyleMedium2" showRowStripes="1"/>
</x:table>
</file>

<file path=xl/tables/table38.xml><?xml version="1.0" encoding="utf-8"?>
<x:table xmlns:x="http://schemas.openxmlformats.org/spreadsheetml/2006/main" id="38" name="v10PriceObservations" displayName="v10PriceObservations" ref="A4:T42" headerRowCount="1">
  <x:tableColumns count="20">
    <x:tableColumn id="1" name="Price Observation ID"/>
    <x:tableColumn id="2" name="Source Object ID"/>
    <x:tableColumn id="3" name="Brand"/>
    <x:tableColumn id="4" name="Product / Model"/>
    <x:tableColumn id="5" name="Product Type"/>
    <x:tableColumn id="6" name="Issue / Date"/>
    <x:tableColumn id="7" name="Price Numeric"/>
    <x:tableColumn id="8" name="Currency"/>
    <x:tableColumn id="9" name="Displayed Price"/>
    <x:tableColumn id="10" name="Price Basis"/>
    <x:tableColumn id="11" name="Geography / Context"/>
    <x:tableColumn id="12" name="Source Type"/>
    <x:tableColumn id="13" name="Directness / Evidence"/>
    <x:tableColumn id="14" name="Confidence"/>
    <x:tableColumn id="15" name="Source URL"/>
    <x:tableColumn id="16" name="Rights Code"/>
    <x:tableColumn id="17" name="Observation Key"/>
    <x:tableColumn id="18" name="Duplicate Decision"/>
    <x:tableColumn id="19" name="Normalization Note"/>
    <x:tableColumn id="20" name="Accessed"/>
  </x:tableColumns>
  <x:tableStyleInfo name="TableStyleMedium2" showRowStripes="1"/>
</x:table>
</file>

<file path=xl/tables/table39.xml><?xml version="1.0" encoding="utf-8"?>
<x:table xmlns:x="http://schemas.openxmlformats.org/spreadsheetml/2006/main" id="39" name="v10SourceRegister" displayName="v10SourceRegister" ref="A4:J61" headerRowCount="1">
  <x:tableColumns count="10">
    <x:tableColumn id="1" name="Source ID"/>
    <x:tableColumn id="2" name="URL"/>
    <x:tableColumn id="3" name="Domain"/>
    <x:tableColumn id="4" name="Stages Used"/>
    <x:tableColumn id="5" name="Source Roles"/>
    <x:tableColumn id="6" name="Record References"/>
    <x:tableColumn id="7" name="Default Rights Treatment"/>
    <x:tableColumn id="8" name="Access Route"/>
    <x:tableColumn id="9" name="Preservation Priority"/>
    <x:tableColumn id="10" name="Notes"/>
  </x:tableColumns>
  <x:tableStyleInfo name="TableStyleMedium2" showRowStripes="1"/>
</x:table>
</file>

<file path=xl/tables/table40.xml><?xml version="1.0" encoding="utf-8"?>
<x:table xmlns:x="http://schemas.openxmlformats.org/spreadsheetml/2006/main" id="40" name="v10Chronology" displayName="v10Chronology" ref="A4:M65" headerRowCount="1">
  <x:tableColumns count="13">
    <x:tableColumn id="1" name="Chronology ID"/>
    <x:tableColumn id="2" name="Start Year"/>
    <x:tableColumn id="3" name="End Year"/>
    <x:tableColumn id="4" name="Date Text"/>
    <x:tableColumn id="5" name="Brand / Promoter"/>
    <x:tableColumn id="6" name="Title"/>
    <x:tableColumn id="7" name="Object Type"/>
    <x:tableColumn id="8" name="Source Stage"/>
    <x:tableColumn id="9" name="Master ID"/>
    <x:tableColumn id="10" name="Duplicate Group"/>
    <x:tableColumn id="11" name="Confidence"/>
    <x:tableColumn id="12" name="Source URL"/>
    <x:tableColumn id="13" name="Chronology Note"/>
  </x:tableColumns>
  <x:tableStyleInfo name="TableStyleMedium2" showRowStripes="1"/>
</x:table>
</file>

<file path=xl/tables/table41.xml><?xml version="1.0" encoding="utf-8"?>
<x:table xmlns:x="http://schemas.openxmlformats.org/spreadsheetml/2006/main" id="41" name="v10AuditMetrics" displayName="v10AuditMetrics" ref="A4:F15" headerRowCount="1">
  <x:tableColumns count="6">
    <x:tableColumn id="1" name="Audit Metric"/>
    <x:tableColumn id="2" name="Value"/>
    <x:tableColumn id="3" name="Method"/>
    <x:tableColumn id="4" name="Result"/>
    <x:tableColumn id="5" name="Status"/>
    <x:tableColumn id="6" name="Notes"/>
  </x:tableColumns>
  <x:tableStyleInfo name="TableStyleMedium2" showRowStripes="1"/>
</x:table>
</file>

<file path=xl/tables/table42.xml><?xml version="1.0" encoding="utf-8"?>
<x:table xmlns:x="http://schemas.openxmlformats.org/spreadsheetml/2006/main" id="42" name="v10DuplicateGroups" displayName="v10DuplicateGroups" ref="J4:N14" headerRowCount="1">
  <x:tableColumns count="5">
    <x:tableColumn id="1" name="Duplicate Group"/>
    <x:tableColumn id="2" name="Occurrences"/>
    <x:tableColumn id="3" name="Member Records"/>
    <x:tableColumn id="4" name="Canonical Decision"/>
    <x:tableColumn id="5" name="Status"/>
  </x:tableColumns>
  <x:tableStyleInfo name="TableStyleMedium2" showRowStripes="1"/>
</x:table>
</file>

<file path=xl/tables/table43.xml><?xml version="1.0" encoding="utf-8"?>
<x:table xmlns:x="http://schemas.openxmlformats.org/spreadsheetml/2006/main" id="43" name="v10PreservationReport" displayName="v10PreservationReport" ref="A4:H19" headerRowCount="1">
  <x:tableColumns count="8">
    <x:tableColumn id="1" name="Section"/>
    <x:tableColumn id="2" name="Item"/>
    <x:tableColumn id="3" name="Status / Value"/>
    <x:tableColumn id="4" name="Preservation Action"/>
    <x:tableColumn id="5" name="Rights / Risk"/>
    <x:tableColumn id="6" name="Owner / Next Review"/>
    <x:tableColumn id="7" name="Evidence Location"/>
    <x:tableColumn id="8" name="Notes"/>
  </x:tableColumns>
  <x:tableStyleInfo name="TableStyleMedium2" showRowStripes="1"/>
</x:table>
</file>

<file path=xl/tables/table44.xml><?xml version="1.0" encoding="utf-8"?>
<x:table xmlns:x="http://schemas.openxmlformats.org/spreadsheetml/2006/main" id="44" name="VersionChangelogTable" displayName="VersionChangelogTable" ref="A4:H10" headerRowCount="1">
  <x:tableColumns count="8">
    <x:tableColumn id="1" name="Version"/>
    <x:tableColumn id="2" name="Stage"/>
    <x:tableColumn id="3" name="Primary Additions"/>
    <x:tableColumn id="4" name="Object / Row Counts"/>
    <x:tableColumn id="5" name="Key Finding"/>
    <x:tableColumn id="6" name="Safety Result"/>
    <x:tableColumn id="7" name="Output Filename"/>
    <x:tableColumn id="8" name="Status"/>
  </x:tableColumns>
  <x:tableStyleInfo name="TableStyleMedium2" showRowStripes="1"/>
</x:table>
</file>

<file path=xl/tables/table45.xml><?xml version="1.0" encoding="utf-8"?>
<x:table xmlns:x="http://schemas.openxmlformats.org/spreadsheetml/2006/main" id="45" name="v10DashboardTable" displayName="v10DashboardTable" ref="A4:H16" headerRowCount="1">
  <x:tableColumns count="8">
    <x:tableColumn id="1" name="Metric"/>
    <x:tableColumn id="2" name="Value"/>
    <x:tableColumn id="3" name="Release Interpretation"/>
    <x:tableColumn id="4" name="Control"/>
    <x:tableColumn id="5" name="Status"/>
    <x:tableColumn id="6" name="Evidence Sheet"/>
    <x:tableColumn id="7" name="Next Priority"/>
    <x:tableColumn id="8" name="Version"/>
  </x:tableColumns>
  <x:tableStyleInfo name="TableStyleMedium2" showRowStripes="1"/>
</x:table>
</file>

<file path=xl/tables/table46.xml><?xml version="1.0" encoding="utf-8"?>
<x:table xmlns:x="http://schemas.openxmlformats.org/spreadsheetml/2006/main" id="46" name="v10StageCounts" displayName="v10StageCounts" ref="J4:K9" headerRowCount="1">
  <x:tableColumns count="2">
    <x:tableColumn id="1" name="Stage"/>
    <x:tableColumn id="2" name="Source records"/>
  </x:tableColumns>
  <x:tableStyleInfo name="TableStyleMedium2" showRowStripes="1"/>
</x:table>
</file>

<file path=xl/tables/table47.xml><?xml version="1.0" encoding="utf-8"?>
<x:table xmlns:x="http://schemas.openxmlformats.org/spreadsheetml/2006/main" id="47" name="PhysicalEvidenceRoadmapTable" displayName="PhysicalEvidenceRoadmapTable" ref="A4:N61" headerRowCount="1">
  <x:tableColumns count="14">
    <x:tableColumn id="1" name="Task ID"/>
    <x:tableColumn id="2" name="Artifact ID"/>
    <x:tableColumn id="3" name="Artifact / Cluster"/>
    <x:tableColumn id="4" name="Workstream"/>
    <x:tableColumn id="5" name="Physical Action"/>
    <x:tableColumn id="6" name="Capture / Documentation Standard"/>
    <x:tableColumn id="7" name="Priority"/>
    <x:tableColumn id="8" name="Status"/>
    <x:tableColumn id="9" name="Owner"/>
    <x:tableColumn id="10" name="Estimated Hands-On Time"/>
    <x:tableColumn id="11" name="Grade / Research Impact"/>
    <x:tableColumn id="12" name="Dependency"/>
    <x:tableColumn id="13" name="File Naming / Output"/>
    <x:tableColumn id="14" name="Notes"/>
  </x:tableColumns>
  <x:tableStyleInfo name="TableStyleMedium2" showRowStripes="1"/>
</x:table>
</file>

<file path=xl/tables/table48.xml><?xml version="1.0" encoding="utf-8"?>
<x:table xmlns:x="http://schemas.openxmlformats.org/spreadsheetml/2006/main" id="48" name="PhysicalCaptureSOPTable" displayName="PhysicalCaptureSOPTable" ref="A4:E14" headerRowCount="1">
  <x:tableColumns count="5">
    <x:tableColumn id="1" name="Step"/>
    <x:tableColumn id="2" name="Rule"/>
    <x:tableColumn id="3" name="Required Output"/>
    <x:tableColumn id="4" name="Why It Matters"/>
    <x:tableColumn id="5" name="Prohibited Shortcut"/>
  </x:tableColumns>
  <x:tableStyleInfo name="TableStyleMedium2" showRowStripes="1"/>
</x:table>
</file>

<file path=xl/tables/table49.xml><?xml version="1.0" encoding="utf-8"?>
<x:table xmlns:x="http://schemas.openxmlformats.org/spreadsheetml/2006/main" id="49" name="V12ClusterStatusTable" displayName="V12ClusterStatusTable" ref="A4:J8" headerRowCount="1">
  <x:tableColumns count="10">
    <x:tableColumn id="1" name="Cluster"/>
    <x:tableColumn id="2" name="Exact BMXMuseum IDs / Objects"/>
    <x:tableColumn id="3" name="Lititz BMX Anchors"/>
    <x:tableColumn id="4" name="Primary Evidence Recovered"/>
    <x:tableColumn id="5" name="Current Assessment"/>
    <x:tableColumn id="6" name="Confidence"/>
    <x:tableColumn id="7" name="Main Gap"/>
    <x:tableColumn id="8" name="Next Research Action"/>
    <x:tableColumn id="9" name="Physical Workstream Link"/>
    <x:tableColumn id="10" name="Scan Date"/>
  </x:tableColumns>
  <x:tableStyleInfo name="TableStyleMedium2" showRowStripes="1"/>
</x:table>
</file>

<file path=xl/tables/table50.xml><?xml version="1.0" encoding="utf-8"?>
<x:table xmlns:x="http://schemas.openxmlformats.org/spreadsheetml/2006/main" id="50" name="V12FindingsTable" displayName="V12FindingsTable" ref="A4:K20" headerRowCount="1">
  <x:tableColumns count="11">
    <x:tableColumn id="1" name="Finding ID"/>
    <x:tableColumn id="2" name="Cluster"/>
    <x:tableColumn id="3" name="Claim / Discovery"/>
    <x:tableColumn id="4" name="Date / Period"/>
    <x:tableColumn id="5" name="Source Class"/>
    <x:tableColumn id="6" name="Source URL"/>
    <x:tableColumn id="7" name="Evidence Grade"/>
    <x:tableColumn id="8" name="Status"/>
    <x:tableColumn id="9" name="Qualification"/>
    <x:tableColumn id="10" name="Register Action"/>
    <x:tableColumn id="11" name="Accessed"/>
  </x:tableColumns>
  <x:tableStyleInfo name="TableStyleMedium2" showRowStripes="1"/>
</x:table>
</file>

<file path=xl/tables/table51.xml><?xml version="1.0" encoding="utf-8"?>
<x:table xmlns:x="http://schemas.openxmlformats.org/spreadsheetml/2006/main" id="51" name="V12BMXMObjectsTable" displayName="V12BMXMObjectsTable" ref="A4:K18" headerRowCount="1">
  <x:tableColumns count="11">
    <x:tableColumn id="1" name="Object ID"/>
    <x:tableColumn id="2" name="Cluster"/>
    <x:tableColumn id="3" name="Object Type"/>
    <x:tableColumn id="4" name="BMXMuseum ID / Path"/>
    <x:tableColumn id="5" name="Public Identification"/>
    <x:tableColumn id="6" name="Discovery Evidence"/>
    <x:tableColumn id="7" name="Confidence"/>
    <x:tableColumn id="8" name="Verification Need"/>
    <x:tableColumn id="9" name="Canonical / Discovery URL"/>
    <x:tableColumn id="10" name="Rights Code"/>
    <x:tableColumn id="11" name="Status"/>
  </x:tableColumns>
  <x:tableStyleInfo name="TableStyleMedium2" showRowStripes="1"/>
</x:table>
</file>

<file path=xl/tables/table52.xml><?xml version="1.0" encoding="utf-8"?>
<x:table xmlns:x="http://schemas.openxmlformats.org/spreadsheetml/2006/main" id="52" name="V12SourcesTable" displayName="V12SourcesTable" ref="A4:I15" headerRowCount="1">
  <x:tableColumns count="9">
    <x:tableColumn id="1" name="Source ID"/>
    <x:tableColumn id="2" name="Cluster"/>
    <x:tableColumn id="3" name="Source"/>
    <x:tableColumn id="4" name="Source Class"/>
    <x:tableColumn id="5" name="Date / Coverage"/>
    <x:tableColumn id="6" name="Claims Supported"/>
    <x:tableColumn id="7" name="Limitations"/>
    <x:tableColumn id="8" name="URL"/>
    <x:tableColumn id="9" name="Rights / Use"/>
  </x:tableColumns>
  <x:tableStyleInfo name="TableStyleMedium2" showRowStripes="1"/>
</x:table>
</file>

<file path=xl/tables/table53.xml><?xml version="1.0" encoding="utf-8"?>
<x:table xmlns:x="http://schemas.openxmlformats.org/spreadsheetml/2006/main" id="53" name="V12OpenQuestionsTable" displayName="V12OpenQuestionsTable" ref="A4:I18" headerRowCount="1">
  <x:tableColumns count="9">
    <x:tableColumn id="1" name="Question ID"/>
    <x:tableColumn id="2" name="Cluster"/>
    <x:tableColumn id="3" name="Open Question"/>
    <x:tableColumn id="4" name="Why It Matters"/>
    <x:tableColumn id="5" name="Evidence Needed"/>
    <x:tableColumn id="6" name="Current Status"/>
    <x:tableColumn id="7" name="Priority"/>
    <x:tableColumn id="8" name="Physical Roadmap Link"/>
    <x:tableColumn id="9" name="Next Search Route"/>
  </x:tableColumns>
  <x:tableStyleInfo name="TableStyleMedium2" showRowStripes="1"/>
</x:table>
</file>

<file path=xl/tables/table54.xml><?xml version="1.0" encoding="utf-8"?>
<x:table xmlns:x="http://schemas.openxmlformats.org/spreadsheetml/2006/main" id="54" name="PermissionRequestTable" displayName="PermissionRequestTable" ref="A4:E13" headerRowCount="1">
  <x:tableColumns count="5">
    <x:tableColumn id="1" name="Section"/>
    <x:tableColumn id="2" name="Proposed Term"/>
    <x:tableColumn id="3" name="Requested / Offered Detail"/>
    <x:tableColumn id="4" name="Why This Protects BMXMuseum"/>
    <x:tableColumn id="5" name="Decision"/>
  </x:tableColumns>
  <x:tableStyleInfo name="TableStyleMedium2" showRowStripes="1"/>
</x:table>
</file>

<file path=xl/tables/table55.xml><?xml version="1.0" encoding="utf-8"?>
<x:table xmlns:x="http://schemas.openxmlformats.org/spreadsheetml/2006/main" id="55" name="MetadataFieldSpecTable" displayName="MetadataFieldSpecTable" ref="A4:F22" headerRowCount="1">
  <x:tableColumns count="6">
    <x:tableColumn id="1" name="Field"/>
    <x:tableColumn id="2" name="Priority"/>
    <x:tableColumn id="3" name="Description"/>
    <x:tableColumn id="4" name="Public Output Use"/>
    <x:tableColumn id="5" name="Personal / Rights Risk"/>
    <x:tableColumn id="6" name="Requested by Default"/>
  </x:tableColumns>
  <x:tableStyleInfo name="TableStyleMedium2" showRowStripes="1"/>
</x:table>
</file>

<file path=xl/tables/table56.xml><?xml version="1.0" encoding="utf-8"?>
<x:table xmlns:x="http://schemas.openxmlformats.org/spreadsheetml/2006/main" id="56" name="SafeguardsTable" displayName="SafeguardsTable" ref="A4:E17" headerRowCount="1">
  <x:tableColumns count="5">
    <x:tableColumn id="1" name="Control Area"/>
    <x:tableColumn id="2" name="Commitment"/>
    <x:tableColumn id="3" name="Implementation"/>
    <x:tableColumn id="4" name="Verification / Audit"/>
    <x:tableColumn id="5" name="Status"/>
  </x:tableColumns>
  <x:tableStyleInfo name="TableStyleMedium2" showRowStripes="1"/>
</x:table>
</file>

<file path=xl/tables/table57.xml><?xml version="1.0" encoding="utf-8"?>
<x:table xmlns:x="http://schemas.openxmlformats.org/spreadsheetml/2006/main" id="57" name="ContactVerificationTable" displayName="ContactVerificationTable" ref="A4:G10" headerRowCount="1">
  <x:tableColumns count="7">
    <x:tableColumn id="1" name="Contact Route"/>
    <x:tableColumn id="2" name="Candidate Detail"/>
    <x:tableColumn id="3" name="Evidence"/>
    <x:tableColumn id="4" name="Confidence"/>
    <x:tableColumn id="5" name="Use Decision"/>
    <x:tableColumn id="6" name="Source URL"/>
    <x:tableColumn id="7" name="Checked"/>
  </x:tableColumns>
  <x:tableStyleInfo name="TableStyleMedium2" showRowStripes="1"/>
</x:table>
</file>

<file path=xl/tables/table58.xml><?xml version="1.0" encoding="utf-8"?>
<x:table xmlns:x="http://schemas.openxmlformats.org/spreadsheetml/2006/main" id="58" name="V13RecoveryTable" displayName="V13RecoveryTable" ref="A4:I12" headerRowCount="1">
  <x:tableColumns count="9">
    <x:tableColumn id="1" name="Finding ID"/>
    <x:tableColumn id="2" name="Cluster"/>
    <x:tableColumn id="3" name="BMXMuseum Object"/>
    <x:tableColumn id="4" name="Recovered Identification"/>
    <x:tableColumn id="5" name="Evidence Class"/>
    <x:tableColumn id="6" name="Qualification"/>
    <x:tableColumn id="7" name="Source URL"/>
    <x:tableColumn id="8" name="Register Action"/>
    <x:tableColumn id="9" name="Status"/>
  </x:tableColumns>
  <x:tableStyleInfo name="TableStyleMedium2" showRowStripes="1"/>
</x:table>
</file>

<file path=xl/tables/table59.xml><?xml version="1.0" encoding="utf-8"?>
<x:table xmlns:x="http://schemas.openxmlformats.org/spreadsheetml/2006/main" id="59" name="PilotScopeTable" displayName="PilotScopeTable" ref="A4:G9" headerRowCount="1">
  <x:tableColumns count="7">
    <x:tableColumn id="1" name="Priority"/>
    <x:tableColumn id="2" name="Subject / Path"/>
    <x:tableColumn id="3" name="Object Types"/>
    <x:tableColumn id="4" name="Reason"/>
    <x:tableColumn id="5" name="Initial Cap"/>
    <x:tableColumn id="6" name="Output"/>
    <x:tableColumn id="7" name="Status"/>
  </x:tableColumns>
  <x:tableStyleInfo name="TableStyleMedium2" showRowStripes="1"/>
</x:table>
</file>

<file path=xl/tables/table60.xml><?xml version="1.0" encoding="utf-8"?>
<x:table xmlns:x="http://schemas.openxmlformats.org/spreadsheetml/2006/main" id="60" name="V14DirtwerxChronologyTable" displayName="V14DirtwerxChronologyTable" ref="A4:J15" headerRowCount="1">
  <x:tableColumns count="10">
    <x:tableColumn id="1" name="Chronology ID"/>
    <x:tableColumn id="2" name="Date / Period"/>
    <x:tableColumn id="3" name="Event"/>
    <x:tableColumn id="4" name="Evidence Class"/>
    <x:tableColumn id="5" name="Evidence Summary"/>
    <x:tableColumn id="6" name="Qualification / Conflict"/>
    <x:tableColumn id="7" name="Confidence"/>
    <x:tableColumn id="8" name="Source URL"/>
    <x:tableColumn id="9" name="Register Determination"/>
    <x:tableColumn id="10" name="Status"/>
  </x:tableColumns>
  <x:tableStyleInfo name="TableStyleMedium2" showRowStripes="1"/>
</x:table>
</file>

<file path=xl/tables/table61.xml><?xml version="1.0" encoding="utf-8"?>
<x:table xmlns:x="http://schemas.openxmlformats.org/spreadsheetml/2006/main" id="61" name="V14DirtwerxProductsTable" displayName="V14DirtwerxProductsTable" ref="A4:K25" headerRowCount="1">
  <x:tableColumns count="11">
    <x:tableColumn id="1" name="Product ID"/>
    <x:tableColumn id="2" name="Product / System"/>
    <x:tableColumn id="3" name="Category"/>
    <x:tableColumn id="4" name="Date / Period"/>
    <x:tableColumn id="5" name="Evidence"/>
    <x:tableColumn id="6" name="Known Specification or Claim"/>
    <x:tableColumn id="7" name="Verification Status"/>
    <x:tableColumn id="8" name="Limitation"/>
    <x:tableColumn id="9" name="Lititz Relationship"/>
    <x:tableColumn id="10" name="Source URL"/>
    <x:tableColumn id="11" name="Next Evidence Action"/>
  </x:tableColumns>
  <x:tableStyleInfo name="TableStyleMedium2" showRowStripes="1"/>
</x:table>
</file>

<file path=xl/tables/table62.xml><?xml version="1.0" encoding="utf-8"?>
<x:table xmlns:x="http://schemas.openxmlformats.org/spreadsheetml/2006/main" id="62" name="V14DirtwerxTeamTable" displayName="V14DirtwerxTeamTable" ref="A4:H17" headerRowCount="1">
  <x:tableColumns count="8">
    <x:tableColumn id="1" name="Team ID"/>
    <x:tableColumn id="2" name="Person / Family"/>
    <x:tableColumn id="3" name="Role / Class in 2000"/>
    <x:tableColumn id="4" name="Team / Track Relationship"/>
    <x:tableColumn id="5" name="Evidence Class"/>
    <x:tableColumn id="6" name="Qualification"/>
    <x:tableColumn id="7" name="Source URL"/>
    <x:tableColumn id="8" name="Status"/>
  </x:tableColumns>
  <x:tableStyleInfo name="TableStyleMedium2" showRowStripes="1"/>
</x:table>
</file>

<file path=xl/tables/table63.xml><?xml version="1.0" encoding="utf-8"?>
<x:table xmlns:x="http://schemas.openxmlformats.org/spreadsheetml/2006/main" id="63" name="V14GHPChronologyTable" displayName="V14GHPChronologyTable" ref="A4:J16" headerRowCount="1">
  <x:tableColumns count="10">
    <x:tableColumn id="1" name="Chronology ID"/>
    <x:tableColumn id="2" name="Date / Period"/>
    <x:tableColumn id="3" name="Event"/>
    <x:tableColumn id="4" name="Evidence Class"/>
    <x:tableColumn id="5" name="Evidence Summary"/>
    <x:tableColumn id="6" name="Qualification"/>
    <x:tableColumn id="7" name="Confidence"/>
    <x:tableColumn id="8" name="Source URL"/>
    <x:tableColumn id="9" name="Register Determination"/>
    <x:tableColumn id="10" name="Status"/>
  </x:tableColumns>
  <x:tableStyleInfo name="TableStyleMedium2" showRowStripes="1"/>
</x:table>
</file>

<file path=xl/tables/table64.xml><?xml version="1.0" encoding="utf-8"?>
<x:table xmlns:x="http://schemas.openxmlformats.org/spreadsheetml/2006/main" id="64" name="V14GHPProductsTeamTable" displayName="V14GHPProductsTeamTable" ref="A4:K19" headerRowCount="1">
  <x:tableColumns count="11">
    <x:tableColumn id="1" name="Object ID"/>
    <x:tableColumn id="2" name="Object / Relationship"/>
    <x:tableColumn id="3" name="Category"/>
    <x:tableColumn id="4" name="Date / Period"/>
    <x:tableColumn id="5" name="Evidence"/>
    <x:tableColumn id="6" name="Finding"/>
    <x:tableColumn id="7" name="Status"/>
    <x:tableColumn id="8" name="Qualification"/>
    <x:tableColumn id="9" name="Lititz / BMXMuseum Link"/>
    <x:tableColumn id="10" name="Source URL"/>
    <x:tableColumn id="11" name="Next Action"/>
  </x:tableColumns>
  <x:tableStyleInfo name="TableStyleMedium2" showRowStripes="1"/>
</x:table>
</file>

<file path=xl/tables/table65.xml><?xml version="1.0" encoding="utf-8"?>
<x:table xmlns:x="http://schemas.openxmlformats.org/spreadsheetml/2006/main" id="65" name="V14LititzCrosswalkTable" displayName="V14LititzCrosswalkTable" ref="A4:J11" headerRowCount="1">
  <x:tableColumns count="10">
    <x:tableColumn id="1" name="Crosswalk ID"/>
    <x:tableColumn id="2" name="Artifact ID"/>
    <x:tableColumn id="3" name="Artifact"/>
    <x:tableColumn id="4" name="Cluster Role"/>
    <x:tableColumn id="5" name="Current Provenance / Object Fact"/>
    <x:tableColumn id="6" name="Current Grade"/>
    <x:tableColumn id="7" name="Deep-Dossier Determination"/>
    <x:tableColumn id="8" name="Public Wording"/>
    <x:tableColumn id="9" name="Physical Roadmap"/>
    <x:tableColumn id="10" name="Next Research Action"/>
  </x:tableColumns>
  <x:tableStyleInfo name="TableStyleMedium2" showRowStripes="1"/>
</x:table>
</file>

<file path=xl/tables/table66.xml><?xml version="1.0" encoding="utf-8"?>
<x:table xmlns:x="http://schemas.openxmlformats.org/spreadsheetml/2006/main" id="66" name="V14ClaimsLedgerTable" displayName="V14ClaimsLedgerTable" ref="A4:J31" headerRowCount="1">
  <x:tableColumns count="10">
    <x:tableColumn id="1" name="Claim ID"/>
    <x:tableColumn id="2" name="Cluster"/>
    <x:tableColumn id="3" name="Claim"/>
    <x:tableColumn id="4" name="Claim Type"/>
    <x:tableColumn id="5" name="Evidence Level"/>
    <x:tableColumn id="6" name="Evidence Basis"/>
    <x:tableColumn id="7" name="Status"/>
    <x:tableColumn id="8" name="Safe Public Wording"/>
    <x:tableColumn id="9" name="What Would Raise Confidence"/>
    <x:tableColumn id="10" name="Source URL"/>
  </x:tableColumns>
  <x:tableStyleInfo name="TableStyleMedium2" showRowStripes="1"/>
</x:table>
</file>

<file path=xl/tables/table67.xml><?xml version="1.0" encoding="utf-8"?>
<x:table xmlns:x="http://schemas.openxmlformats.org/spreadsheetml/2006/main" id="67" name="V14PeriodSourcesTable" displayName="V14PeriodSourcesTable" ref="A4:J19" headerRowCount="1">
  <x:tableColumns count="10">
    <x:tableColumn id="1" name="Source ID"/>
    <x:tableColumn id="2" name="Cluster"/>
    <x:tableColumn id="3" name="Source / Publication"/>
    <x:tableColumn id="4" name="Date"/>
    <x:tableColumn id="5" name="Source Class"/>
    <x:tableColumn id="6" name="Key Evidence"/>
    <x:tableColumn id="7" name="Use in Register"/>
    <x:tableColumn id="8" name="Limitations / Rights"/>
    <x:tableColumn id="9" name="URL"/>
    <x:tableColumn id="10" name="Verification Status"/>
  </x:tableColumns>
  <x:tableStyleInfo name="TableStyleMedium2" showRowStripes="1"/>
</x:table>
</file>

<file path=xl/tables/table68.xml><?xml version="1.0" encoding="utf-8"?>
<x:table xmlns:x="http://schemas.openxmlformats.org/spreadsheetml/2006/main" id="68" name="V14RelationshipMapTable" displayName="V14RelationshipMapTable" ref="A4:J24" headerRowCount="1">
  <x:tableColumns count="10">
    <x:tableColumn id="1" name="Edge ID"/>
    <x:tableColumn id="2" name="Subject"/>
    <x:tableColumn id="3" name="Relationship"/>
    <x:tableColumn id="4" name="Object"/>
    <x:tableColumn id="5" name="Date / Period"/>
    <x:tableColumn id="6" name="Evidence"/>
    <x:tableColumn id="7" name="Confidence"/>
    <x:tableColumn id="8" name="Qualification"/>
    <x:tableColumn id="9" name="Source URL"/>
    <x:tableColumn id="10" name="Public Use"/>
  </x:tableColumns>
  <x:tableStyleInfo name="TableStyleMedium2" showRowStripes="1"/>
</x:table>
</file>

<file path=xl/tables/table69.xml><?xml version="1.0" encoding="utf-8"?>
<x:table xmlns:x="http://schemas.openxmlformats.org/spreadsheetml/2006/main" id="69" name="V14CorrectionsTable" displayName="V14CorrectionsTable" ref="A4:H11" headerRowCount="1">
  <x:tableColumns count="8">
    <x:tableColumn id="1" name="Correction ID"/>
    <x:tableColumn id="2" name="Artifact / Record"/>
    <x:tableColumn id="3" name="Existing or Risky Wording"/>
    <x:tableColumn id="4" name="Audit Finding"/>
    <x:tableColumn id="5" name="Locked Replacement Wording"/>
    <x:tableColumn id="6" name="Severity"/>
    <x:tableColumn id="7" name="Status"/>
    <x:tableColumn id="8" name="Required Follow-up"/>
  </x:tableColumns>
  <x:tableStyleInfo name="TableStyleMedium2" showRowStripes="1"/>
</x:table>
</file>

<file path=xl/tables/table70.xml><?xml version="1.0" encoding="utf-8"?>
<x:table xmlns:x="http://schemas.openxmlformats.org/spreadsheetml/2006/main" id="70" name="V14OpenQuestionsTable" displayName="V14OpenQuestionsTable" ref="A4:I25" headerRowCount="1">
  <x:tableColumns count="9">
    <x:tableColumn id="1" name="Question ID"/>
    <x:tableColumn id="2" name="Cluster"/>
    <x:tableColumn id="3" name="Open Question"/>
    <x:tableColumn id="4" name="Why It Matters"/>
    <x:tableColumn id="5" name="Evidence Needed"/>
    <x:tableColumn id="6" name="Priority"/>
    <x:tableColumn id="7" name="Route"/>
    <x:tableColumn id="8" name="Physical Roadmap Link"/>
    <x:tableColumn id="9" name="Status"/>
  </x:tableColumns>
  <x:tableStyleInfo name="TableStyleMedium2" showRowStripes="1"/>
</x:table>
</file>

<file path=xl/tables/table71.xml><?xml version="1.0" encoding="utf-8"?>
<x:table xmlns:x="http://schemas.openxmlformats.org/spreadsheetml/2006/main" id="71" name="JMCChronologyTable" displayName="JMCChronologyTable" ref="A4:J31" headerRowCount="1">
  <x:tableColumns count="10">
    <x:tableColumn id="1" name="Chronology ID"/>
    <x:tableColumn id="2" name="Date / Period"/>
    <x:tableColumn id="3" name="Event"/>
    <x:tableColumn id="4" name="Phase"/>
    <x:tableColumn id="5" name="People / Organizations"/>
    <x:tableColumn id="6" name="Evidence Class"/>
    <x:tableColumn id="7" name="Evidence Summary"/>
    <x:tableColumn id="8" name="Qualification"/>
    <x:tableColumn id="9" name="Source URL"/>
    <x:tableColumn id="10" name="Status"/>
  </x:tableColumns>
  <x:tableStyleInfo name="TableStyleMedium2" showRowStripes="1"/>
</x:table>
</file>

<file path=xl/tables/table72.xml><?xml version="1.0" encoding="utf-8"?>
<x:table xmlns:x="http://schemas.openxmlformats.org/spreadsheetml/2006/main" id="72" name="JMCModelRegisterTable" displayName="JMCModelRegisterTable" ref="A4:L19" headerRowCount="1">
  <x:tableColumns count="12">
    <x:tableColumn id="1" name="Model ID"/>
    <x:tableColumn id="2" name="Model / Object"/>
    <x:tableColumn id="3" name="Type"/>
    <x:tableColumn id="4" name="Introduction / Coverage"/>
    <x:tableColumn id="5" name="Serial / Prefix Pattern"/>
    <x:tableColumn id="6" name="Geometry / Construction"/>
    <x:tableColumn id="7" name="Production / Firsts"/>
    <x:tableColumn id="8" name="Evidence Class"/>
    <x:tableColumn id="9" name="Qualification"/>
    <x:tableColumn id="10" name="BMXMuseum Relationship"/>
    <x:tableColumn id="11" name="Primary Source"/>
    <x:tableColumn id="12" name="Status"/>
  </x:tableColumns>
  <x:tableStyleInfo name="TableStyleMedium2" showRowStripes="1"/>
</x:table>
</file>

<file path=xl/tables/table73.xml><?xml version="1.0" encoding="utf-8"?>
<x:table xmlns:x="http://schemas.openxmlformats.org/spreadsheetml/2006/main" id="73" name="JMCSerialRulesTable" displayName="JMCSerialRulesTable" ref="A4:J19" headerRowCount="1">
  <x:tableColumns count="10">
    <x:tableColumn id="1" name="Rule ID"/>
    <x:tableColumn id="2" name="Prefix / Feature"/>
    <x:tableColumn id="3" name="Period"/>
    <x:tableColumn id="4" name="Applies To"/>
    <x:tableColumn id="5" name="Rule / Observation"/>
    <x:tableColumn id="6" name="Evidence"/>
    <x:tableColumn id="7" name="Confidence"/>
    <x:tableColumn id="8" name="Conflict / Limitation"/>
    <x:tableColumn id="9" name="Authentication Use"/>
    <x:tableColumn id="10" name="Source URL"/>
  </x:tableColumns>
  <x:tableStyleInfo name="TableStyleMedium2" showRowStripes="1"/>
</x:table>
</file>

<file path=xl/tables/table74.xml><?xml version="1.0" encoding="utf-8"?>
<x:table xmlns:x="http://schemas.openxmlformats.org/spreadsheetml/2006/main" id="74" name="JMCFirstsTable" displayName="JMCFirstsTable" ref="A4:J15" headerRowCount="1">
  <x:tableColumns count="10">
    <x:tableColumn id="1" name="Record ID"/>
    <x:tableColumn id="2" name="Model / Event"/>
    <x:tableColumn id="3" name="Date"/>
    <x:tableColumn id="4" name="Serial(s) / Quantity"/>
    <x:tableColumn id="5" name="Determination"/>
    <x:tableColumn id="6" name="Evidence Class"/>
    <x:tableColumn id="7" name="Qualification"/>
    <x:tableColumn id="8" name="Verification Need"/>
    <x:tableColumn id="9" name="Source URL"/>
    <x:tableColumn id="10" name="Status"/>
  </x:tableColumns>
  <x:tableStyleInfo name="TableStyleMedium2" showRowStripes="1"/>
</x:table>
</file>

<file path=xl/tables/table75.xml><?xml version="1.0" encoding="utf-8"?>
<x:table xmlns:x="http://schemas.openxmlformats.org/spreadsheetml/2006/main" id="75" name="JMCPeriodTestsTable" displayName="JMCPeriodTestsTable" ref="A4:I7" headerRowCount="1">
  <x:tableColumns count="9">
    <x:tableColumn id="1" name="Test ID"/>
    <x:tableColumn id="2" name="Publication / Date"/>
    <x:tableColumn id="3" name="Object Tested"/>
    <x:tableColumn id="4" name="Measured / Reported Data"/>
    <x:tableColumn id="5" name="Interpretive Value"/>
    <x:tableColumn id="6" name="Limitation"/>
    <x:tableColumn id="7" name="Rights / Use"/>
    <x:tableColumn id="8" name="Source URL"/>
    <x:tableColumn id="9" name="Status"/>
  </x:tableColumns>
  <x:tableStyleInfo name="TableStyleMedium2" showRowStripes="1"/>
</x:table>
</file>

<file path=xl/tables/table76.xml><?xml version="1.0" encoding="utf-8"?>
<x:table xmlns:x="http://schemas.openxmlformats.org/spreadsheetml/2006/main" id="76" name="JMCTeamTable" displayName="JMCTeamTable" ref="A4:J18" headerRowCount="1">
  <x:tableColumns count="10">
    <x:tableColumn id="1" name="Team ID"/>
    <x:tableColumn id="2" name="Person"/>
    <x:tableColumn id="3" name="Role / Team Type"/>
    <x:tableColumn id="4" name="Years / Period"/>
    <x:tableColumn id="5" name="JMC Relationship"/>
    <x:tableColumn id="6" name="Evidence Class"/>
    <x:tableColumn id="7" name="Qualification"/>
    <x:tableColumn id="8" name="Related Model / Object"/>
    <x:tableColumn id="9" name="Source URL"/>
    <x:tableColumn id="10" name="Status"/>
  </x:tableColumns>
  <x:tableStyleInfo name="TableStyleMedium2" showRowStripes="1"/>
</x:table>
</file>

<file path=xl/tables/table77.xml><?xml version="1.0" encoding="utf-8"?>
<x:table xmlns:x="http://schemas.openxmlformats.org/spreadsheetml/2006/main" id="77" name="JMCBMXMObjectsTable" displayName="JMCBMXMObjectsTable" ref="A4:L10" headerRowCount="1">
  <x:tableColumns count="12">
    <x:tableColumn id="1" name="Object ID"/>
    <x:tableColumn id="2" name="BMXMuseum ID / Path"/>
    <x:tableColumn id="3" name="Type"/>
    <x:tableColumn id="4" name="Submitted Year"/>
    <x:tableColumn id="5" name="Submitted Title"/>
    <x:tableColumn id="6" name="Discovery Evidence"/>
    <x:tableColumn id="7" name="Confidence"/>
    <x:tableColumn id="8" name="Independent Context"/>
    <x:tableColumn id="9" name="Limitation"/>
    <x:tableColumn id="10" name="Canonical URL"/>
    <x:tableColumn id="11" name="Rights Code"/>
    <x:tableColumn id="12" name="Status"/>
  </x:tableColumns>
  <x:tableStyleInfo name="TableStyleMedium2" showRowStripes="1"/>
</x:table>
</file>

<file path=xl/tables/table78.xml><?xml version="1.0" encoding="utf-8"?>
<x:table xmlns:x="http://schemas.openxmlformats.org/spreadsheetml/2006/main" id="78" name="JMCEphemeraTable" displayName="JMCEphemeraTable" ref="A4:L14" headerRowCount="1">
  <x:tableColumns count="12">
    <x:tableColumn id="1" name="Ephemera ID"/>
    <x:tableColumn id="2" name="Object Type"/>
    <x:tableColumn id="3" name="Title"/>
    <x:tableColumn id="4" name="Publication / Channel"/>
    <x:tableColumn id="5" name="Date"/>
    <x:tableColumn id="6" name="What It Supports"/>
    <x:tableColumn id="7" name="Exact BMXMuseum ID"/>
    <x:tableColumn id="8" name="Evidence Class"/>
    <x:tableColumn id="9" name="Rights / Reuse"/>
    <x:tableColumn id="10" name="Research Need"/>
    <x:tableColumn id="11" name="Source URL"/>
    <x:tableColumn id="12" name="Status"/>
  </x:tableColumns>
  <x:tableStyleInfo name="TableStyleMedium2" showRowStripes="1"/>
</x:table>
</file>

<file path=xl/tables/table79.xml><?xml version="1.0" encoding="utf-8"?>
<x:table xmlns:x="http://schemas.openxmlformats.org/spreadsheetml/2006/main" id="79" name="JMCLititzCrosswalkTable" displayName="JMCLititzCrosswalkTable" ref="A4:J8" headerRowCount="1">
  <x:tableColumns count="10">
    <x:tableColumn id="1" name="Crosswalk ID"/>
    <x:tableColumn id="2" name="Lititz Object / Archive"/>
    <x:tableColumn id="3" name="Artifact ID"/>
    <x:tableColumn id="4" name="Relationship to JMC"/>
    <x:tableColumn id="5" name="Current Evidence"/>
    <x:tableColumn id="6" name="Safe Public Wording"/>
    <x:tableColumn id="7" name="What It Does Not Prove"/>
    <x:tableColumn id="8" name="Next Action"/>
    <x:tableColumn id="9" name="Public URL / Source"/>
    <x:tableColumn id="10" name="Status"/>
  </x:tableColumns>
  <x:tableStyleInfo name="TableStyleMedium2" showRowStripes="1"/>
</x:table>
</file>

<file path=xl/tables/table80.xml><?xml version="1.0" encoding="utf-8"?>
<x:table xmlns:x="http://schemas.openxmlformats.org/spreadsheetml/2006/main" id="80" name="JMCClaimsTable" displayName="JMCClaimsTable" ref="A4:J21" headerRowCount="1">
  <x:tableColumns count="10">
    <x:tableColumn id="1" name="Claim ID"/>
    <x:tableColumn id="2" name="Subject"/>
    <x:tableColumn id="3" name="Claim"/>
    <x:tableColumn id="4" name="Evidence Level"/>
    <x:tableColumn id="5" name="Determination"/>
    <x:tableColumn id="6" name="Supporting Evidence"/>
    <x:tableColumn id="7" name="Conflict / Uncertainty"/>
    <x:tableColumn id="8" name="Safe Public Wording"/>
    <x:tableColumn id="9" name="Next Verification"/>
    <x:tableColumn id="10" name="Status"/>
  </x:tableColumns>
  <x:tableStyleInfo name="TableStyleMedium2" showRowStripes="1"/>
</x:table>
</file>

<file path=xl/tables/table81.xml><?xml version="1.0" encoding="utf-8"?>
<x:table xmlns:x="http://schemas.openxmlformats.org/spreadsheetml/2006/main" id="81" name="JMCRelationshipsTable" displayName="JMCRelationshipsTable" ref="A4:J22" headerRowCount="1">
  <x:tableColumns count="10">
    <x:tableColumn id="1" name="Edge ID"/>
    <x:tableColumn id="2" name="Subject"/>
    <x:tableColumn id="3" name="Relationship"/>
    <x:tableColumn id="4" name="Object"/>
    <x:tableColumn id="5" name="Date / Period"/>
    <x:tableColumn id="6" name="Evidence"/>
    <x:tableColumn id="7" name="Confidence"/>
    <x:tableColumn id="8" name="Qualification"/>
    <x:tableColumn id="9" name="Source URL"/>
    <x:tableColumn id="10" name="Status"/>
  </x:tableColumns>
  <x:tableStyleInfo name="TableStyleMedium2" showRowStripes="1"/>
</x:table>
</file>

<file path=xl/tables/table82.xml><?xml version="1.0" encoding="utf-8"?>
<x:table xmlns:x="http://schemas.openxmlformats.org/spreadsheetml/2006/main" id="82" name="JMCCorrectionsTable" displayName="JMCCorrectionsTable" ref="A4:H15" headerRowCount="1">
  <x:tableColumns count="8">
    <x:tableColumn id="1" name="Correction ID"/>
    <x:tableColumn id="2" name="Existing / Risky Wording"/>
    <x:tableColumn id="3" name="Audit Finding"/>
    <x:tableColumn id="4" name="Locked Replacement Wording"/>
    <x:tableColumn id="5" name="Severity"/>
    <x:tableColumn id="6" name="Evidence"/>
    <x:tableColumn id="7" name="Status"/>
    <x:tableColumn id="8" name="Follow-up"/>
  </x:tableColumns>
  <x:tableStyleInfo name="TableStyleMedium2" showRowStripes="1"/>
</x:table>
</file>

<file path=xl/tables/table83.xml><?xml version="1.0" encoding="utf-8"?>
<x:table xmlns:x="http://schemas.openxmlformats.org/spreadsheetml/2006/main" id="83" name="JMCSourcesTable" displayName="JMCSourcesTable" ref="A4:I19" headerRowCount="1">
  <x:tableColumns count="9">
    <x:tableColumn id="1" name="Source ID"/>
    <x:tableColumn id="2" name="Source"/>
    <x:tableColumn id="3" name="Source Class"/>
    <x:tableColumn id="4" name="Coverage"/>
    <x:tableColumn id="5" name="Claims Supported"/>
    <x:tableColumn id="6" name="Limitations"/>
    <x:tableColumn id="7" name="Rights / Use"/>
    <x:tableColumn id="8" name="URL"/>
    <x:tableColumn id="9" name="Accessed"/>
  </x:tableColumns>
  <x:tableStyleInfo name="TableStyleMedium2" showRowStripes="1"/>
</x:table>
</file>

<file path=xl/tables/table84.xml><?xml version="1.0" encoding="utf-8"?>
<x:table xmlns:x="http://schemas.openxmlformats.org/spreadsheetml/2006/main" id="84" name="JMCOpenQuestionsTable" displayName="JMCOpenQuestionsTable" ref="A4:I23" headerRowCount="1">
  <x:tableColumns count="9">
    <x:tableColumn id="1" name="Question ID"/>
    <x:tableColumn id="2" name="Subject"/>
    <x:tableColumn id="3" name="Open Question"/>
    <x:tableColumn id="4" name="Why It Matters"/>
    <x:tableColumn id="5" name="Evidence Needed"/>
    <x:tableColumn id="6" name="Current Position"/>
    <x:tableColumn id="7" name="Priority"/>
    <x:tableColumn id="8" name="Next Permission-Free Route"/>
    <x:tableColumn id="9" name="Status"/>
  </x:tableColumns>
  <x:tableStyleInfo name="TableStyleMedium2" showRowStripes="1"/>
</x:table>
</file>

<file path=xl/tables/table85.xml><?xml version="1.0" encoding="utf-8"?>
<x:table xmlns:x="http://schemas.openxmlformats.org/spreadsheetml/2006/main" id="85" name="GTDChronologyTable" displayName="GTDChronologyTable" ref="A4:J26" headerRowCount="1">
  <x:tableColumns count="10">
    <x:tableColumn id="1" name="Chronology ID"/>
    <x:tableColumn id="2" name="Date / Period"/>
    <x:tableColumn id="3" name="Event"/>
    <x:tableColumn id="4" name="Entity / Phase"/>
    <x:tableColumn id="5" name="People"/>
    <x:tableColumn id="6" name="Evidence Class"/>
    <x:tableColumn id="7" name="Evidence Summary"/>
    <x:tableColumn id="8" name="Qualification"/>
    <x:tableColumn id="9" name="Source URL"/>
    <x:tableColumn id="10" name="Status"/>
  </x:tableColumns>
  <x:tableStyleInfo name="TableStyleMedium2" showRowStripes="1"/>
</x:table>
</file>

<file path=xl/tables/table86.xml><?xml version="1.0" encoding="utf-8"?>
<x:table xmlns:x="http://schemas.openxmlformats.org/spreadsheetml/2006/main" id="86" name="GTModelRegisterTable" displayName="GTModelRegisterTable" ref="A4:L20" headerRowCount="1">
  <x:tableColumns count="12">
    <x:tableColumn id="1" name="GT Model ID"/>
    <x:tableColumn id="2" name="Model / Family"/>
    <x:tableColumn id="3" name="Model Year(s)"/>
    <x:tableColumn id="4" name="Category"/>
    <x:tableColumn id="5" name="Catalog-Controlled Evidence"/>
    <x:tableColumn id="6" name="Frame / Feature Summary"/>
    <x:tableColumn id="7" name="Serial / Factory Note"/>
    <x:tableColumn id="8" name="Evidence Class"/>
    <x:tableColumn id="9" name="BMXMuseum Relationship"/>
    <x:tableColumn id="10" name="Qualification"/>
    <x:tableColumn id="11" name="Source URL"/>
    <x:tableColumn id="12" name="Status"/>
  </x:tableColumns>
  <x:tableStyleInfo name="TableStyleMedium2" showRowStripes="1"/>
</x:table>
</file>

<file path=xl/tables/table87.xml><?xml version="1.0" encoding="utf-8"?>
<x:table xmlns:x="http://schemas.openxmlformats.org/spreadsheetml/2006/main" id="87" name="DynoModelRegisterTable" displayName="DynoModelRegisterTable" ref="A4:L23" headerRowCount="1">
  <x:tableColumns count="12">
    <x:tableColumn id="1" name="Dyno Model ID"/>
    <x:tableColumn id="2" name="Model / Family"/>
    <x:tableColumn id="3" name="Model Year(s)"/>
    <x:tableColumn id="4" name="Category"/>
    <x:tableColumn id="5" name="Catalog-Controlled Evidence"/>
    <x:tableColumn id="6" name="Frame / Feature Summary"/>
    <x:tableColumn id="7" name="Serial / Factory Note"/>
    <x:tableColumn id="8" name="Evidence Class"/>
    <x:tableColumn id="9" name="BMXMuseum Relationship"/>
    <x:tableColumn id="10" name="Qualification"/>
    <x:tableColumn id="11" name="Source URL"/>
    <x:tableColumn id="12" name="Status"/>
  </x:tableColumns>
  <x:tableStyleInfo name="TableStyleMedium2" showRowStripes="1"/>
</x:table>
</file>

<file path=xl/tables/table88.xml><?xml version="1.0" encoding="utf-8"?>
<x:table xmlns:x="http://schemas.openxmlformats.org/spreadsheetml/2006/main" id="88" name="GTDCatalogMatrixTable" displayName="GTDCatalogMatrixTable" ref="A4:L20" headerRowCount="1">
  <x:tableColumns count="12">
    <x:tableColumn id="1" name="Catalog ID"/>
    <x:tableColumn id="2" name="Brand"/>
    <x:tableColumn id="3" name="Model Year"/>
    <x:tableColumn id="4" name="Catalog / Source Object"/>
    <x:tableColumn id="5" name="Model Count / Coverage"/>
    <x:tableColumn id="6" name="Recovered Model Structure"/>
    <x:tableColumn id="7" name="Source Class"/>
    <x:tableColumn id="8" name="BMXMuseum Status"/>
    <x:tableColumn id="9" name="Rights / Use"/>
    <x:tableColumn id="10" name="Key Limitation"/>
    <x:tableColumn id="11" name="Source URL"/>
    <x:tableColumn id="12" name="Status"/>
  </x:tableColumns>
  <x:tableStyleInfo name="TableStyleMedium2" showRowStripes="1"/>
</x:table>
</file>

<file path=xl/tables/table89.xml><?xml version="1.0" encoding="utf-8"?>
<x:table xmlns:x="http://schemas.openxmlformats.org/spreadsheetml/2006/main" id="89" name="GTDSerialRulesTable" displayName="GTDSerialRulesTable" ref="A4:J16" headerRowCount="1">
  <x:tableColumns count="10">
    <x:tableColumn id="1" name="Rule ID"/>
    <x:tableColumn id="2" name="Brand / Factory"/>
    <x:tableColumn id="3" name="Period"/>
    <x:tableColumn id="4" name="Observed Pattern"/>
    <x:tableColumn id="5" name="Interpretation"/>
    <x:tableColumn id="6" name="Evidence Class"/>
    <x:tableColumn id="7" name="Confidence"/>
    <x:tableColumn id="8" name="Critical Limitation"/>
    <x:tableColumn id="9" name="Authentication Use"/>
    <x:tableColumn id="10" name="Source URL"/>
  </x:tableColumns>
  <x:tableStyleInfo name="TableStyleMedium2" showRowStripes="1"/>
</x:table>
</file>

<file path=xl/tables/table90.xml><?xml version="1.0" encoding="utf-8"?>
<x:table xmlns:x="http://schemas.openxmlformats.org/spreadsheetml/2006/main" id="90" name="GTDPeopleTable" displayName="GTDPeopleTable" ref="A4:J17" headerRowCount="1">
  <x:tableColumns count="10">
    <x:tableColumn id="1" name="Person / Team ID"/>
    <x:tableColumn id="2" name="Person / Team"/>
    <x:tableColumn id="3" name="Role"/>
    <x:tableColumn id="4" name="Period"/>
    <x:tableColumn id="5" name="GT/Dyno Relationship"/>
    <x:tableColumn id="6" name="Evidence Class"/>
    <x:tableColumn id="7" name="Qualification"/>
    <x:tableColumn id="8" name="Related Models / Artifacts"/>
    <x:tableColumn id="9" name="Source URL"/>
    <x:tableColumn id="10" name="Status"/>
  </x:tableColumns>
  <x:tableStyleInfo name="TableStyleMedium2" showRowStripes="1"/>
</x:table>
</file>

<file path=xl/tables/table91.xml><?xml version="1.0" encoding="utf-8"?>
<x:table xmlns:x="http://schemas.openxmlformats.org/spreadsheetml/2006/main" id="91" name="GTDPeriodSourcesTable" displayName="GTDPeriodSourcesTable" ref="A4:J15" headerRowCount="1">
  <x:tableColumns count="10">
    <x:tableColumn id="1" name="Period ID"/>
    <x:tableColumn id="2" name="Object Type"/>
    <x:tableColumn id="3" name="Title / Subject"/>
    <x:tableColumn id="4" name="Date"/>
    <x:tableColumn id="5" name="Brand / Models"/>
    <x:tableColumn id="6" name="What It Verifies"/>
    <x:tableColumn id="7" name="Evidence / Limitation"/>
    <x:tableColumn id="8" name="Rights / Use"/>
    <x:tableColumn id="9" name="Source URL"/>
    <x:tableColumn id="10" name="Status"/>
  </x:tableColumns>
  <x:tableStyleInfo name="TableStyleMedium2" showRowStripes="1"/>
</x:table>
</file>

<file path=xl/tables/table92.xml><?xml version="1.0" encoding="utf-8"?>
<x:table xmlns:x="http://schemas.openxmlformats.org/spreadsheetml/2006/main" id="92" name="GTDBMXMObjectsTable" displayName="GTDBMXMObjectsTable" ref="A4:K32" headerRowCount="1">
  <x:tableColumns count="11">
    <x:tableColumn id="1" name="Object ID"/>
    <x:tableColumn id="2" name="Brand"/>
    <x:tableColumn id="3" name="BMXMuseum ID / Path"/>
    <x:tableColumn id="4" name="Object Type"/>
    <x:tableColumn id="5" name="Public Identification"/>
    <x:tableColumn id="6" name="Discovery Evidence"/>
    <x:tableColumn id="7" name="Confidence"/>
    <x:tableColumn id="8" name="Independent Catalog / History Context"/>
    <x:tableColumn id="9" name="Critical Limitation"/>
    <x:tableColumn id="10" name="Canonical URL"/>
    <x:tableColumn id="11" name="Status"/>
  </x:tableColumns>
  <x:tableStyleInfo name="TableStyleMedium2" showRowStripes="1"/>
</x:table>
</file>

<file path=xl/tables/table93.xml><?xml version="1.0" encoding="utf-8"?>
<x:table xmlns:x="http://schemas.openxmlformats.org/spreadsheetml/2006/main" id="93" name="GTDLititzCrosswalkTable" displayName="GTDLititzCrosswalkTable" ref="A4:J9" headerRowCount="1">
  <x:tableColumns count="10">
    <x:tableColumn id="1" name="Crosswalk ID"/>
    <x:tableColumn id="2" name="Artifact / Archive Object"/>
    <x:tableColumn id="3" name="Artifact ID"/>
    <x:tableColumn id="4" name="Relationship"/>
    <x:tableColumn id="5" name="Current Evidence"/>
    <x:tableColumn id="6" name="Safe Public Wording"/>
    <x:tableColumn id="7" name="What It Does Not Prove"/>
    <x:tableColumn id="8" name="Catalog / Research Link"/>
    <x:tableColumn id="9" name="Physical Roadmap"/>
    <x:tableColumn id="10" name="Status"/>
  </x:tableColumns>
  <x:tableStyleInfo name="TableStyleMedium2" showRowStripes="1"/>
</x:table>
</file>

<file path=xl/tables/table94.xml><?xml version="1.0" encoding="utf-8"?>
<x:table xmlns:x="http://schemas.openxmlformats.org/spreadsheetml/2006/main" id="94" name="GTDClaimsTable" displayName="GTDClaimsTable" ref="A4:J24" headerRowCount="1">
  <x:tableColumns count="10">
    <x:tableColumn id="1" name="Claim ID"/>
    <x:tableColumn id="2" name="Subject"/>
    <x:tableColumn id="3" name="Claim"/>
    <x:tableColumn id="4" name="Evidence Level"/>
    <x:tableColumn id="5" name="Determination"/>
    <x:tableColumn id="6" name="Supporting Evidence"/>
    <x:tableColumn id="7" name="Conflict / Limitation"/>
    <x:tableColumn id="8" name="Safe Public Wording"/>
    <x:tableColumn id="9" name="Next Verification"/>
    <x:tableColumn id="10" name="Status"/>
  </x:tableColumns>
  <x:tableStyleInfo name="TableStyleMedium2" showRowStripes="1"/>
</x:table>
</file>

<file path=xl/tables/table95.xml><?xml version="1.0" encoding="utf-8"?>
<x:table xmlns:x="http://schemas.openxmlformats.org/spreadsheetml/2006/main" id="95" name="GTDCorrectionsTable" displayName="GTDCorrectionsTable" ref="A4:H19" headerRowCount="1">
  <x:tableColumns count="8">
    <x:tableColumn id="1" name="Correction ID"/>
    <x:tableColumn id="2" name="Existing / Risky Wording"/>
    <x:tableColumn id="3" name="Audit Finding"/>
    <x:tableColumn id="4" name="Locked Replacement Wording"/>
    <x:tableColumn id="5" name="Severity"/>
    <x:tableColumn id="6" name="Evidence"/>
    <x:tableColumn id="7" name="Status"/>
    <x:tableColumn id="8" name="Follow-up"/>
  </x:tableColumns>
  <x:tableStyleInfo name="TableStyleMedium2" showRowStripes="1"/>
</x:table>
</file>

<file path=xl/tables/table96.xml><?xml version="1.0" encoding="utf-8"?>
<x:table xmlns:x="http://schemas.openxmlformats.org/spreadsheetml/2006/main" id="96" name="GTDRelationshipsTable" displayName="GTDRelationshipsTable" ref="A4:J25" headerRowCount="1">
  <x:tableColumns count="10">
    <x:tableColumn id="1" name="Edge ID"/>
    <x:tableColumn id="2" name="Subject"/>
    <x:tableColumn id="3" name="Relationship"/>
    <x:tableColumn id="4" name="Object"/>
    <x:tableColumn id="5" name="Date / Period"/>
    <x:tableColumn id="6" name="Evidence"/>
    <x:tableColumn id="7" name="Confidence"/>
    <x:tableColumn id="8" name="Qualification"/>
    <x:tableColumn id="9" name="Source URL"/>
    <x:tableColumn id="10" name="Status"/>
  </x:tableColumns>
  <x:tableStyleInfo name="TableStyleMedium2" showRowStripes="1"/>
</x:table>
</file>

<file path=xl/tables/table97.xml><?xml version="1.0" encoding="utf-8"?>
<x:table xmlns:x="http://schemas.openxmlformats.org/spreadsheetml/2006/main" id="97" name="GTDSourcesTable" displayName="GTDSourcesTable" ref="A4:I22" headerRowCount="1">
  <x:tableColumns count="9">
    <x:tableColumn id="1" name="Source ID"/>
    <x:tableColumn id="2" name="Source"/>
    <x:tableColumn id="3" name="Source Class"/>
    <x:tableColumn id="4" name="Coverage"/>
    <x:tableColumn id="5" name="Claims Supported"/>
    <x:tableColumn id="6" name="Limitations"/>
    <x:tableColumn id="7" name="Rights / Use"/>
    <x:tableColumn id="8" name="URL"/>
    <x:tableColumn id="9" name="Accessed"/>
  </x:tableColumns>
  <x:tableStyleInfo name="TableStyleMedium2" showRowStripes="1"/>
</x:table>
</file>

<file path=xl/tables/table98.xml><?xml version="1.0" encoding="utf-8"?>
<x:table xmlns:x="http://schemas.openxmlformats.org/spreadsheetml/2006/main" id="98" name="GTDOpenQuestionsTable" displayName="GTDOpenQuestionsTable" ref="A4:I24" headerRowCount="1">
  <x:tableColumns count="9">
    <x:tableColumn id="1" name="Question ID"/>
    <x:tableColumn id="2" name="Subject"/>
    <x:tableColumn id="3" name="Open Question"/>
    <x:tableColumn id="4" name="Why It Matters"/>
    <x:tableColumn id="5" name="Evidence Needed"/>
    <x:tableColumn id="6" name="Current Position"/>
    <x:tableColumn id="7" name="Priority"/>
    <x:tableColumn id="8" name="Next Permission-Free Route"/>
    <x:tableColumn id="9" name="Status"/>
  </x:tableColumns>
  <x:tableStyleInfo name="TableStyleMedium2" showRowStripes="1"/>
</x:table>
</file>

<file path=xl/tables/table99.xml><?xml version="1.0" encoding="utf-8"?>
<x:table xmlns:x="http://schemas.openxmlformats.org/spreadsheetml/2006/main" id="99" name="V17BrandCoverageTable" displayName="V17BrandCoverageTable" ref="A4:J12" headerRowCount="1">
  <x:tableColumns count="10">
    <x:tableColumn id="1" name="Brand"/>
    <x:tableColumn id="2" name="Catalog Coverage"/>
    <x:tableColumn id="3" name="Advertisement / Flyer Coverage"/>
    <x:tableColumn id="4" name="Price Evidence"/>
    <x:tableColumn id="5" name="Exact Public BMXMuseum Layer"/>
    <x:tableColumn id="6" name="Lititz Relevance"/>
    <x:tableColumn id="7" name="Strongest Current Source"/>
    <x:tableColumn id="8" name="Main Limitation"/>
    <x:tableColumn id="9" name="Next Priority"/>
    <x:tableColumn id="10" name="Coverage Status"/>
  </x:tableColumns>
  <x:tableStyleInfo name="TableStyleMedium2" showRowStripes="1"/>
</x:table>
</file>

<file path=xl/tables/table100.xml><?xml version="1.0" encoding="utf-8"?>
<x:table xmlns:x="http://schemas.openxmlformats.org/spreadsheetml/2006/main" id="100" name="V17CatalogRegisterTable" displayName="V17CatalogRegisterTable" ref="A4:M36" headerRowCount="1">
  <x:tableColumns count="13">
    <x:tableColumn id="1" name="Catalog ID"/>
    <x:tableColumn id="2" name="Brand"/>
    <x:tableColumn id="3" name="Catalog / Printed Object"/>
    <x:tableColumn id="4" name="Year / Range"/>
    <x:tableColumn id="5" name="Coverage / Model Count"/>
    <x:tableColumn id="6" name="Source Role"/>
    <x:tableColumn id="7" name="BMXMuseum Relationship"/>
    <x:tableColumn id="8" name="What It Can Verify"/>
    <x:tableColumn id="9" name="Critical Limitation"/>
    <x:tableColumn id="10" name="Primary URL"/>
    <x:tableColumn id="11" name="Secondary URL"/>
    <x:tableColumn id="12" name="Rights Code"/>
    <x:tableColumn id="13" name="Status"/>
  </x:tableColumns>
  <x:tableStyleInfo name="TableStyleMedium2" showRowStripes="1"/>
</x:table>
</file>

<file path=xl/tables/table101.xml><?xml version="1.0" encoding="utf-8"?>
<x:table xmlns:x="http://schemas.openxmlformats.org/spreadsheetml/2006/main" id="101" name="V17AdvertisementTable" displayName="V17AdvertisementTable" ref="A4:J21" headerRowCount="1">
  <x:tableColumns count="10">
    <x:tableColumn id="1" name="Advertisement ID"/>
    <x:tableColumn id="2" name="Brand"/>
    <x:tableColumn id="3" name="Advertisement / Test Object"/>
    <x:tableColumn id="4" name="Period / Issue"/>
    <x:tableColumn id="5" name="Source Role"/>
    <x:tableColumn id="6" name="What It Supports"/>
    <x:tableColumn id="7" name="Qualification"/>
    <x:tableColumn id="8" name="Primary URL"/>
    <x:tableColumn id="9" name="Rights Code"/>
    <x:tableColumn id="10" name="Status"/>
  </x:tableColumns>
  <x:tableStyleInfo name="TableStyleMedium2" showRowStripes="1"/>
</x:table>
</file>

<file path=xl/tables/table102.xml><?xml version="1.0" encoding="utf-8"?>
<x:table xmlns:x="http://schemas.openxmlformats.org/spreadsheetml/2006/main" id="102" name="V17FlyerMailerTable" displayName="V17FlyerMailerTable" ref="A4:K14" headerRowCount="1">
  <x:tableColumns count="11">
    <x:tableColumn id="1" name="Flyer ID"/>
    <x:tableColumn id="2" name="Brand / Promoter"/>
    <x:tableColumn id="3" name="Object Type"/>
    <x:tableColumn id="4" name="Title / Offer"/>
    <x:tableColumn id="5" name="Date"/>
    <x:tableColumn id="6" name="Offer / Distribution Detail"/>
    <x:tableColumn id="7" name="Source Role"/>
    <x:tableColumn id="8" name="Qualification"/>
    <x:tableColumn id="9" name="Source URL"/>
    <x:tableColumn id="10" name="Rights Code"/>
    <x:tableColumn id="11" name="Status"/>
  </x:tableColumns>
  <x:tableStyleInfo name="TableStyleMedium2" showRowStripes="1"/>
</x:table>
</file>

<file path=xl/tables/table103.xml><?xml version="1.0" encoding="utf-8"?>
<x:table xmlns:x="http://schemas.openxmlformats.org/spreadsheetml/2006/main" id="103" name="V17PriceSheetTable" displayName="V17PriceSheetTable" ref="A4:K16" headerRowCount="1">
  <x:tableColumns count="11">
    <x:tableColumn id="1" name="Price-Sheet ID"/>
    <x:tableColumn id="2" name="Brand"/>
    <x:tableColumn id="3" name="Document / Price Context"/>
    <x:tableColumn id="4" name="Date"/>
    <x:tableColumn id="5" name="Price Basis"/>
    <x:tableColumn id="6" name="What Is Exposed"/>
    <x:tableColumn id="7" name="Currency / Market"/>
    <x:tableColumn id="8" name="Source Class"/>
    <x:tableColumn id="9" name="Qualification"/>
    <x:tableColumn id="10" name="Source URL"/>
    <x:tableColumn id="11" name="Status"/>
  </x:tableColumns>
  <x:tableStyleInfo name="TableStyleMedium2" showRowStripes="1"/>
</x:table>
</file>

<file path=xl/tables/table104.xml><?xml version="1.0" encoding="utf-8"?>
<x:table xmlns:x="http://schemas.openxmlformats.org/spreadsheetml/2006/main" id="104" name="V17PriceObservationsTable" displayName="V17PriceObservationsTable" ref="A4:P20" headerRowCount="1">
  <x:tableColumns count="16">
    <x:tableColumn id="1" name="Price ID"/>
    <x:tableColumn id="2" name="Source ID"/>
    <x:tableColumn id="3" name="Brand"/>
    <x:tableColumn id="4" name="Product / Object"/>
    <x:tableColumn id="5" name="Product Type"/>
    <x:tableColumn id="6" name="Date"/>
    <x:tableColumn id="7" name="Price Numeric"/>
    <x:tableColumn id="8" name="Currency"/>
    <x:tableColumn id="9" name="Displayed Price"/>
    <x:tableColumn id="10" name="Price Basis"/>
    <x:tableColumn id="11" name="Geography"/>
    <x:tableColumn id="12" name="Source Type"/>
    <x:tableColumn id="13" name="Confidence"/>
    <x:tableColumn id="14" name="Source URL"/>
    <x:tableColumn id="15" name="Normalization Note"/>
    <x:tableColumn id="16" name="Status"/>
  </x:tableColumns>
  <x:tableStyleInfo name="TableStyleMedium2" showRowStripes="1"/>
</x:table>
</file>

<file path=xl/tables/table105.xml><?xml version="1.0" encoding="utf-8"?>
<x:table xmlns:x="http://schemas.openxmlformats.org/spreadsheetml/2006/main" id="105" name="V17BMXMLeadsTable" displayName="V17BMXMLeadsTable" ref="A4:J19" headerRowCount="1">
  <x:tableColumns count="10">
    <x:tableColumn id="1" name="Object ID"/>
    <x:tableColumn id="2" name="Brand"/>
    <x:tableColumn id="3" name="BMXMuseum Object"/>
    <x:tableColumn id="4" name="Type"/>
    <x:tableColumn id="5" name="Public Identification"/>
    <x:tableColumn id="6" name="Independent Source Control"/>
    <x:tableColumn id="7" name="Confidence"/>
    <x:tableColumn id="8" name="Critical Qualification"/>
    <x:tableColumn id="9" name="Canonical / Discovery URL"/>
    <x:tableColumn id="10" name="Status"/>
  </x:tableColumns>
  <x:tableStyleInfo name="TableStyleMedium2" showRowStripes="1"/>
</x:table>
</file>

<file path=xl/tables/table106.xml><?xml version="1.0" encoding="utf-8"?>
<x:table xmlns:x="http://schemas.openxmlformats.org/spreadsheetml/2006/main" id="106" name="V17LititzCrosswalkTable" displayName="V17LititzCrosswalkTable" ref="A4:I9" headerRowCount="1">
  <x:tableColumns count="9">
    <x:tableColumn id="1" name="Crosswalk ID"/>
    <x:tableColumn id="2" name="Lititz Object"/>
    <x:tableColumn id="3" name="Artifact ID"/>
    <x:tableColumn id="4" name="Brand / Source Relationship"/>
    <x:tableColumn id="5" name="Current Evidence"/>
    <x:tableColumn id="6" name="Safe Public Wording"/>
    <x:tableColumn id="7" name="Evidence Gap"/>
    <x:tableColumn id="8" name="Roadmap / Next Action"/>
    <x:tableColumn id="9" name="Status"/>
  </x:tableColumns>
  <x:tableStyleInfo name="TableStyleMedium2" showRowStripes="1"/>
</x:table>
</file>

<file path=xl/tables/table107.xml><?xml version="1.0" encoding="utf-8"?>
<x:table xmlns:x="http://schemas.openxmlformats.org/spreadsheetml/2006/main" id="107" name="V17RightsMatrixTable" displayName="V17RightsMatrixTable" ref="A4:F13" headerRowCount="1">
  <x:tableColumns count="6">
    <x:tableColumn id="1" name="Source Type"/>
    <x:tableColumn id="2" name="Permitted Use in Register"/>
    <x:tableColumn id="3" name="Public Output"/>
    <x:tableColumn id="4" name="Do Not Do"/>
    <x:tableColumn id="5" name="Attribution Requirement"/>
    <x:tableColumn id="6" name="Preservation Treatment"/>
  </x:tableColumns>
  <x:tableStyleInfo name="TableStyleMedium2" showRowStripes="1"/>
</x:table>
</file>

<file path=xl/tables/table108.xml><?xml version="1.0" encoding="utf-8"?>
<x:table xmlns:x="http://schemas.openxmlformats.org/spreadsheetml/2006/main" id="108" name="V17CorrectionsTable" displayName="V17CorrectionsTable" ref="A4:G19" headerRowCount="1">
  <x:tableColumns count="7">
    <x:tableColumn id="1" name="Correction ID"/>
    <x:tableColumn id="2" name="Risky Claim"/>
    <x:tableColumn id="3" name="Audit Finding"/>
    <x:tableColumn id="4" name="Locked Replacement Rule"/>
    <x:tableColumn id="5" name="Severity"/>
    <x:tableColumn id="6" name="Status"/>
    <x:tableColumn id="7" name="Follow-up"/>
  </x:tableColumns>
  <x:tableStyleInfo name="TableStyleMedium2" showRowStripes="1"/>
</x:table>
</file>

<file path=xl/tables/table109.xml><?xml version="1.0" encoding="utf-8"?>
<x:table xmlns:x="http://schemas.openxmlformats.org/spreadsheetml/2006/main" id="109" name="V17SourcesTable" displayName="V17SourcesTable" ref="A4:J24" headerRowCount="1">
  <x:tableColumns count="10">
    <x:tableColumn id="1" name="Source ID"/>
    <x:tableColumn id="2" name="Source"/>
    <x:tableColumn id="3" name="Brand(s)"/>
    <x:tableColumn id="4" name="Source Class"/>
    <x:tableColumn id="5" name="Coverage"/>
    <x:tableColumn id="6" name="Use in v1.7"/>
    <x:tableColumn id="7" name="Key Limitation"/>
    <x:tableColumn id="8" name="Rights Treatment"/>
    <x:tableColumn id="9" name="URL"/>
    <x:tableColumn id="10" name="Accessed"/>
  </x:tableColumns>
  <x:tableStyleInfo name="TableStyleMedium2" showRowStripes="1"/>
</x:table>
</file>

<file path=xl/tables/table110.xml><?xml version="1.0" encoding="utf-8"?>
<x:table xmlns:x="http://schemas.openxmlformats.org/spreadsheetml/2006/main" id="110" name="V17OpenQuestionsTable" displayName="V17OpenQuestionsTable" ref="A4:I24" headerRowCount="1">
  <x:tableColumns count="9">
    <x:tableColumn id="1" name="Question ID"/>
    <x:tableColumn id="2" name="Brand / Type"/>
    <x:tableColumn id="3" name="Open Question"/>
    <x:tableColumn id="4" name="Why It Matters"/>
    <x:tableColumn id="5" name="Evidence Needed"/>
    <x:tableColumn id="6" name="Current Position"/>
    <x:tableColumn id="7" name="Priority"/>
    <x:tableColumn id="8" name="Next Permission-Free Route"/>
    <x:tableColumn id="9" name="Status"/>
  </x:tableColumns>
  <x:tableStyleInfo name="TableStyleMedium2" showRowStripes="1"/>
</x:table>
</file>

<file path=xl/tables/table111.xml><?xml version="1.0" encoding="utf-8"?>
<x:table xmlns:x="http://schemas.openxmlformats.org/spreadsheetml/2006/main" id="111" name="PublicRecordTypesTable" displayName="PublicRecordTypesTable" ref="A4:H22" headerRowCount="1">
  <x:tableColumns count="8">
    <x:tableColumn id="1" name="Type Code"/>
    <x:tableColumn id="2" name="Human Label"/>
    <x:tableColumn id="3" name="Primary Purpose"/>
    <x:tableColumn id="4" name="Default URL Pattern"/>
    <x:tableColumn id="5" name="Required Page Sections"/>
    <x:tableColumn id="6" name="Default Schema.org Type"/>
    <x:tableColumn id="7" name="Public Example"/>
    <x:tableColumn id="8" name="Notes"/>
  </x:tableColumns>
  <x:tableStyleInfo name="TableStyleMedium2" showRowStripes="1"/>
</x:table>
</file>

<file path=xl/tables/table112.xml><?xml version="1.0" encoding="utf-8"?>
<x:table xmlns:x="http://schemas.openxmlformats.org/spreadsheetml/2006/main" id="112" name="PublicFieldDictionaryTable" displayName="PublicFieldDictionaryTable" ref="A4:I50" headerRowCount="1">
  <x:tableColumns count="9">
    <x:tableColumn id="1" name="Field"/>
    <x:tableColumn id="2" name="Applies To"/>
    <x:tableColumn id="3" name="Required"/>
    <x:tableColumn id="4" name="Data Type"/>
    <x:tableColumn id="5" name="Public Label"/>
    <x:tableColumn id="6" name="Definition"/>
    <x:tableColumn id="7" name="Allowed Values / Format"/>
    <x:tableColumn id="8" name="Publication Rule"/>
    <x:tableColumn id="9" name="Example"/>
  </x:tableColumns>
  <x:tableStyleInfo name="TableStyleMedium2" showRowStripes="1"/>
</x:table>
</file>

<file path=xl/tables/table113.xml><?xml version="1.0" encoding="utf-8"?>
<x:table xmlns:x="http://schemas.openxmlformats.org/spreadsheetml/2006/main" id="113" name="PublicPageSectionsTable" displayName="PublicPageSectionsTable" ref="A4:H17" headerRowCount="1">
  <x:tableColumns count="8">
    <x:tableColumn id="1" name="Order"/>
    <x:tableColumn id="2" name="Section Key"/>
    <x:tableColumn id="3" name="Human Heading"/>
    <x:tableColumn id="4" name="Required For"/>
    <x:tableColumn id="5" name="Purpose"/>
    <x:tableColumn id="6" name="Content Rule"/>
    <x:tableColumn id="7" name="Visibility Rule"/>
    <x:tableColumn id="8" name="Empty-State Wording"/>
  </x:tableColumns>
  <x:tableStyleInfo name="TableStyleMedium2" showRowStripes="1"/>
</x:table>
</file>

<file path=xl/tables/table114.xml><?xml version="1.0" encoding="utf-8"?>
<x:table xmlns:x="http://schemas.openxmlformats.org/spreadsheetml/2006/main" id="114" name="ClaimCardSchemaTable" displayName="ClaimCardSchemaTable" ref="A4:G19" headerRowCount="1">
  <x:tableColumns count="7">
    <x:tableColumn id="1" name="Field"/>
    <x:tableColumn id="2" name="Required"/>
    <x:tableColumn id="3" name="Display Component"/>
    <x:tableColumn id="4" name="Purpose"/>
    <x:tableColumn id="5" name="Allowed Values / Rule"/>
    <x:tableColumn id="6" name="Example"/>
    <x:tableColumn id="7" name="Failure Condition"/>
  </x:tableColumns>
  <x:tableStyleInfo name="TableStyleMedium2" showRowStripes="1"/>
</x:table>
</file>

<file path=xl/tables/table115.xml><?xml version="1.0" encoding="utf-8"?>
<x:table xmlns:x="http://schemas.openxmlformats.org/spreadsheetml/2006/main" id="115" name="SourceCardSchemaTable" displayName="SourceCardSchemaTable" ref="A4:G18" headerRowCount="1">
  <x:tableColumns count="7">
    <x:tableColumn id="1" name="Field"/>
    <x:tableColumn id="2" name="Required"/>
    <x:tableColumn id="3" name="Display Component"/>
    <x:tableColumn id="4" name="Purpose"/>
    <x:tableColumn id="5" name="Rule / Allowed Values"/>
    <x:tableColumn id="6" name="Example"/>
    <x:tableColumn id="7" name="Failure Condition"/>
  </x:tableColumns>
  <x:tableStyleInfo name="TableStyleMedium2" showRowStripes="1"/>
</x:table>
</file>

<file path=xl/tables/table116.xml><?xml version="1.0" encoding="utf-8"?>
<x:table xmlns:x="http://schemas.openxmlformats.org/spreadsheetml/2006/main" id="116" name="RelationshipSchemaTable" displayName="RelationshipSchemaTable" ref="A4:F15" headerRowCount="1">
  <x:tableColumns count="6">
    <x:tableColumn id="1" name="Field"/>
    <x:tableColumn id="2" name="Required"/>
    <x:tableColumn id="3" name="Purpose"/>
    <x:tableColumn id="4" name="Rule"/>
    <x:tableColumn id="5" name="Example"/>
    <x:tableColumn id="6" name="Public Display"/>
  </x:tableColumns>
  <x:tableStyleInfo name="TableStyleMedium2" showRowStripes="1"/>
</x:table>
</file>

<file path=xl/tables/table117.xml><?xml version="1.0" encoding="utf-8"?>
<x:table xmlns:x="http://schemas.openxmlformats.org/spreadsheetml/2006/main" id="117" name="PublicationGatesTable" displayName="PublicationGatesTable" ref="A4:G11" headerRowCount="1">
  <x:tableColumns count="7">
    <x:tableColumn id="1" name="Gate"/>
    <x:tableColumn id="2" name="Workflow Status"/>
    <x:tableColumn id="3" name="Public Indexing"/>
    <x:tableColumn id="4" name="Required Conditions"/>
    <x:tableColumn id="5" name="Permitted Page Behavior"/>
    <x:tableColumn id="6" name="Typical Records"/>
    <x:tableColumn id="7" name="Failure / Hold Reason"/>
  </x:tableColumns>
  <x:tableStyleInfo name="TableStyleMedium2" showRowStripes="1"/>
</x:table>
</file>

<file path=xl/tables/table118.xml><?xml version="1.0" encoding="utf-8"?>
<x:table xmlns:x="http://schemas.openxmlformats.org/spreadsheetml/2006/main" id="118" name="URLSEOAccessibilityTable" displayName="URLSEOAccessibilityTable" ref="A4:F25" headerRowCount="1">
  <x:tableColumns count="6">
    <x:tableColumn id="1" name="Control Area"/>
    <x:tableColumn id="2" name="Requirement"/>
    <x:tableColumn id="3" name="Implementation Rule"/>
    <x:tableColumn id="4" name="Validation"/>
    <x:tableColumn id="5" name="Example / Note"/>
    <x:tableColumn id="6" name="Severity"/>
  </x:tableColumns>
  <x:tableStyleInfo name="TableStyleMedium2" showRowStripes="1"/>
</x:table>
</file>

<file path=xl/tables/table119.xml><?xml version="1.0" encoding="utf-8"?>
<x:table xmlns:x="http://schemas.openxmlformats.org/spreadsheetml/2006/main" id="119" name="JSONLDMappingTable" displayName="JSONLDMappingTable" ref="A4:F16" headerRowCount="1">
  <x:tableColumns count="6">
    <x:tableColumn id="1" name="Record Type"/>
    <x:tableColumn id="2" name="Primary schema.org Type"/>
    <x:tableColumn id="3" name="Secondary Types / Properties"/>
    <x:tableColumn id="4" name="Safe Mappings"/>
    <x:tableColumn id="5" name="Mappings to Avoid"/>
    <x:tableColumn id="6" name="Notes"/>
  </x:tableColumns>
  <x:tableStyleInfo name="TableStyleMedium2" showRowStripes="1"/>
</x:table>
</file>

<file path=xl/tables/table120.xml><?xml version="1.0" encoding="utf-8"?>
<x:table xmlns:x="http://schemas.openxmlformats.org/spreadsheetml/2006/main" id="120" name="PublicBuildQueueTable" displayName="PublicBuildQueueTable" ref="A4:P18" headerRowCount="1">
  <x:tableColumns count="16">
    <x:tableColumn id="1" name="Queue ID"/>
    <x:tableColumn id="2" name="Record ID"/>
    <x:tableColumn id="3" name="Record Type"/>
    <x:tableColumn id="4" name="Title"/>
    <x:tableColumn id="5" name="Proposed Slug"/>
    <x:tableColumn id="6" name="Core Fields"/>
    <x:tableColumn id="7" name="Claims Ready"/>
    <x:tableColumn id="8" name="Sources Ready"/>
    <x:tableColumn id="9" name="Rights Clear"/>
    <x:tableColumn id="10" name="Open Blockers"/>
    <x:tableColumn id="11" name="Readiness Score"/>
    <x:tableColumn id="12" name="Publish Status"/>
    <x:tableColumn id="13" name="Robots"/>
    <x:tableColumn id="14" name="Template"/>
    <x:tableColumn id="15" name="Next Action"/>
    <x:tableColumn id="16" name="Prototype Page"/>
  </x:tableColumns>
  <x:tableStyleInfo name="TableStyleMedium2" showRowStripes="1"/>
</x:table>
</file>

<file path=xl/tables/table121.xml><?xml version="1.0" encoding="utf-8"?>
<x:table xmlns:x="http://schemas.openxmlformats.org/spreadsheetml/2006/main" id="121" name="SamplePublicRecordsTable" displayName="SamplePublicRecordsTable" ref="A4:J8" headerRowCount="1">
  <x:tableColumns count="10">
    <x:tableColumn id="1" name="Record ID"/>
    <x:tableColumn id="2" name="Record Type"/>
    <x:tableColumn id="3" name="Title"/>
    <x:tableColumn id="4" name="Status"/>
    <x:tableColumn id="5" name="Evidence Grade"/>
    <x:tableColumn id="6" name="Page Purpose"/>
    <x:tableColumn id="7" name="Primary Claim"/>
    <x:tableColumn id="8" name="Primary Boundary"/>
    <x:tableColumn id="9" name="Primary Sources"/>
    <x:tableColumn id="10" name="Prototype File"/>
  </x:tableColumns>
  <x:tableStyleInfo name="TableStyleMedium2" showRowStripes="1"/>
</x:table>
</file>

<file path=xl/tables/table122.xml><?xml version="1.0" encoding="utf-8"?>
<x:table xmlns:x="http://schemas.openxmlformats.org/spreadsheetml/2006/main" id="122" name="V18RecoveryFindingsTable" displayName="V18RecoveryFindingsTable" ref="A4:I14" headerRowCount="1">
  <x:tableColumns count="9">
    <x:tableColumn id="1" name="Finding ID"/>
    <x:tableColumn id="2" name="Priority Cluster"/>
    <x:tableColumn id="3" name="Question / Target"/>
    <x:tableColumn id="4" name="New Public Finding"/>
    <x:tableColumn id="5" name="Evidence Class"/>
    <x:tableColumn id="6" name="Conclusion / Status Change"/>
    <x:tableColumn id="7" name="Remaining Limitation"/>
    <x:tableColumn id="8" name="Source URL"/>
    <x:tableColumn id="9" name="Research Status"/>
  </x:tableColumns>
  <x:tableStyleInfo name="TableStyleMedium2" showRowStripes="1"/>
</x:table>
</file>

<file path=xl/tables/table123.xml><?xml version="1.0" encoding="utf-8"?>
<x:table xmlns:x="http://schemas.openxmlformats.org/spreadsheetml/2006/main" id="123" name="V18RecoverySourcesTable" displayName="V18RecoverySourcesTable" ref="A4:G15" headerRowCount="1">
  <x:tableColumns count="7">
    <x:tableColumn id="1" name="Source ID"/>
    <x:tableColumn id="2" name="Source"/>
    <x:tableColumn id="3" name="Source Class"/>
    <x:tableColumn id="4" name="Supports"/>
    <x:tableColumn id="5" name="Key Limitation"/>
    <x:tableColumn id="6" name="URL"/>
    <x:tableColumn id="7" name="Accessed"/>
  </x:tableColumns>
  <x:tableStyleInfo name="TableStyleMedium2" showRowStripes="1"/>
</x:table>
</file>

<file path=xl/tables/table124.xml><?xml version="1.0" encoding="utf-8"?>
<x:table xmlns:x="http://schemas.openxmlformats.org/spreadsheetml/2006/main" id="124" name="V18RecoveryQueueTable" displayName="V18RecoveryQueueTable" ref="A4:G14" headerRowCount="1">
  <x:tableColumns count="7">
    <x:tableColumn id="1" name="Priority"/>
    <x:tableColumn id="2" name="Target"/>
    <x:tableColumn id="3" name="Current Evidence"/>
    <x:tableColumn id="4" name="Next Search Route"/>
    <x:tableColumn id="5" name="Success Condition"/>
    <x:tableColumn id="6" name="Stop / Safety Rule"/>
    <x:tableColumn id="7"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3bd1d67596e44e0" /></Relationships>
</file>

<file path=xl/worksheets/_rels/sheet2.xml.rels>&#65279;<?xml version="1.0" encoding="utf-8"?><Relationships xmlns="http://schemas.openxmlformats.org/package/2006/relationships"><Relationship Type="http://schemas.openxmlformats.org/officeDocument/2006/relationships/table" Target="/xl/tables/table1.xml" Id="R61d1ac53c966414d" /></Relationships>
</file>

<file path=xl/worksheets/_rels/sheet3.xml.rels>&#65279;<?xml version="1.0" encoding="utf-8"?><Relationships xmlns="http://schemas.openxmlformats.org/package/2006/relationships"><Relationship Type="http://schemas.openxmlformats.org/officeDocument/2006/relationships/table" Target="/xl/tables/table2.xml" Id="R3710a45f39cb4839" /></Relationships>
</file>

<file path=xl/worksheets/_rels/sheet4.xml.rels>&#65279;<?xml version="1.0" encoding="utf-8"?><Relationships xmlns="http://schemas.openxmlformats.org/package/2006/relationships"><Relationship Type="http://schemas.openxmlformats.org/officeDocument/2006/relationships/table" Target="/xl/tables/table3.xml" Id="R6982db2638db4e62" /></Relationships>
</file>

<file path=xl/worksheets/_rels/sheet6.xml.rels>&#65279;<?xml version="1.0" encoding="utf-8"?><Relationships xmlns="http://schemas.openxmlformats.org/package/2006/relationships"><Relationship Type="http://schemas.openxmlformats.org/officeDocument/2006/relationships/table" Target="/xl/tables/table4.xml" Id="R97d13ba0a5594b8d" /></Relationships>
</file>

<file path=xl/worksheets/_rels/sheet7.xml.rels>&#65279;<?xml version="1.0" encoding="utf-8"?><Relationships xmlns="http://schemas.openxmlformats.org/package/2006/relationships"><Relationship Type="http://schemas.openxmlformats.org/officeDocument/2006/relationships/table" Target="/xl/tables/table5.xml" Id="Re6f4fd56118d446b" /></Relationships>
</file>

<file path=xl/worksheets/_rels/sheet8.xml.rels>&#65279;<?xml version="1.0" encoding="utf-8"?><Relationships xmlns="http://schemas.openxmlformats.org/package/2006/relationships"><Relationship Type="http://schemas.openxmlformats.org/officeDocument/2006/relationships/table" Target="/xl/tables/table6.xml" Id="Rda218153033a4dc6" /></Relationships>
</file>

<file path=xl/worksheets/_rels/sheet9.xml.rels>&#65279;<?xml version="1.0" encoding="utf-8"?><Relationships xmlns="http://schemas.openxmlformats.org/package/2006/relationships"><Relationship Type="http://schemas.openxmlformats.org/officeDocument/2006/relationships/table" Target="/xl/tables/table7.xml" Id="R6a0094e2d2544718" /></Relationships>
</file>

<file path=xl/worksheets/_rels/sheet10.xml.rels>&#65279;<?xml version="1.0" encoding="utf-8"?><Relationships xmlns="http://schemas.openxmlformats.org/package/2006/relationships"><Relationship Type="http://schemas.openxmlformats.org/officeDocument/2006/relationships/table" Target="/xl/tables/table8.xml" Id="R79ceda8804cd4e0e" /></Relationships>
</file>

<file path=xl/worksheets/_rels/sheet11.xml.rels>&#65279;<?xml version="1.0" encoding="utf-8"?><Relationships xmlns="http://schemas.openxmlformats.org/package/2006/relationships"><Relationship Type="http://schemas.openxmlformats.org/officeDocument/2006/relationships/table" Target="/xl/tables/table9.xml" Id="R399cdad462ba4777" /></Relationships>
</file>

<file path=xl/worksheets/_rels/sheet12.xml.rels>&#65279;<?xml version="1.0" encoding="utf-8"?><Relationships xmlns="http://schemas.openxmlformats.org/package/2006/relationships"><Relationship Type="http://schemas.openxmlformats.org/officeDocument/2006/relationships/table" Target="/xl/tables/table10.xml" Id="R327da896210a41cb" /></Relationships>
</file>

<file path=xl/worksheets/_rels/sheet13.xml.rels>&#65279;<?xml version="1.0" encoding="utf-8"?><Relationships xmlns="http://schemas.openxmlformats.org/package/2006/relationships"><Relationship Type="http://schemas.openxmlformats.org/officeDocument/2006/relationships/table" Target="/xl/tables/table11.xml" Id="R9189698ee2e54082" /></Relationships>
</file>

<file path=xl/worksheets/_rels/sheet14.xml.rels>&#65279;<?xml version="1.0" encoding="utf-8"?><Relationships xmlns="http://schemas.openxmlformats.org/package/2006/relationships"><Relationship Type="http://schemas.openxmlformats.org/officeDocument/2006/relationships/table" Target="/xl/tables/table12.xml" Id="R8f6e551aaeee468a" /></Relationships>
</file>

<file path=xl/worksheets/_rels/sheet15.xml.rels>&#65279;<?xml version="1.0" encoding="utf-8"?><Relationships xmlns="http://schemas.openxmlformats.org/package/2006/relationships"><Relationship Type="http://schemas.openxmlformats.org/officeDocument/2006/relationships/table" Target="/xl/tables/table13.xml" Id="Rcff6f444426d4598" /></Relationships>
</file>

<file path=xl/worksheets/_rels/sheet16.xml.rels>&#65279;<?xml version="1.0" encoding="utf-8"?><Relationships xmlns="http://schemas.openxmlformats.org/package/2006/relationships"><Relationship Type="http://schemas.openxmlformats.org/officeDocument/2006/relationships/table" Target="/xl/tables/table14.xml" Id="R70e4f5994cc74f96" /></Relationships>
</file>

<file path=xl/worksheets/_rels/sheet17.xml.rels>&#65279;<?xml version="1.0" encoding="utf-8"?><Relationships xmlns="http://schemas.openxmlformats.org/package/2006/relationships"><Relationship Type="http://schemas.openxmlformats.org/officeDocument/2006/relationships/table" Target="/xl/tables/table15.xml" Id="Rda291a0a157445ca" /></Relationships>
</file>

<file path=xl/worksheets/_rels/sheet18.xml.rels>&#65279;<?xml version="1.0" encoding="utf-8"?><Relationships xmlns="http://schemas.openxmlformats.org/package/2006/relationships"><Relationship Type="http://schemas.openxmlformats.org/officeDocument/2006/relationships/table" Target="/xl/tables/table16.xml" Id="Ra9cae24e8f0b42cc" /></Relationships>
</file>

<file path=xl/worksheets/_rels/sheet19.xml.rels>&#65279;<?xml version="1.0" encoding="utf-8"?><Relationships xmlns="http://schemas.openxmlformats.org/package/2006/relationships"><Relationship Type="http://schemas.openxmlformats.org/officeDocument/2006/relationships/table" Target="/xl/tables/table17.xml" Id="R367c0a2d78e047e7" /></Relationships>
</file>

<file path=xl/worksheets/_rels/sheet20.xml.rels>&#65279;<?xml version="1.0" encoding="utf-8"?><Relationships xmlns="http://schemas.openxmlformats.org/package/2006/relationships"><Relationship Type="http://schemas.openxmlformats.org/officeDocument/2006/relationships/table" Target="/xl/tables/table18.xml" Id="Ra96d9eb35ed54485" /></Relationships>
</file>

<file path=xl/worksheets/_rels/sheet21.xml.rels>&#65279;<?xml version="1.0" encoding="utf-8"?><Relationships xmlns="http://schemas.openxmlformats.org/package/2006/relationships"><Relationship Type="http://schemas.openxmlformats.org/officeDocument/2006/relationships/table" Target="/xl/tables/table19.xml" Id="R606f2e10c610480c" /></Relationships>
</file>

<file path=xl/worksheets/_rels/sheet22.xml.rels>&#65279;<?xml version="1.0" encoding="utf-8"?><Relationships xmlns="http://schemas.openxmlformats.org/package/2006/relationships"><Relationship Type="http://schemas.openxmlformats.org/officeDocument/2006/relationships/table" Target="/xl/tables/table20.xml" Id="R8bd5a179daf14042" /></Relationships>
</file>

<file path=xl/worksheets/_rels/sheet23.xml.rels>&#65279;<?xml version="1.0" encoding="utf-8"?><Relationships xmlns="http://schemas.openxmlformats.org/package/2006/relationships"><Relationship Type="http://schemas.openxmlformats.org/officeDocument/2006/relationships/table" Target="/xl/tables/table21.xml" Id="Rb4cddc5912484d1b" /></Relationships>
</file>

<file path=xl/worksheets/_rels/sheet24.xml.rels>&#65279;<?xml version="1.0" encoding="utf-8"?><Relationships xmlns="http://schemas.openxmlformats.org/package/2006/relationships"><Relationship Type="http://schemas.openxmlformats.org/officeDocument/2006/relationships/table" Target="/xl/tables/table22.xml" Id="Rbcfe985d98484806" /></Relationships>
</file>

<file path=xl/worksheets/_rels/sheet25.xml.rels>&#65279;<?xml version="1.0" encoding="utf-8"?><Relationships xmlns="http://schemas.openxmlformats.org/package/2006/relationships"><Relationship Type="http://schemas.openxmlformats.org/officeDocument/2006/relationships/table" Target="/xl/tables/table23.xml" Id="R36fc0e4f588041db" /></Relationships>
</file>

<file path=xl/worksheets/_rels/sheet26.xml.rels>&#65279;<?xml version="1.0" encoding="utf-8"?><Relationships xmlns="http://schemas.openxmlformats.org/package/2006/relationships"><Relationship Type="http://schemas.openxmlformats.org/officeDocument/2006/relationships/table" Target="/xl/tables/table24.xml" Id="Rcb6859f29aec4ca8" /></Relationships>
</file>

<file path=xl/worksheets/_rels/sheet27.xml.rels>&#65279;<?xml version="1.0" encoding="utf-8"?><Relationships xmlns="http://schemas.openxmlformats.org/package/2006/relationships"><Relationship Type="http://schemas.openxmlformats.org/officeDocument/2006/relationships/drawing" Target="/xl/drawings/drawing2.xml" Id="R6184883275bc4fd4" /></Relationships>
</file>

<file path=xl/worksheets/_rels/sheet34.xml.rels>&#65279;<?xml version="1.0" encoding="utf-8"?><Relationships xmlns="http://schemas.openxmlformats.org/package/2006/relationships"><Relationship Type="http://schemas.openxmlformats.org/officeDocument/2006/relationships/table" Target="/xl/tables/table25.xml" Id="Re90c194634c44019" /></Relationships>
</file>

<file path=xl/worksheets/_rels/sheet35.xml.rels>&#65279;<?xml version="1.0" encoding="utf-8"?><Relationships xmlns="http://schemas.openxmlformats.org/package/2006/relationships"><Relationship Type="http://schemas.openxmlformats.org/officeDocument/2006/relationships/table" Target="/xl/tables/table26.xml" Id="R5383f7ab84854516" /></Relationships>
</file>

<file path=xl/worksheets/_rels/sheet36.xml.rels>&#65279;<?xml version="1.0" encoding="utf-8"?><Relationships xmlns="http://schemas.openxmlformats.org/package/2006/relationships"><Relationship Type="http://schemas.openxmlformats.org/officeDocument/2006/relationships/table" Target="/xl/tables/table27.xml" Id="Re02662a1f4234d3e" /></Relationships>
</file>

<file path=xl/worksheets/_rels/sheet37.xml.rels>&#65279;<?xml version="1.0" encoding="utf-8"?><Relationships xmlns="http://schemas.openxmlformats.org/package/2006/relationships"><Relationship Type="http://schemas.openxmlformats.org/officeDocument/2006/relationships/table" Target="/xl/tables/table28.xml" Id="Re7e7554cd4514e0f" /></Relationships>
</file>

<file path=xl/worksheets/_rels/sheet38.xml.rels>&#65279;<?xml version="1.0" encoding="utf-8"?><Relationships xmlns="http://schemas.openxmlformats.org/package/2006/relationships"><Relationship Type="http://schemas.openxmlformats.org/officeDocument/2006/relationships/table" Target="/xl/tables/table29.xml" Id="Rc4d129177c824de0" /></Relationships>
</file>

<file path=xl/worksheets/_rels/sheet39.xml.rels>&#65279;<?xml version="1.0" encoding="utf-8"?><Relationships xmlns="http://schemas.openxmlformats.org/package/2006/relationships"><Relationship Type="http://schemas.openxmlformats.org/officeDocument/2006/relationships/table" Target="/xl/tables/table30.xml" Id="R5ddbfcfc8f124ee8" /></Relationships>
</file>

<file path=xl/worksheets/_rels/sheet40.xml.rels>&#65279;<?xml version="1.0" encoding="utf-8"?><Relationships xmlns="http://schemas.openxmlformats.org/package/2006/relationships"><Relationship Type="http://schemas.openxmlformats.org/officeDocument/2006/relationships/table" Target="/xl/tables/table31.xml" Id="R618f14c6b47c4113" /></Relationships>
</file>

<file path=xl/worksheets/_rels/sheet41.xml.rels>&#65279;<?xml version="1.0" encoding="utf-8"?><Relationships xmlns="http://schemas.openxmlformats.org/package/2006/relationships"><Relationship Type="http://schemas.openxmlformats.org/officeDocument/2006/relationships/table" Target="/xl/tables/table32.xml" Id="R10bf8b84a50c473a" /></Relationships>
</file>

<file path=xl/worksheets/_rels/sheet42.xml.rels>&#65279;<?xml version="1.0" encoding="utf-8"?><Relationships xmlns="http://schemas.openxmlformats.org/package/2006/relationships"><Relationship Type="http://schemas.openxmlformats.org/officeDocument/2006/relationships/table" Target="/xl/tables/table33.xml" Id="R2d8e9bc4fe794ce3" /></Relationships>
</file>

<file path=xl/worksheets/_rels/sheet43.xml.rels>&#65279;<?xml version="1.0" encoding="utf-8"?><Relationships xmlns="http://schemas.openxmlformats.org/package/2006/relationships"><Relationship Type="http://schemas.openxmlformats.org/officeDocument/2006/relationships/table" Target="/xl/tables/table34.xml" Id="Rb004fbe04e344a4a" /></Relationships>
</file>

<file path=xl/worksheets/_rels/sheet44.xml.rels>&#65279;<?xml version="1.0" encoding="utf-8"?><Relationships xmlns="http://schemas.openxmlformats.org/package/2006/relationships"><Relationship Type="http://schemas.openxmlformats.org/officeDocument/2006/relationships/table" Target="/xl/tables/table35.xml" Id="Rd06bbbad98354fcd" /></Relationships>
</file>

<file path=xl/worksheets/_rels/sheet45.xml.rels>&#65279;<?xml version="1.0" encoding="utf-8"?><Relationships xmlns="http://schemas.openxmlformats.org/package/2006/relationships"><Relationship Type="http://schemas.openxmlformats.org/officeDocument/2006/relationships/table" Target="/xl/tables/table36.xml" Id="R7f9c410defa34ccf" /></Relationships>
</file>

<file path=xl/worksheets/_rels/sheet46.xml.rels>&#65279;<?xml version="1.0" encoding="utf-8"?><Relationships xmlns="http://schemas.openxmlformats.org/package/2006/relationships"><Relationship Type="http://schemas.openxmlformats.org/officeDocument/2006/relationships/table" Target="/xl/tables/table37.xml" Id="R55ccac90c4704572" /></Relationships>
</file>

<file path=xl/worksheets/_rels/sheet47.xml.rels>&#65279;<?xml version="1.0" encoding="utf-8"?><Relationships xmlns="http://schemas.openxmlformats.org/package/2006/relationships"><Relationship Type="http://schemas.openxmlformats.org/officeDocument/2006/relationships/table" Target="/xl/tables/table38.xml" Id="R163ac54cab9442d6" /></Relationships>
</file>

<file path=xl/worksheets/_rels/sheet48.xml.rels>&#65279;<?xml version="1.0" encoding="utf-8"?><Relationships xmlns="http://schemas.openxmlformats.org/package/2006/relationships"><Relationship Type="http://schemas.openxmlformats.org/officeDocument/2006/relationships/table" Target="/xl/tables/table39.xml" Id="R5d29abd9b7094699" /></Relationships>
</file>

<file path=xl/worksheets/_rels/sheet49.xml.rels>&#65279;<?xml version="1.0" encoding="utf-8"?><Relationships xmlns="http://schemas.openxmlformats.org/package/2006/relationships"><Relationship Type="http://schemas.openxmlformats.org/officeDocument/2006/relationships/table" Target="/xl/tables/table40.xml" Id="Rd1c56867380649b5" /></Relationships>
</file>

<file path=xl/worksheets/_rels/sheet50.xml.rels>&#65279;<?xml version="1.0" encoding="utf-8"?><Relationships xmlns="http://schemas.openxmlformats.org/package/2006/relationships"><Relationship Type="http://schemas.openxmlformats.org/officeDocument/2006/relationships/table" Target="/xl/tables/table41.xml" Id="R1cbd0a39f32745e4" /><Relationship Type="http://schemas.openxmlformats.org/officeDocument/2006/relationships/table" Target="/xl/tables/table42.xml" Id="Rf9deb1b8f87c4d87" /></Relationships>
</file>

<file path=xl/worksheets/_rels/sheet51.xml.rels>&#65279;<?xml version="1.0" encoding="utf-8"?><Relationships xmlns="http://schemas.openxmlformats.org/package/2006/relationships"><Relationship Type="http://schemas.openxmlformats.org/officeDocument/2006/relationships/table" Target="/xl/tables/table43.xml" Id="R3e388f1ebf7849a6" /></Relationships>
</file>

<file path=xl/worksheets/_rels/sheet52.xml.rels>&#65279;<?xml version="1.0" encoding="utf-8"?><Relationships xmlns="http://schemas.openxmlformats.org/package/2006/relationships"><Relationship Type="http://schemas.openxmlformats.org/officeDocument/2006/relationships/table" Target="/xl/tables/table44.xml" Id="R332772ac0374416a" /></Relationships>
</file>

<file path=xl/worksheets/_rels/sheet53.xml.rels>&#65279;<?xml version="1.0" encoding="utf-8"?><Relationships xmlns="http://schemas.openxmlformats.org/package/2006/relationships"><Relationship Type="http://schemas.openxmlformats.org/officeDocument/2006/relationships/drawing" Target="/xl/drawings/drawing3.xml" Id="R89cc6b87e5f347e1" /><Relationship Type="http://schemas.openxmlformats.org/officeDocument/2006/relationships/table" Target="/xl/tables/table45.xml" Id="Rb3b8d4e35f19486e" /><Relationship Type="http://schemas.openxmlformats.org/officeDocument/2006/relationships/table" Target="/xl/tables/table46.xml" Id="R36bf50a3f4334e7c" /></Relationships>
</file>

<file path=xl/worksheets/_rels/sheet60.xml.rels>&#65279;<?xml version="1.0" encoding="utf-8"?><Relationships xmlns="http://schemas.openxmlformats.org/package/2006/relationships"><Relationship Type="http://schemas.openxmlformats.org/officeDocument/2006/relationships/drawing" Target="/xl/drawings/drawing4.xml" Id="R90a9ac2b02e74675" /></Relationships>
</file>

<file path=xl/worksheets/_rels/sheet61.xml.rels>&#65279;<?xml version="1.0" encoding="utf-8"?><Relationships xmlns="http://schemas.openxmlformats.org/package/2006/relationships"><Relationship Type="http://schemas.openxmlformats.org/officeDocument/2006/relationships/table" Target="/xl/tables/table47.xml" Id="R9206cea436e14821" /></Relationships>
</file>

<file path=xl/worksheets/_rels/sheet62.xml.rels>&#65279;<?xml version="1.0" encoding="utf-8"?><Relationships xmlns="http://schemas.openxmlformats.org/package/2006/relationships"><Relationship Type="http://schemas.openxmlformats.org/officeDocument/2006/relationships/table" Target="/xl/tables/table48.xml" Id="R78246b11a9b3479a" /></Relationships>
</file>

<file path=xl/worksheets/_rels/sheet63.xml.rels>&#65279;<?xml version="1.0" encoding="utf-8"?><Relationships xmlns="http://schemas.openxmlformats.org/package/2006/relationships"><Relationship Type="http://schemas.openxmlformats.org/officeDocument/2006/relationships/table" Target="/xl/tables/table49.xml" Id="R653eb8e0f8d4410c" /></Relationships>
</file>

<file path=xl/worksheets/_rels/sheet64.xml.rels>&#65279;<?xml version="1.0" encoding="utf-8"?><Relationships xmlns="http://schemas.openxmlformats.org/package/2006/relationships"><Relationship Type="http://schemas.openxmlformats.org/officeDocument/2006/relationships/table" Target="/xl/tables/table50.xml" Id="R781d83f2705e476a" /></Relationships>
</file>

<file path=xl/worksheets/_rels/sheet65.xml.rels>&#65279;<?xml version="1.0" encoding="utf-8"?><Relationships xmlns="http://schemas.openxmlformats.org/package/2006/relationships"><Relationship Type="http://schemas.openxmlformats.org/officeDocument/2006/relationships/table" Target="/xl/tables/table51.xml" Id="Rfed1edc971d545e5" /></Relationships>
</file>

<file path=xl/worksheets/_rels/sheet66.xml.rels>&#65279;<?xml version="1.0" encoding="utf-8"?><Relationships xmlns="http://schemas.openxmlformats.org/package/2006/relationships"><Relationship Type="http://schemas.openxmlformats.org/officeDocument/2006/relationships/table" Target="/xl/tables/table52.xml" Id="R35f6150e2a8d442b" /></Relationships>
</file>

<file path=xl/worksheets/_rels/sheet67.xml.rels>&#65279;<?xml version="1.0" encoding="utf-8"?><Relationships xmlns="http://schemas.openxmlformats.org/package/2006/relationships"><Relationship Type="http://schemas.openxmlformats.org/officeDocument/2006/relationships/table" Target="/xl/tables/table53.xml" Id="R220a12cd969e4314" /></Relationships>
</file>

<file path=xl/worksheets/_rels/sheet68.xml.rels>&#65279;<?xml version="1.0" encoding="utf-8"?><Relationships xmlns="http://schemas.openxmlformats.org/package/2006/relationships"><Relationship Type="http://schemas.openxmlformats.org/officeDocument/2006/relationships/drawing" Target="/xl/drawings/drawing5.xml" Id="R4b5b71e55467436d" /></Relationships>
</file>

<file path=xl/worksheets/_rels/sheet69.xml.rels>&#65279;<?xml version="1.0" encoding="utf-8"?><Relationships xmlns="http://schemas.openxmlformats.org/package/2006/relationships"><Relationship Type="http://schemas.openxmlformats.org/officeDocument/2006/relationships/table" Target="/xl/tables/table54.xml" Id="Rbbd44ab69faf459c" /></Relationships>
</file>

<file path=xl/worksheets/_rels/sheet70.xml.rels>&#65279;<?xml version="1.0" encoding="utf-8"?><Relationships xmlns="http://schemas.openxmlformats.org/package/2006/relationships"><Relationship Type="http://schemas.openxmlformats.org/officeDocument/2006/relationships/table" Target="/xl/tables/table55.xml" Id="R079b7730547c4fef" /></Relationships>
</file>

<file path=xl/worksheets/_rels/sheet71.xml.rels>&#65279;<?xml version="1.0" encoding="utf-8"?><Relationships xmlns="http://schemas.openxmlformats.org/package/2006/relationships"><Relationship Type="http://schemas.openxmlformats.org/officeDocument/2006/relationships/table" Target="/xl/tables/table56.xml" Id="Rdf5feaad3527483b" /></Relationships>
</file>

<file path=xl/worksheets/_rels/sheet72.xml.rels>&#65279;<?xml version="1.0" encoding="utf-8"?><Relationships xmlns="http://schemas.openxmlformats.org/package/2006/relationships"><Relationship Type="http://schemas.openxmlformats.org/officeDocument/2006/relationships/table" Target="/xl/tables/table57.xml" Id="Raa6cd8e7da4d4dc0" /></Relationships>
</file>

<file path=xl/worksheets/_rels/sheet73.xml.rels>&#65279;<?xml version="1.0" encoding="utf-8"?><Relationships xmlns="http://schemas.openxmlformats.org/package/2006/relationships"><Relationship Type="http://schemas.openxmlformats.org/officeDocument/2006/relationships/table" Target="/xl/tables/table58.xml" Id="R64dee6e010aa4904" /></Relationships>
</file>

<file path=xl/worksheets/_rels/sheet74.xml.rels>&#65279;<?xml version="1.0" encoding="utf-8"?><Relationships xmlns="http://schemas.openxmlformats.org/package/2006/relationships"><Relationship Type="http://schemas.openxmlformats.org/officeDocument/2006/relationships/table" Target="/xl/tables/table59.xml" Id="Rd587ca4bc8594c71" /></Relationships>
</file>

<file path=xl/worksheets/_rels/sheet76.xml.rels>&#65279;<?xml version="1.0" encoding="utf-8"?><Relationships xmlns="http://schemas.openxmlformats.org/package/2006/relationships"><Relationship Type="http://schemas.openxmlformats.org/officeDocument/2006/relationships/table" Target="/xl/tables/table60.xml" Id="Rd338ce2df6ef45c6" /></Relationships>
</file>

<file path=xl/worksheets/_rels/sheet77.xml.rels>&#65279;<?xml version="1.0" encoding="utf-8"?><Relationships xmlns="http://schemas.openxmlformats.org/package/2006/relationships"><Relationship Type="http://schemas.openxmlformats.org/officeDocument/2006/relationships/table" Target="/xl/tables/table61.xml" Id="R11ff1e4463114166" /></Relationships>
</file>

<file path=xl/worksheets/_rels/sheet78.xml.rels>&#65279;<?xml version="1.0" encoding="utf-8"?><Relationships xmlns="http://schemas.openxmlformats.org/package/2006/relationships"><Relationship Type="http://schemas.openxmlformats.org/officeDocument/2006/relationships/table" Target="/xl/tables/table62.xml" Id="Ra570595392294f6d" /></Relationships>
</file>

<file path=xl/worksheets/_rels/sheet79.xml.rels>&#65279;<?xml version="1.0" encoding="utf-8"?><Relationships xmlns="http://schemas.openxmlformats.org/package/2006/relationships"><Relationship Type="http://schemas.openxmlformats.org/officeDocument/2006/relationships/table" Target="/xl/tables/table63.xml" Id="R4522ddfb808f436b" /></Relationships>
</file>

<file path=xl/worksheets/_rels/sheet80.xml.rels>&#65279;<?xml version="1.0" encoding="utf-8"?><Relationships xmlns="http://schemas.openxmlformats.org/package/2006/relationships"><Relationship Type="http://schemas.openxmlformats.org/officeDocument/2006/relationships/table" Target="/xl/tables/table64.xml" Id="Rcf0eaf9cb8ee45eb" /></Relationships>
</file>

<file path=xl/worksheets/_rels/sheet81.xml.rels>&#65279;<?xml version="1.0" encoding="utf-8"?><Relationships xmlns="http://schemas.openxmlformats.org/package/2006/relationships"><Relationship Type="http://schemas.openxmlformats.org/officeDocument/2006/relationships/table" Target="/xl/tables/table65.xml" Id="Rfcb5d29bf6ae474c" /></Relationships>
</file>

<file path=xl/worksheets/_rels/sheet82.xml.rels>&#65279;<?xml version="1.0" encoding="utf-8"?><Relationships xmlns="http://schemas.openxmlformats.org/package/2006/relationships"><Relationship Type="http://schemas.openxmlformats.org/officeDocument/2006/relationships/table" Target="/xl/tables/table66.xml" Id="Rc04389c90ccc4a58" /></Relationships>
</file>

<file path=xl/worksheets/_rels/sheet83.xml.rels>&#65279;<?xml version="1.0" encoding="utf-8"?><Relationships xmlns="http://schemas.openxmlformats.org/package/2006/relationships"><Relationship Type="http://schemas.openxmlformats.org/officeDocument/2006/relationships/table" Target="/xl/tables/table67.xml" Id="Rfaf306b6b4884bd8" /></Relationships>
</file>

<file path=xl/worksheets/_rels/sheet84.xml.rels>&#65279;<?xml version="1.0" encoding="utf-8"?><Relationships xmlns="http://schemas.openxmlformats.org/package/2006/relationships"><Relationship Type="http://schemas.openxmlformats.org/officeDocument/2006/relationships/table" Target="/xl/tables/table68.xml" Id="Rbca2659ef4e64798" /></Relationships>
</file>

<file path=xl/worksheets/_rels/sheet85.xml.rels>&#65279;<?xml version="1.0" encoding="utf-8"?><Relationships xmlns="http://schemas.openxmlformats.org/package/2006/relationships"><Relationship Type="http://schemas.openxmlformats.org/officeDocument/2006/relationships/table" Target="/xl/tables/table69.xml" Id="R1a2778c3fdd84f85" /></Relationships>
</file>

<file path=xl/worksheets/_rels/sheet86.xml.rels>&#65279;<?xml version="1.0" encoding="utf-8"?><Relationships xmlns="http://schemas.openxmlformats.org/package/2006/relationships"><Relationship Type="http://schemas.openxmlformats.org/officeDocument/2006/relationships/table" Target="/xl/tables/table70.xml" Id="R18390c0678a14d17" /></Relationships>
</file>

<file path=xl/worksheets/_rels/sheet87.xml.rels>&#65279;<?xml version="1.0" encoding="utf-8"?><Relationships xmlns="http://schemas.openxmlformats.org/package/2006/relationships"><Relationship Type="http://schemas.openxmlformats.org/officeDocument/2006/relationships/drawing" Target="/xl/drawings/drawing6.xml" Id="R66791c3a9aba44f2" /></Relationships>
</file>

<file path=xl/worksheets/_rels/sheet88.xml.rels>&#65279;<?xml version="1.0" encoding="utf-8"?><Relationships xmlns="http://schemas.openxmlformats.org/package/2006/relationships"><Relationship Type="http://schemas.openxmlformats.org/officeDocument/2006/relationships/table" Target="/xl/tables/table71.xml" Id="Rb05b4efa98694315" /></Relationships>
</file>

<file path=xl/worksheets/_rels/sheet89.xml.rels>&#65279;<?xml version="1.0" encoding="utf-8"?><Relationships xmlns="http://schemas.openxmlformats.org/package/2006/relationships"><Relationship Type="http://schemas.openxmlformats.org/officeDocument/2006/relationships/table" Target="/xl/tables/table72.xml" Id="Re2a9d79bab124169" /></Relationships>
</file>

<file path=xl/worksheets/_rels/sheet90.xml.rels>&#65279;<?xml version="1.0" encoding="utf-8"?><Relationships xmlns="http://schemas.openxmlformats.org/package/2006/relationships"><Relationship Type="http://schemas.openxmlformats.org/officeDocument/2006/relationships/table" Target="/xl/tables/table73.xml" Id="Rc63141ebd1874b2a" /></Relationships>
</file>

<file path=xl/worksheets/_rels/sheet91.xml.rels>&#65279;<?xml version="1.0" encoding="utf-8"?><Relationships xmlns="http://schemas.openxmlformats.org/package/2006/relationships"><Relationship Type="http://schemas.openxmlformats.org/officeDocument/2006/relationships/table" Target="/xl/tables/table74.xml" Id="Rb59cc3b9cf8f4c5d" /></Relationships>
</file>

<file path=xl/worksheets/_rels/sheet92.xml.rels>&#65279;<?xml version="1.0" encoding="utf-8"?><Relationships xmlns="http://schemas.openxmlformats.org/package/2006/relationships"><Relationship Type="http://schemas.openxmlformats.org/officeDocument/2006/relationships/table" Target="/xl/tables/table75.xml" Id="Rda79ceca6f49469e" /></Relationships>
</file>

<file path=xl/worksheets/_rels/sheet93.xml.rels>&#65279;<?xml version="1.0" encoding="utf-8"?><Relationships xmlns="http://schemas.openxmlformats.org/package/2006/relationships"><Relationship Type="http://schemas.openxmlformats.org/officeDocument/2006/relationships/table" Target="/xl/tables/table76.xml" Id="R48802f6d1d724fcc" /></Relationships>
</file>

<file path=xl/worksheets/_rels/sheet94.xml.rels>&#65279;<?xml version="1.0" encoding="utf-8"?><Relationships xmlns="http://schemas.openxmlformats.org/package/2006/relationships"><Relationship Type="http://schemas.openxmlformats.org/officeDocument/2006/relationships/table" Target="/xl/tables/table77.xml" Id="R16de7208cfbb4ce4" /></Relationships>
</file>

<file path=xl/worksheets/_rels/sheet95.xml.rels>&#65279;<?xml version="1.0" encoding="utf-8"?><Relationships xmlns="http://schemas.openxmlformats.org/package/2006/relationships"><Relationship Type="http://schemas.openxmlformats.org/officeDocument/2006/relationships/table" Target="/xl/tables/table78.xml" Id="Rf021ef1c243948b4" /></Relationships>
</file>

<file path=xl/worksheets/_rels/sheet96.xml.rels>&#65279;<?xml version="1.0" encoding="utf-8"?><Relationships xmlns="http://schemas.openxmlformats.org/package/2006/relationships"><Relationship Type="http://schemas.openxmlformats.org/officeDocument/2006/relationships/table" Target="/xl/tables/table79.xml" Id="R4418de6958f044c1" /></Relationships>
</file>

<file path=xl/worksheets/_rels/sheet97.xml.rels>&#65279;<?xml version="1.0" encoding="utf-8"?><Relationships xmlns="http://schemas.openxmlformats.org/package/2006/relationships"><Relationship Type="http://schemas.openxmlformats.org/officeDocument/2006/relationships/table" Target="/xl/tables/table80.xml" Id="R46d98265d2664816" /></Relationships>
</file>

<file path=xl/worksheets/_rels/sheet98.xml.rels>&#65279;<?xml version="1.0" encoding="utf-8"?><Relationships xmlns="http://schemas.openxmlformats.org/package/2006/relationships"><Relationship Type="http://schemas.openxmlformats.org/officeDocument/2006/relationships/table" Target="/xl/tables/table81.xml" Id="R5daf6a62cb3040bf" /></Relationships>
</file>

<file path=xl/worksheets/_rels/sheet99.xml.rels>&#65279;<?xml version="1.0" encoding="utf-8"?><Relationships xmlns="http://schemas.openxmlformats.org/package/2006/relationships"><Relationship Type="http://schemas.openxmlformats.org/officeDocument/2006/relationships/table" Target="/xl/tables/table82.xml" Id="Rc0410ebda5c7447f" /></Relationships>
</file>

<file path=xl/worksheets/_rels/sheet100.xml.rels>&#65279;<?xml version="1.0" encoding="utf-8"?><Relationships xmlns="http://schemas.openxmlformats.org/package/2006/relationships"><Relationship Type="http://schemas.openxmlformats.org/officeDocument/2006/relationships/table" Target="/xl/tables/table83.xml" Id="Raf9aa122289547fa" /></Relationships>
</file>

<file path=xl/worksheets/_rels/sheet101.xml.rels>&#65279;<?xml version="1.0" encoding="utf-8"?><Relationships xmlns="http://schemas.openxmlformats.org/package/2006/relationships"><Relationship Type="http://schemas.openxmlformats.org/officeDocument/2006/relationships/table" Target="/xl/tables/table84.xml" Id="Rbb39a366fb854072" /></Relationships>
</file>

<file path=xl/worksheets/_rels/sheet102.xml.rels>&#65279;<?xml version="1.0" encoding="utf-8"?><Relationships xmlns="http://schemas.openxmlformats.org/package/2006/relationships"><Relationship Type="http://schemas.openxmlformats.org/officeDocument/2006/relationships/drawing" Target="/xl/drawings/drawing7.xml" Id="R1479a04476034cc5" /></Relationships>
</file>

<file path=xl/worksheets/_rels/sheet103.xml.rels>&#65279;<?xml version="1.0" encoding="utf-8"?><Relationships xmlns="http://schemas.openxmlformats.org/package/2006/relationships"><Relationship Type="http://schemas.openxmlformats.org/officeDocument/2006/relationships/table" Target="/xl/tables/table85.xml" Id="R3b024826a11c4f98" /></Relationships>
</file>

<file path=xl/worksheets/_rels/sheet104.xml.rels>&#65279;<?xml version="1.0" encoding="utf-8"?><Relationships xmlns="http://schemas.openxmlformats.org/package/2006/relationships"><Relationship Type="http://schemas.openxmlformats.org/officeDocument/2006/relationships/table" Target="/xl/tables/table86.xml" Id="Rfda3802a40464115" /></Relationships>
</file>

<file path=xl/worksheets/_rels/sheet105.xml.rels>&#65279;<?xml version="1.0" encoding="utf-8"?><Relationships xmlns="http://schemas.openxmlformats.org/package/2006/relationships"><Relationship Type="http://schemas.openxmlformats.org/officeDocument/2006/relationships/table" Target="/xl/tables/table87.xml" Id="Rf127f08cf21c41ca" /></Relationships>
</file>

<file path=xl/worksheets/_rels/sheet106.xml.rels>&#65279;<?xml version="1.0" encoding="utf-8"?><Relationships xmlns="http://schemas.openxmlformats.org/package/2006/relationships"><Relationship Type="http://schemas.openxmlformats.org/officeDocument/2006/relationships/table" Target="/xl/tables/table88.xml" Id="Rcca737ca7a884281" /></Relationships>
</file>

<file path=xl/worksheets/_rels/sheet107.xml.rels>&#65279;<?xml version="1.0" encoding="utf-8"?><Relationships xmlns="http://schemas.openxmlformats.org/package/2006/relationships"><Relationship Type="http://schemas.openxmlformats.org/officeDocument/2006/relationships/table" Target="/xl/tables/table89.xml" Id="Rf61118d131464d63" /></Relationships>
</file>

<file path=xl/worksheets/_rels/sheet108.xml.rels>&#65279;<?xml version="1.0" encoding="utf-8"?><Relationships xmlns="http://schemas.openxmlformats.org/package/2006/relationships"><Relationship Type="http://schemas.openxmlformats.org/officeDocument/2006/relationships/table" Target="/xl/tables/table90.xml" Id="R2578ed3e721d4578" /></Relationships>
</file>

<file path=xl/worksheets/_rels/sheet109.xml.rels>&#65279;<?xml version="1.0" encoding="utf-8"?><Relationships xmlns="http://schemas.openxmlformats.org/package/2006/relationships"><Relationship Type="http://schemas.openxmlformats.org/officeDocument/2006/relationships/table" Target="/xl/tables/table91.xml" Id="Raede0346e7bc40fa" /></Relationships>
</file>

<file path=xl/worksheets/_rels/sheet110.xml.rels>&#65279;<?xml version="1.0" encoding="utf-8"?><Relationships xmlns="http://schemas.openxmlformats.org/package/2006/relationships"><Relationship Type="http://schemas.openxmlformats.org/officeDocument/2006/relationships/table" Target="/xl/tables/table92.xml" Id="R114bbe58f84d444b" /></Relationships>
</file>

<file path=xl/worksheets/_rels/sheet111.xml.rels>&#65279;<?xml version="1.0" encoding="utf-8"?><Relationships xmlns="http://schemas.openxmlformats.org/package/2006/relationships"><Relationship Type="http://schemas.openxmlformats.org/officeDocument/2006/relationships/table" Target="/xl/tables/table93.xml" Id="Ra0d3a02635d04c4a" /></Relationships>
</file>

<file path=xl/worksheets/_rels/sheet112.xml.rels>&#65279;<?xml version="1.0" encoding="utf-8"?><Relationships xmlns="http://schemas.openxmlformats.org/package/2006/relationships"><Relationship Type="http://schemas.openxmlformats.org/officeDocument/2006/relationships/table" Target="/xl/tables/table94.xml" Id="Re159bf4540414dc1" /></Relationships>
</file>

<file path=xl/worksheets/_rels/sheet113.xml.rels>&#65279;<?xml version="1.0" encoding="utf-8"?><Relationships xmlns="http://schemas.openxmlformats.org/package/2006/relationships"><Relationship Type="http://schemas.openxmlformats.org/officeDocument/2006/relationships/table" Target="/xl/tables/table95.xml" Id="R510d604d16234b84" /></Relationships>
</file>

<file path=xl/worksheets/_rels/sheet114.xml.rels>&#65279;<?xml version="1.0" encoding="utf-8"?><Relationships xmlns="http://schemas.openxmlformats.org/package/2006/relationships"><Relationship Type="http://schemas.openxmlformats.org/officeDocument/2006/relationships/table" Target="/xl/tables/table96.xml" Id="R9bb6cbcfa4d44297" /></Relationships>
</file>

<file path=xl/worksheets/_rels/sheet115.xml.rels>&#65279;<?xml version="1.0" encoding="utf-8"?><Relationships xmlns="http://schemas.openxmlformats.org/package/2006/relationships"><Relationship Type="http://schemas.openxmlformats.org/officeDocument/2006/relationships/table" Target="/xl/tables/table97.xml" Id="R6790e11b5a024885" /></Relationships>
</file>

<file path=xl/worksheets/_rels/sheet116.xml.rels>&#65279;<?xml version="1.0" encoding="utf-8"?><Relationships xmlns="http://schemas.openxmlformats.org/package/2006/relationships"><Relationship Type="http://schemas.openxmlformats.org/officeDocument/2006/relationships/table" Target="/xl/tables/table98.xml" Id="R45216f9f81f14a4d" /></Relationships>
</file>

<file path=xl/worksheets/_rels/sheet117.xml.rels>&#65279;<?xml version="1.0" encoding="utf-8"?><Relationships xmlns="http://schemas.openxmlformats.org/package/2006/relationships"><Relationship Type="http://schemas.openxmlformats.org/officeDocument/2006/relationships/drawing" Target="/xl/drawings/drawing8.xml" Id="R44d9efc2512a4167" /></Relationships>
</file>

<file path=xl/worksheets/_rels/sheet118.xml.rels>&#65279;<?xml version="1.0" encoding="utf-8"?><Relationships xmlns="http://schemas.openxmlformats.org/package/2006/relationships"><Relationship Type="http://schemas.openxmlformats.org/officeDocument/2006/relationships/table" Target="/xl/tables/table99.xml" Id="R3b1a60433cd04d21" /></Relationships>
</file>

<file path=xl/worksheets/_rels/sheet119.xml.rels>&#65279;<?xml version="1.0" encoding="utf-8"?><Relationships xmlns="http://schemas.openxmlformats.org/package/2006/relationships"><Relationship Type="http://schemas.openxmlformats.org/officeDocument/2006/relationships/table" Target="/xl/tables/table100.xml" Id="Rff3058e75f034049" /></Relationships>
</file>

<file path=xl/worksheets/_rels/sheet120.xml.rels>&#65279;<?xml version="1.0" encoding="utf-8"?><Relationships xmlns="http://schemas.openxmlformats.org/package/2006/relationships"><Relationship Type="http://schemas.openxmlformats.org/officeDocument/2006/relationships/table" Target="/xl/tables/table101.xml" Id="R478d0cb9493d49c4" /></Relationships>
</file>

<file path=xl/worksheets/_rels/sheet121.xml.rels>&#65279;<?xml version="1.0" encoding="utf-8"?><Relationships xmlns="http://schemas.openxmlformats.org/package/2006/relationships"><Relationship Type="http://schemas.openxmlformats.org/officeDocument/2006/relationships/table" Target="/xl/tables/table102.xml" Id="R23fd0ae2d4bb413e" /></Relationships>
</file>

<file path=xl/worksheets/_rels/sheet122.xml.rels>&#65279;<?xml version="1.0" encoding="utf-8"?><Relationships xmlns="http://schemas.openxmlformats.org/package/2006/relationships"><Relationship Type="http://schemas.openxmlformats.org/officeDocument/2006/relationships/table" Target="/xl/tables/table103.xml" Id="R8ef8c34d97dd4b82" /></Relationships>
</file>

<file path=xl/worksheets/_rels/sheet123.xml.rels>&#65279;<?xml version="1.0" encoding="utf-8"?><Relationships xmlns="http://schemas.openxmlformats.org/package/2006/relationships"><Relationship Type="http://schemas.openxmlformats.org/officeDocument/2006/relationships/table" Target="/xl/tables/table104.xml" Id="Rae32446bb27943a1" /></Relationships>
</file>

<file path=xl/worksheets/_rels/sheet124.xml.rels>&#65279;<?xml version="1.0" encoding="utf-8"?><Relationships xmlns="http://schemas.openxmlformats.org/package/2006/relationships"><Relationship Type="http://schemas.openxmlformats.org/officeDocument/2006/relationships/table" Target="/xl/tables/table105.xml" Id="Rc8af1b839e8a454a" /></Relationships>
</file>

<file path=xl/worksheets/_rels/sheet125.xml.rels>&#65279;<?xml version="1.0" encoding="utf-8"?><Relationships xmlns="http://schemas.openxmlformats.org/package/2006/relationships"><Relationship Type="http://schemas.openxmlformats.org/officeDocument/2006/relationships/table" Target="/xl/tables/table106.xml" Id="R8448730cf5ae4094" /></Relationships>
</file>

<file path=xl/worksheets/_rels/sheet126.xml.rels>&#65279;<?xml version="1.0" encoding="utf-8"?><Relationships xmlns="http://schemas.openxmlformats.org/package/2006/relationships"><Relationship Type="http://schemas.openxmlformats.org/officeDocument/2006/relationships/table" Target="/xl/tables/table107.xml" Id="Rdb9fada6436c43be" /></Relationships>
</file>

<file path=xl/worksheets/_rels/sheet127.xml.rels>&#65279;<?xml version="1.0" encoding="utf-8"?><Relationships xmlns="http://schemas.openxmlformats.org/package/2006/relationships"><Relationship Type="http://schemas.openxmlformats.org/officeDocument/2006/relationships/table" Target="/xl/tables/table108.xml" Id="Rb7529af6900a41d1" /></Relationships>
</file>

<file path=xl/worksheets/_rels/sheet128.xml.rels>&#65279;<?xml version="1.0" encoding="utf-8"?><Relationships xmlns="http://schemas.openxmlformats.org/package/2006/relationships"><Relationship Type="http://schemas.openxmlformats.org/officeDocument/2006/relationships/table" Target="/xl/tables/table109.xml" Id="R24abfc5b836640f9" /></Relationships>
</file>

<file path=xl/worksheets/_rels/sheet129.xml.rels>&#65279;<?xml version="1.0" encoding="utf-8"?><Relationships xmlns="http://schemas.openxmlformats.org/package/2006/relationships"><Relationship Type="http://schemas.openxmlformats.org/officeDocument/2006/relationships/table" Target="/xl/tables/table110.xml" Id="R94bb03a4a7e4437e" /></Relationships>
</file>

<file path=xl/worksheets/_rels/sheet130.xml.rels>&#65279;<?xml version="1.0" encoding="utf-8"?><Relationships xmlns="http://schemas.openxmlformats.org/package/2006/relationships"><Relationship Type="http://schemas.openxmlformats.org/officeDocument/2006/relationships/drawing" Target="/xl/drawings/drawing9.xml" Id="R3a1fb05fa3f9419f" /></Relationships>
</file>

<file path=xl/worksheets/_rels/sheet131.xml.rels>&#65279;<?xml version="1.0" encoding="utf-8"?><Relationships xmlns="http://schemas.openxmlformats.org/package/2006/relationships"><Relationship Type="http://schemas.openxmlformats.org/officeDocument/2006/relationships/table" Target="/xl/tables/table111.xml" Id="R82ed35a7a00e4a82" /></Relationships>
</file>

<file path=xl/worksheets/_rels/sheet132.xml.rels>&#65279;<?xml version="1.0" encoding="utf-8"?><Relationships xmlns="http://schemas.openxmlformats.org/package/2006/relationships"><Relationship Type="http://schemas.openxmlformats.org/officeDocument/2006/relationships/table" Target="/xl/tables/table112.xml" Id="Rd88c2503925f4d29" /></Relationships>
</file>

<file path=xl/worksheets/_rels/sheet133.xml.rels>&#65279;<?xml version="1.0" encoding="utf-8"?><Relationships xmlns="http://schemas.openxmlformats.org/package/2006/relationships"><Relationship Type="http://schemas.openxmlformats.org/officeDocument/2006/relationships/table" Target="/xl/tables/table113.xml" Id="R77e9c9f6c62b4581" /></Relationships>
</file>

<file path=xl/worksheets/_rels/sheet134.xml.rels>&#65279;<?xml version="1.0" encoding="utf-8"?><Relationships xmlns="http://schemas.openxmlformats.org/package/2006/relationships"><Relationship Type="http://schemas.openxmlformats.org/officeDocument/2006/relationships/table" Target="/xl/tables/table114.xml" Id="R9b6d692f5ee54e24" /></Relationships>
</file>

<file path=xl/worksheets/_rels/sheet135.xml.rels>&#65279;<?xml version="1.0" encoding="utf-8"?><Relationships xmlns="http://schemas.openxmlformats.org/package/2006/relationships"><Relationship Type="http://schemas.openxmlformats.org/officeDocument/2006/relationships/table" Target="/xl/tables/table115.xml" Id="R522070ec9daf4fb5" /></Relationships>
</file>

<file path=xl/worksheets/_rels/sheet136.xml.rels>&#65279;<?xml version="1.0" encoding="utf-8"?><Relationships xmlns="http://schemas.openxmlformats.org/package/2006/relationships"><Relationship Type="http://schemas.openxmlformats.org/officeDocument/2006/relationships/table" Target="/xl/tables/table116.xml" Id="R604c61211e934cb2" /></Relationships>
</file>

<file path=xl/worksheets/_rels/sheet137.xml.rels>&#65279;<?xml version="1.0" encoding="utf-8"?><Relationships xmlns="http://schemas.openxmlformats.org/package/2006/relationships"><Relationship Type="http://schemas.openxmlformats.org/officeDocument/2006/relationships/table" Target="/xl/tables/table117.xml" Id="Ra1c7ab25740a4c03" /></Relationships>
</file>

<file path=xl/worksheets/_rels/sheet138.xml.rels>&#65279;<?xml version="1.0" encoding="utf-8"?><Relationships xmlns="http://schemas.openxmlformats.org/package/2006/relationships"><Relationship Type="http://schemas.openxmlformats.org/officeDocument/2006/relationships/table" Target="/xl/tables/table118.xml" Id="R1c930cd650064fdc" /></Relationships>
</file>

<file path=xl/worksheets/_rels/sheet139.xml.rels>&#65279;<?xml version="1.0" encoding="utf-8"?><Relationships xmlns="http://schemas.openxmlformats.org/package/2006/relationships"><Relationship Type="http://schemas.openxmlformats.org/officeDocument/2006/relationships/table" Target="/xl/tables/table119.xml" Id="R1a55c8465ce24b18" /></Relationships>
</file>

<file path=xl/worksheets/_rels/sheet140.xml.rels>&#65279;<?xml version="1.0" encoding="utf-8"?><Relationships xmlns="http://schemas.openxmlformats.org/package/2006/relationships"><Relationship Type="http://schemas.openxmlformats.org/officeDocument/2006/relationships/table" Target="/xl/tables/table120.xml" Id="Rad92069c80ae4778" /></Relationships>
</file>

<file path=xl/worksheets/_rels/sheet141.xml.rels>&#65279;<?xml version="1.0" encoding="utf-8"?><Relationships xmlns="http://schemas.openxmlformats.org/package/2006/relationships"><Relationship Type="http://schemas.openxmlformats.org/officeDocument/2006/relationships/table" Target="/xl/tables/table121.xml" Id="Rbcf1efc870b946da" /></Relationships>
</file>

<file path=xl/worksheets/_rels/sheet142.xml.rels>&#65279;<?xml version="1.0" encoding="utf-8"?><Relationships xmlns="http://schemas.openxmlformats.org/package/2006/relationships"><Relationship Type="http://schemas.openxmlformats.org/officeDocument/2006/relationships/table" Target="/xl/tables/table122.xml" Id="R3fd99e58662c43c0" /></Relationships>
</file>

<file path=xl/worksheets/_rels/sheet143.xml.rels>&#65279;<?xml version="1.0" encoding="utf-8"?><Relationships xmlns="http://schemas.openxmlformats.org/package/2006/relationships"><Relationship Type="http://schemas.openxmlformats.org/officeDocument/2006/relationships/table" Target="/xl/tables/table123.xml" Id="Rd3a31706b7864466" /></Relationships>
</file>

<file path=xl/worksheets/_rels/sheet144.xml.rels>&#65279;<?xml version="1.0" encoding="utf-8"?><Relationships xmlns="http://schemas.openxmlformats.org/package/2006/relationships"><Relationship Type="http://schemas.openxmlformats.org/officeDocument/2006/relationships/table" Target="/xl/tables/table124.xml" Id="Rad7d470fad64454e" /></Relationships>
</file>

<file path=xl/worksheets/_rels/sheet145.xml.rels>&#65279;<?xml version="1.0" encoding="utf-8"?><Relationships xmlns="http://schemas.openxmlformats.org/package/2006/relationships"><Relationship Type="http://schemas.openxmlformats.org/officeDocument/2006/relationships/drawing" Target="/xl/drawings/drawing10.xml" Id="Rc4ef00ffa8d543f9" /></Relationships>
</file>

<file path=xl/worksheets/sheet1.xml><?xml version="1.0" encoding="utf-8"?>
<x:worksheet xmlns:x="http://schemas.openxmlformats.org/spreadsheetml/2006/main">
  <x:sheetFormatPr defaultRowHeight="15"/>
  <x:cols>
    <x:col min="1" max="1" width="26" hidden="0" customWidth="1"/>
    <x:col min="2" max="2" width="26" hidden="0" customWidth="1"/>
    <x:col min="4" max="4" width="26" hidden="0" customWidth="1"/>
    <x:col min="5" max="5" width="26" hidden="0" customWidth="1"/>
    <x:col min="6" max="6" width="18" hidden="0" customWidth="1"/>
    <x:col min="7" max="7" width="18" hidden="0" customWidth="1"/>
    <x:col min="8" max="8" width="18" hidden="0" customWidth="1"/>
    <x:col min="3" max="3" width="26" hidden="0" customWidth="1"/>
  </x:cols>
  <x:sheetData>
    <x:row r="1" ht="27" customHeight="1">
      <x:c r="A1" s="658" t="str">
        <x:v>BMXMuseum Public Knowledge Discovery Register — v1.8 Public Release Schema and Recovery</x:v>
      </x:c>
      <x:c r="B1" s="658"/>
      <x:c r="C1" s="658"/>
      <x:c r="D1" s="658"/>
      <x:c r="E1" s="658"/>
      <x:c r="F1" s="643"/>
      <x:c r="G1" s="643"/>
      <x:c r="H1" s="643"/>
      <x:c r="I1" s="182"/>
      <x:c r="J1" s="182"/>
      <x:c r="K1" s="182"/>
      <x:c r="L1" s="182"/>
      <x:c r="M1" s="182"/>
      <x:c r="N1" s="182"/>
    </x:row>
    <x:row r="2" ht="36" customHeight="1">
      <x:c r="A2" s="268" t="str">
        <x:v>Lititz BMX | INDEX BROADLY. REPUBLISH NARROWLY. PRESERVE PROVENANCE ALWAYS.</x:v>
      </x:c>
      <x:c r="B2" s="268"/>
      <x:c r="C2" s="268"/>
      <x:c r="D2" s="268"/>
      <x:c r="E2" s="268"/>
      <x:c r="F2" s="30"/>
      <x:c r="G2" s="30"/>
      <x:c r="H2" s="30"/>
    </x:row>
    <x:row r="3">
      <x:c r="A3" s="31"/>
      <x:c r="B3" s="31"/>
      <x:c r="C3" s="31"/>
      <x:c r="D3" s="31"/>
      <x:c r="E3" s="31"/>
      <x:c r="F3" s="31"/>
      <x:c r="G3" s="31"/>
      <x:c r="H3" s="31"/>
    </x:row>
    <x:row r="4" ht="36" customHeight="1">
      <x:c r="A4" s="236" t="str">
        <x:v>Knowledge Object</x:v>
      </x:c>
      <x:c r="B4" s="236" t="str">
        <x:v>Count</x:v>
      </x:c>
      <x:c r="C4" s="236"/>
      <x:c r="D4" s="236" t="str">
        <x:v>Current determination</x:v>
      </x:c>
      <x:c r="E4" s="236" t="str">
        <x:v>Status</x:v>
      </x:c>
      <x:c r="F4" s="32"/>
      <x:c r="G4" s="32"/>
      <x:c r="H4" s="32"/>
    </x:row>
    <x:row r="5" ht="36" customHeight="1">
      <x:c r="A5" s="313" t="str">
        <x:v>Exact bike records</x:v>
      </x:c>
      <x:c r="B5" s="325" t="n">
        <x:f>COUNTA('Exact Records'!A5:A1000)</x:f>
        <x:v>38</x:v>
      </x:c>
      <x:c r="C5" s="250"/>
      <x:c r="D5" s="315" t="str">
        <x:v>Direct automated access</x:v>
      </x:c>
      <x:c r="E5" s="251" t="str">
        <x:v>Not used; blocked BMXMuseum paths were not bypassed.</x:v>
      </x:c>
      <x:c r="F5" s="34"/>
      <x:c r="G5" s="34"/>
      <x:c r="H5" s="34"/>
    </x:row>
    <x:row r="6" ht="36" customHeight="1">
      <x:c r="A6" s="339" t="str">
        <x:v>Titled bike leads</x:v>
      </x:c>
      <x:c r="B6" s="340" t="n">
        <x:f>COUNTA('Titled Leads'!A5:A1000)</x:f>
        <x:v>57</x:v>
      </x:c>
      <x:c r="C6" s="335"/>
      <x:c r="D6" s="341" t="str">
        <x:v>Permitted pilot route</x:v>
      </x:c>
      <x:c r="E6" s="336" t="str">
        <x:v>Public indexing, first-party sources, public backlinks and independent corroboration.</x:v>
      </x:c>
      <x:c r="F6" s="34"/>
      <x:c r="G6" s="34"/>
      <x:c r="H6" s="34"/>
    </x:row>
    <x:row r="7" ht="36" customHeight="1">
      <x:c r="A7" s="313" t="str">
        <x:v>Verification claims</x:v>
      </x:c>
      <x:c r="B7" s="325" t="n">
        <x:f>COUNTA('Verification Log'!A5:A1000)</x:f>
        <x:v>9</x:v>
      </x:c>
      <x:c r="C7" s="250"/>
      <x:c r="D7" s="315" t="str">
        <x:v>Count correction</x:v>
      </x:c>
      <x:c r="E7" s="251" t="str">
        <x:v>Counts exclude titles, subtitles and headers.</x:v>
      </x:c>
      <x:c r="F7" s="34"/>
      <x:c r="G7" s="34"/>
      <x:c r="H7" s="34"/>
    </x:row>
    <x:row r="8" ht="36" customHeight="1">
      <x:c r="A8" s="339" t="str">
        <x:v>People &amp; riders</x:v>
      </x:c>
      <x:c r="B8" s="340" t="n">
        <x:f>COUNTA('People &amp; Riders'!A5:A1000)</x:f>
        <x:v>6</x:v>
      </x:c>
      <x:c r="C8" s="335"/>
      <x:c r="D8" s="341" t="str">
        <x:v>People/results/tracks</x:v>
      </x:c>
      <x:c r="E8" s="336" t="str">
        <x:v>First-class objects with separate evidence and confidence.</x:v>
      </x:c>
      <x:c r="F8" s="34"/>
      <x:c r="G8" s="34"/>
      <x:c r="H8" s="34"/>
    </x:row>
    <x:row r="9" ht="36" customHeight="1">
      <x:c r="A9" s="313" t="str">
        <x:v>Records &amp; results</x:v>
      </x:c>
      <x:c r="B9" s="325" t="n">
        <x:f>COUNTA('Records &amp; Results'!A5:A1000)</x:f>
        <x:v>6</x:v>
      </x:c>
      <x:c r="C9" s="250"/>
      <x:c r="D9" s="315" t="str">
        <x:v>Brands</x:v>
      </x:c>
      <x:c r="E9" s="251" t="str">
        <x:v>Discovery hubs, not automatic proof of corporate history or factory specification.</x:v>
      </x:c>
      <x:c r="F9" s="34"/>
      <x:c r="G9" s="34"/>
      <x:c r="H9" s="34"/>
    </x:row>
    <x:row r="10" ht="36" customHeight="1">
      <x:c r="A10" s="340" t="str">
        <x:v>Tracks &amp; venues</x:v>
      </x:c>
      <x:c r="B10" s="340" t="n">
        <x:f>COUNTA('Tracks &amp; Venues'!A5:A1000)</x:f>
        <x:v>6</x:v>
      </x:c>
      <x:c r="C10" s="335"/>
      <x:c r="D10" s="342" t="str">
        <x:v>Advertisements/catalogs</x:v>
      </x:c>
      <x:c r="E10" s="336" t="str">
        <x:v>Indexed as bibliographic evidence; scans are not copied.</x:v>
      </x:c>
      <x:c r="F10" s="31"/>
      <x:c r="G10" s="31"/>
      <x:c r="H10" s="31"/>
    </x:row>
    <x:row r="11" ht="36" customHeight="1">
      <x:c r="A11" s="313" t="str">
        <x:v>Brands &amp; companies</x:v>
      </x:c>
      <x:c r="B11" s="325" t="n">
        <x:f>COUNTA('Brands &amp; Companies'!A5:A1000)</x:f>
        <x:v>9</x:v>
      </x:c>
      <x:c r="C11" s="250"/>
      <x:c r="D11" s="316" t="str">
        <x:v>Current release</x:v>
      </x:c>
      <x:c r="E11" s="251" t="str">
        <x:v>v1.1 integrates v1.0 consolidated ephemera with captured authentication evidence and graded conclusions.</x:v>
      </x:c>
      <x:c r="F11" s="31"/>
      <x:c r="G11" s="31"/>
      <x:c r="H11" s="31"/>
    </x:row>
    <x:row r="12" ht="38" customHeight="1">
      <x:c r="A12" s="339" t="str">
        <x:v>Advertisements &amp; ephemera</x:v>
      </x:c>
      <x:c r="B12" s="340" t="n">
        <x:f>COUNTA('Advertisements &amp; Ephemera'!A5:A1000)</x:f>
        <x:v>16</x:v>
      </x:c>
      <x:c r="C12" s="335"/>
      <x:c r="D12" s="343" t="str">
        <x:v>JMC pass</x:v>
      </x:c>
      <x:c r="E12" s="336" t="str">
        <x:v>Period ads and price/flyer leads separated into evidence-bearing objects.</x:v>
      </x:c>
      <x:c r="F12" s="31"/>
      <x:c r="G12" s="31"/>
      <x:c r="H12" s="31"/>
    </x:row>
    <x:row r="13" ht="38" customHeight="1">
      <x:c r="A13" s="313" t="str">
        <x:v>Relationships</x:v>
      </x:c>
      <x:c r="B13" s="325" t="n">
        <x:f>COUNTA(Relationships!A5:A1000)</x:f>
        <x:v>19</x:v>
      </x:c>
      <x:c r="C13" s="250"/>
      <x:c r="D13" s="317" t="str">
        <x:v>Reference recovery</x:v>
      </x:c>
      <x:c r="E13" s="251" t="str">
        <x:v>Ashtabula 5027 exact; JMC/GT/Haro targets remain open.</x:v>
      </x:c>
      <x:c r="F13" s="31"/>
      <x:c r="G13" s="31"/>
      <x:c r="H13" s="31"/>
    </x:row>
    <x:row r="14" ht="38" customHeight="1">
      <x:c r="A14" s="344" t="str">
        <x:v>Price sheets</x:v>
      </x:c>
      <x:c r="B14" s="345" t="n">
        <x:f>COUNTA('Price Sheets'!A5:A1000)</x:f>
        <x:v>4</x:v>
      </x:c>
      <x:c r="C14" s="335"/>
      <x:c r="D14" s="343" t="str">
        <x:v>Price discipline</x:v>
      </x:c>
      <x:c r="E14" s="336" t="str">
        <x:v>Printed amounts remain separate from currency, model and price-basis claims.</x:v>
      </x:c>
      <x:c r="F14" s="31"/>
      <x:c r="G14" s="31"/>
      <x:c r="H14" s="31"/>
    </x:row>
    <x:row r="15" ht="38" customHeight="1">
      <x:c r="A15" s="318" t="str">
        <x:v>Flyers</x:v>
      </x:c>
      <x:c r="B15" s="319" t="n">
        <x:f>COUNTA(Flyers!A5:A1000)</x:f>
        <x:v>2</x:v>
      </x:c>
      <x:c r="C15" s="250"/>
      <x:c r="D15" s="317" t="str">
        <x:v>Flyer discipline</x:v>
      </x:c>
      <x:c r="E15" s="251" t="str">
        <x:v>Metadata and links only; no scan republication.</x:v>
      </x:c>
    </x:row>
    <x:row r="16" ht="38" customHeight="1">
      <x:c r="A16" s="344" t="str">
        <x:v>Locked priority clusters</x:v>
      </x:c>
      <x:c r="B16" s="344" t="n">
        <x:f>COUNTA('v0.4 Cluster Status'!A5:A1000)</x:f>
        <x:v>9</x:v>
      </x:c>
      <x:c r="C16" s="344"/>
      <x:c r="D16" s="346" t="str">
        <x:v>Priority expansion</x:v>
      </x:c>
      <x:c r="E16" s="347" t="str">
        <x:v>Nine user-designated clusters remain locked into the roadmap.</x:v>
      </x:c>
    </x:row>
    <x:row r="17" ht="38" customHeight="1">
      <x:c r="A17" s="320" t="str">
        <x:v>Active alias/search terms</x:v>
      </x:c>
      <x:c r="B17" s="326" t="n">
        <x:f>COUNTA('Alias Registry'!A5:A1000)</x:f>
        <x:v>35</x:v>
      </x:c>
      <x:c r="C17" s="320"/>
      <x:c r="D17" s="321" t="str">
        <x:v>Lititz crosswalk</x:v>
      </x:c>
      <x:c r="E17" s="322" t="str">
        <x:v>Artifact anchors remain connected to the broader cluster work.</x:v>
      </x:c>
    </x:row>
    <x:row r="18" ht="54" customHeight="1">
      <x:c r="A18" s="348" t="str">
        <x:v>JMC ephemera objects</x:v>
      </x:c>
      <x:c r="B18" s="349" t="n">
        <x:f>COUNTA('v0.5 JMC Ephemera'!A5:A1000)</x:f>
        <x:v>6</x:v>
      </x:c>
      <x:c r="C18" s="348"/>
      <x:c r="D18" s="348" t="str">
        <x:v>Rights posture</x:v>
      </x:c>
      <x:c r="E18" s="351" t="str">
        <x:v>BMXA imagery attributed to Bob Osborn requires written permission to reproduce.</x:v>
      </x:c>
    </x:row>
    <x:row r="19" ht="54" customHeight="1">
      <x:c r="A19" s="320" t="str">
        <x:v>Exact reference targets</x:v>
      </x:c>
      <x:c r="B19" s="326" t="n">
        <x:f>COUNTA('Reference Recovery'!A5:A1000)</x:f>
        <x:v>6</x:v>
      </x:c>
      <x:c r="C19" s="320"/>
      <x:c r="D19" s="320" t="str">
        <x:v>Next controlled phase</x:v>
      </x:c>
      <x:c r="E19" s="322" t="str">
        <x:v>Capture the critical physical/documentary gates listed in Evidence Gates, then regrade claim-by-claim.</x:v>
      </x:c>
    </x:row>
    <x:row r="20">
      <x:c r="A20" s="335"/>
      <x:c r="B20" s="335"/>
      <x:c r="C20" s="335"/>
      <x:c r="D20" s="659" t="str">
        <x:v>Latest release</x:v>
      </x:c>
      <x:c r="E20" s="385" t="str">
        <x:v>v1.8 — public page schema, prototype package and highest-priority recovery</x:v>
      </x:c>
    </x:row>
    <x:row r="21">
      <x:c r="A21" s="250" t="str">
        <x:v>Core relationship model</x:v>
      </x:c>
      <x:c r="B21" s="250"/>
      <x:c r="C21" s="250"/>
      <x:c r="D21" s="659" t="str">
        <x:v>Permission status</x:v>
      </x:c>
      <x:c r="E21" s="251" t="str">
        <x:v>Archived and dormant; current work remains permission-free</x:v>
      </x:c>
    </x:row>
    <x:row r="22">
      <x:c r="A22" s="324" t="str">
        <x:v>PERSON → TEAM/BRAND → RESULT → EVENT → TRACK → BIKE/ARTIFACT → ADVERTISEMENT/CATALOG → SOURCE
Each arrow remains a separate evidence-bearing relationship.</x:v>
      </x:c>
      <x:c r="B22" s="323"/>
      <x:c r="C22" s="323"/>
      <x:c r="D22" s="660" t="str">
        <x:v>Publication status</x:v>
      </x:c>
      <x:c r="E22" s="371" t="str">
        <x:v>Four sample records are structurally ready as human-facing prototype pages</x:v>
      </x:c>
    </x:row>
    <x:row r="23">
      <x:c r="D23" s="657" t="str">
        <x:v>Recovery status</x:v>
      </x:c>
      <x:c r="E23" s="26" t="str">
        <x:v>Redline issue partially closed; Mongoose catalog hub confirmed; Haro exact IDs remain open</x:v>
      </x:c>
    </x:row>
    <x:row r="24">
      <x:c r="A24" s="476" t="str">
        <x:v>v1.1 Authentication Release</x:v>
      </x:c>
      <x:c r="B24" s="476"/>
      <x:c r="C24" s="476"/>
      <x:c r="D24" s="663" t="str">
        <x:v>Next controlled phase</x:v>
      </x:c>
      <x:c r="E24" s="664" t="str">
        <x:v>Production GitHub Pages templates and first public page batch</x:v>
      </x:c>
    </x:row>
    <x:row r="25">
      <x:c r="A25" s="477" t="str">
        <x:v>Current release</x:v>
      </x:c>
      <x:c r="B25" s="477" t="str">
        <x:v>v1.1</x:v>
      </x:c>
      <x:c r="C25" s="477"/>
      <x:c r="D25" s="477" t="str">
        <x:v>Open authentication dashboard</x:v>
      </x:c>
      <x:c r="E25" s="477" t="str">
        <x:v>v1.1 Auth Dashboard</x:v>
      </x:c>
    </x:row>
    <x:row r="26">
      <x:c r="A26" s="477" t="str">
        <x:v>Authoritative file</x:v>
      </x:c>
      <x:c r="B26" s="477" t="str">
        <x:v>Lititz_BMX_BMXMuseum_Public_Knowledge_Register_v1.1_Authentication_Evidence_Integration.xlsx</x:v>
      </x:c>
      <x:c r="C26" s="477"/>
      <x:c r="D26" s="477" t="str">
        <x:v>Captured evidence</x:v>
      </x:c>
      <x:c r="E26" s="477" t="str">
        <x:v>Captured Evidence</x:v>
      </x:c>
    </x:row>
    <x:row r="27">
      <x:c r="A27" s="477" t="str">
        <x:v>Evidence package</x:v>
      </x:c>
      <x:c r="B27" s="477" t="str">
        <x:v>Lititz_BMX_Authentication_Evidence_Package_v1.1.zip</x:v>
      </x:c>
      <x:c r="C27" s="477"/>
      <x:c r="D27" s="477" t="str">
        <x:v>Claim-level conclusions</x:v>
      </x:c>
      <x:c r="E27" s="477" t="str">
        <x:v>Claim Grades</x:v>
      </x:c>
    </x:row>
  </x:sheetData>
  <x:mergeCells>
    <x:mergeCell ref="A1:H1"/>
    <x:mergeCell ref="A2:H2"/>
    <x:mergeCell ref="D4:H4"/>
    <x:mergeCell ref="E5:H5"/>
    <x:mergeCell ref="E6:H6"/>
    <x:mergeCell ref="E7:H7"/>
    <x:mergeCell ref="E8:H8"/>
    <x:mergeCell ref="E9:H9"/>
    <x:mergeCell ref="A16:E16"/>
    <x:mergeCell ref="A17:E19"/>
    <x:mergeCell ref="A1:N1"/>
    <x:mergeCell ref="A1:E1"/>
    <x:mergeCell ref="A2:E2"/>
    <x:mergeCell ref="A22:C22"/>
    <x:mergeCell ref="A24:E24"/>
  </x:mergeCells>
  <x:pageMargins left="0.7" right="0.7" top="0.75" bottom="0.75" header="0.3" footer="0.3"/>
  <x:drawing xmlns:r="http://schemas.openxmlformats.org/officeDocument/2006/relationships" r:id="Re3bd1d67596e44e0"/>
</x:worksheet>
</file>

<file path=xl/worksheets/sheet2.xml><?xml version="1.0" encoding="utf-8"?>
<x:worksheet xmlns:x="http://schemas.openxmlformats.org/spreadsheetml/2006/main">
  <x:sheetFormatPr defaultRowHeight="15"/>
  <x:cols>
    <x:col min="1" max="1" width="16" hidden="0" customWidth="1"/>
    <x:col min="2" max="2" width="12" hidden="0" customWidth="1"/>
    <x:col min="3" max="3" width="11" hidden="0" customWidth="1"/>
    <x:col min="4" max="4" width="18" hidden="0" customWidth="1"/>
    <x:col min="5" max="5" width="28" hidden="0" customWidth="1"/>
    <x:col min="6" max="6" width="42" hidden="0" customWidth="1"/>
    <x:col min="7" max="7" width="24" hidden="0" customWidth="1"/>
    <x:col min="8" max="8" width="42" hidden="0" customWidth="1"/>
    <x:col min="9" max="9" width="22" hidden="0" customWidth="1"/>
    <x:col min="10" max="10" width="10" hidden="0" customWidth="1"/>
    <x:col min="11" max="11" width="34" hidden="0" customWidth="1"/>
    <x:col min="12" max="12" width="44" hidden="0" customWidth="1"/>
    <x:col min="13" max="13" width="14" hidden="0" customWidth="1"/>
    <x:col min="14" max="14" width="14" hidden="0" customWidth="1"/>
    <x:col min="15" max="15" width="20" hidden="0" customWidth="1"/>
    <x:col min="16" max="16" width="12" hidden="0" customWidth="1"/>
  </x:cols>
  <x:sheetData>
    <x:row r="1" ht="26.399999618530273" hidden="0" customHeight="1">
      <x:c r="A1" s="32" t="str">
        <x:v>Object ID</x:v>
      </x:c>
      <x:c r="B1" s="32" t="str">
        <x:v>BMXMuseum Record ID</x:v>
      </x:c>
      <x:c r="C1" s="32" t="str">
        <x:v>Submitted Year</x:v>
      </x:c>
      <x:c r="D1" s="32" t="str">
        <x:v>Brand / Company</x:v>
      </x:c>
      <x:c r="E1" s="32" t="str">
        <x:v>Submitted Model / Title</x:v>
      </x:c>
      <x:c r="F1" s="32" t="str">
        <x:v>Canonical BMXMuseum URL</x:v>
      </x:c>
      <x:c r="G1" s="32" t="str">
        <x:v>Discovery Channel</x:v>
      </x:c>
      <x:c r="H1" s="32" t="str">
        <x:v>Discovery Source URL</x:v>
      </x:c>
      <x:c r="I1" s="32" t="str">
        <x:v>Evidence Class</x:v>
      </x:c>
      <x:c r="J1" s="32" t="str">
        <x:v>Confidence</x:v>
      </x:c>
      <x:c r="K1" s="32" t="str">
        <x:v>Verification Status</x:v>
      </x:c>
      <x:c r="L1" s="32" t="str">
        <x:v>Claim / Interpretation Notes</x:v>
      </x:c>
      <x:c r="M1" s="32" t="str">
        <x:v>Rights Code</x:v>
      </x:c>
      <x:c r="N1" s="32" t="str">
        <x:v>Image Action</x:v>
      </x:c>
      <x:c r="O1" s="32" t="str">
        <x:v>Text Action</x:v>
      </x:c>
      <x:c r="P1" s="32" t="str">
        <x:v>Accessed</x:v>
      </x:c>
    </x:row>
    <x:row r="2" ht="26.399999618530273" hidden="0" customHeight="1">
      <x:c r="A2" s="34" t="str">
        <x:v>BM-BIKE-0001</x:v>
      </x:c>
      <x:c r="B2" s="34" t="n">
        <x:v>134239</x:v>
      </x:c>
      <x:c r="C2" s="34" t="n">
        <x:v>1983</x:v>
      </x:c>
      <x:c r="D2" s="34" t="str">
        <x:v>Cook Bros. Racing</x:v>
      </x:c>
      <x:c r="E2" s="34" t="str">
        <x:v>Austin Cruiser</x:v>
      </x:c>
      <x:c r="F2" s="34" t="str">
        <x:v>https://www.bmxmuseum.com/bikes/cooks_brothers/134239</x:v>
      </x:c>
      <x:c r="G2" s="34" t="str">
        <x:v>BMXMuseum official Reddit account</x:v>
      </x:c>
      <x:c r="H2" s="34" t="str">
        <x:v>https://www.reddit.com/user/bmxmuseum/</x:v>
      </x:c>
      <x:c r="I2" s="34" t="str">
        <x:v>OFFICIAL-SOCIAL-EXACT</x:v>
      </x:c>
      <x:c r="J2" s="34" t="str">
        <x:v>A1</x:v>
      </x:c>
      <x:c r="K2" s="34" t="str">
        <x:v>Record identity confirmed; exact-bike originality not verified</x:v>
      </x:c>
      <x:c r="L2" s="34" t="str">
        <x:v>Model/year lead only; no factory-spec claim adopted.</x:v>
      </x:c>
      <x:c r="M2" s="34" t="str">
        <x:v>INDEX-ONLY</x:v>
      </x:c>
      <x:c r="N2" s="34" t="str">
        <x:v>Do not copy</x:v>
      </x:c>
      <x:c r="O2" s="34" t="str">
        <x:v>Paraphrase facts only</x:v>
      </x:c>
      <x:c r="P2" s="34" t="str">
        <x:v>2026-07-30</x:v>
      </x:c>
    </x:row>
    <x:row r="3" ht="26.399999618530273" hidden="0" customHeight="1">
      <x:c r="A3" s="34" t="str">
        <x:v>BM-BIKE-0002</x:v>
      </x:c>
      <x:c r="B3" s="34" t="n">
        <x:v>133793</x:v>
      </x:c>
      <x:c r="C3" s="34" t="n">
        <x:v>1981</x:v>
      </x:c>
      <x:c r="D3" s="34" t="str">
        <x:v>Powerlite</x:v>
      </x:c>
      <x:c r="E3" s="34" t="str">
        <x:v>Pro</x:v>
      </x:c>
      <x:c r="F3" s="34" t="str">
        <x:v>https://www.bmxmuseum.com/bikes/powerlite/133793</x:v>
      </x:c>
      <x:c r="G3" s="34" t="str">
        <x:v>BMXMuseum official Reddit account</x:v>
      </x:c>
      <x:c r="H3" s="34" t="str">
        <x:v>https://www.reddit.com/user/bmxmuseum/</x:v>
      </x:c>
      <x:c r="I3" s="34" t="str">
        <x:v>OFFICIAL-SOCIAL-EXACT</x:v>
      </x:c>
      <x:c r="J3" s="34" t="str">
        <x:v>A1</x:v>
      </x:c>
      <x:c r="K3" s="34" t="str">
        <x:v>Record identity confirmed; finish/decal claim not independently verified</x:v>
      </x:c>
      <x:c r="L3" s="34" t="str">
        <x:v>Official social post calls it original finish and decals; preserve as submitted claim only.</x:v>
      </x:c>
      <x:c r="M3" s="34" t="str">
        <x:v>INDEX-ONLY</x:v>
      </x:c>
      <x:c r="N3" s="34" t="str">
        <x:v>Do not copy</x:v>
      </x:c>
      <x:c r="O3" s="34" t="str">
        <x:v>Paraphrase facts only</x:v>
      </x:c>
      <x:c r="P3" s="34" t="str">
        <x:v>2026-07-30</x:v>
      </x:c>
    </x:row>
    <x:row r="4" ht="26.399999618530273" hidden="0" customHeight="1">
      <x:c r="A4" s="34" t="str">
        <x:v>BM-BIKE-0003</x:v>
      </x:c>
      <x:c r="B4" s="34" t="n">
        <x:v>130153</x:v>
      </x:c>
      <x:c r="C4" s="34" t="n">
        <x:v>2024</x:v>
      </x:c>
      <x:c r="D4" s="34" t="str">
        <x:v>Torker</x:v>
      </x:c>
      <x:c r="E4" s="34" t="str">
        <x:v>Pro XL</x:v>
      </x:c>
      <x:c r="F4" s="34" t="str">
        <x:v>https://www.bmxmuseum.com/bikes/torker/130153</x:v>
      </x:c>
      <x:c r="G4" s="34" t="str">
        <x:v>BMXMuseum official Reddit account</x:v>
      </x:c>
      <x:c r="H4" s="34" t="str">
        <x:v>https://www.reddit.com/user/bmxmuseum/?after=dDNfMW5xYjl5OA%3D%3D&amp;sort=new</x:v>
      </x:c>
      <x:c r="I4" s="34" t="str">
        <x:v>OFFICIAL-SOCIAL-EXACT</x:v>
      </x:c>
      <x:c r="J4" s="34" t="str">
        <x:v>A1</x:v>
      </x:c>
      <x:c r="K4" s="34" t="str">
        <x:v>Record identity confirmed; model specification pending</x:v>
      </x:c>
      <x:c r="L4" s="34" t="str">
        <x:v>Modern submitted bicycle.</x:v>
      </x:c>
      <x:c r="M4" s="34" t="str">
        <x:v>INDEX-ONLY</x:v>
      </x:c>
      <x:c r="N4" s="34" t="str">
        <x:v>Do not copy</x:v>
      </x:c>
      <x:c r="O4" s="34" t="str">
        <x:v>Paraphrase facts only</x:v>
      </x:c>
      <x:c r="P4" s="34" t="str">
        <x:v>2026-07-30</x:v>
      </x:c>
    </x:row>
    <x:row r="5" ht="26.399999618530273" hidden="0" customHeight="1">
      <x:c r="A5" s="34" t="str">
        <x:v>BM-BIKE-0004</x:v>
      </x:c>
      <x:c r="B5" s="34" t="n">
        <x:v>128885</x:v>
      </x:c>
      <x:c r="C5" s="34" t="n">
        <x:v>1984</x:v>
      </x:c>
      <x:c r="D5" s="34" t="str">
        <x:v>JMC Racing</x:v>
      </x:c>
      <x:c r="E5" s="34" t="str">
        <x:v>24</x:v>
      </x:c>
      <x:c r="F5" s="34" t="str">
        <x:v>https://www.bmxmuseum.com/bikes/jmc_racing/128885</x:v>
      </x:c>
      <x:c r="G5" s="34" t="str">
        <x:v>BMXMuseum official Reddit account</x:v>
      </x:c>
      <x:c r="H5" s="34" t="str">
        <x:v>https://www.reddit.com/user/bmxmuseum/?after=dDNfMW5xYjl5OA%3D%3D&amp;sort=new</x:v>
      </x:c>
      <x:c r="I5" s="34" t="str">
        <x:v>OFFICIAL-SOCIAL-EXACT</x:v>
      </x:c>
      <x:c r="J5" s="34" t="str">
        <x:v>A1</x:v>
      </x:c>
      <x:c r="K5" s="34" t="str">
        <x:v>Record identity confirmed; specific configuration pending</x:v>
      </x:c>
      <x:c r="L5" s="34" t="str">
        <x:v>Treat title as BMXMuseum-submitted identification.</x:v>
      </x:c>
      <x:c r="M5" s="34" t="str">
        <x:v>INDEX-ONLY</x:v>
      </x:c>
      <x:c r="N5" s="34" t="str">
        <x:v>Do not copy</x:v>
      </x:c>
      <x:c r="O5" s="34" t="str">
        <x:v>Paraphrase facts only</x:v>
      </x:c>
      <x:c r="P5" s="34" t="str">
        <x:v>2026-07-30</x:v>
      </x:c>
    </x:row>
    <x:row r="6" ht="26.399999618530273" hidden="0" customHeight="1">
      <x:c r="A6" s="34" t="str">
        <x:v>BM-BIKE-0005</x:v>
      </x:c>
      <x:c r="B6" s="34" t="n">
        <x:v>121233</x:v>
      </x:c>
      <x:c r="C6" s="34"/>
      <x:c r="D6" s="34" t="str">
        <x:v>GHP</x:v>
      </x:c>
      <x:c r="E6" s="34" t="str">
        <x:v>Twenty Four racer</x:v>
      </x:c>
      <x:c r="F6" s="34" t="str">
        <x:v>https://www.bmxmuseum.com/bikes/ghp/121233</x:v>
      </x:c>
      <x:c r="G6" s="34" t="str">
        <x:v>BMXMuseum official Reddit account</x:v>
      </x:c>
      <x:c r="H6" s="34" t="str">
        <x:v>https://www.reddit.com/user/bmxmuseum/?after=dDNfMTBkdmozNg%3D%3D&amp;sort=new</x:v>
      </x:c>
      <x:c r="I6" s="34" t="str">
        <x:v>OFFICIAL-SOCIAL-EXACT</x:v>
      </x:c>
      <x:c r="J6" s="34" t="str">
        <x:v>A1</x:v>
      </x:c>
      <x:c r="K6" s="34" t="str">
        <x:v>Record identity confirmed; year not exposed in source</x:v>
      </x:c>
      <x:c r="L6" s="34" t="str">
        <x:v>Do not infer year from record neighborhood or appearance.</x:v>
      </x:c>
      <x:c r="M6" s="34" t="str">
        <x:v>INDEX-ONLY</x:v>
      </x:c>
      <x:c r="N6" s="34" t="str">
        <x:v>Do not copy</x:v>
      </x:c>
      <x:c r="O6" s="34" t="str">
        <x:v>Paraphrase facts only</x:v>
      </x:c>
      <x:c r="P6" s="34" t="str">
        <x:v>2026-07-30</x:v>
      </x:c>
    </x:row>
    <x:row r="7" ht="26.399999618530273" hidden="0" customHeight="1">
      <x:c r="A7" s="34" t="str">
        <x:v>BM-BIKE-0006</x:v>
      </x:c>
      <x:c r="B7" s="34" t="n">
        <x:v>120502</x:v>
      </x:c>
      <x:c r="C7" s="34" t="n">
        <x:v>1976</x:v>
      </x:c>
      <x:c r="D7" s="34" t="str">
        <x:v>Ashtabula</x:v>
      </x:c>
      <x:c r="E7" s="34" t="str">
        <x:v>BMX bicycle</x:v>
      </x:c>
      <x:c r="F7" s="34" t="str">
        <x:v>https://www.bmxmuseum.com/bikes/ashtabula/120502</x:v>
      </x:c>
      <x:c r="G7" s="34" t="str">
        <x:v>BMXMuseum official Reddit account</x:v>
      </x:c>
      <x:c r="H7" s="34" t="str">
        <x:v>https://www.reddit.com/user/bmxmuseum/?after=dDNfMTBkdmozNg%3D%3D&amp;sort=new</x:v>
      </x:c>
      <x:c r="I7" s="34" t="str">
        <x:v>OFFICIAL-SOCIAL-EXACT</x:v>
      </x:c>
      <x:c r="J7" s="34" t="str">
        <x:v>A1</x:v>
      </x:c>
      <x:c r="K7" s="34" t="str">
        <x:v>Record identity confirmed; model name pending</x:v>
      </x:c>
      <x:c r="L7" s="34" t="str">
        <x:v>Brand/year exposed; model unresolved.</x:v>
      </x:c>
      <x:c r="M7" s="34" t="str">
        <x:v>INDEX-ONLY</x:v>
      </x:c>
      <x:c r="N7" s="34" t="str">
        <x:v>Do not copy</x:v>
      </x:c>
      <x:c r="O7" s="34" t="str">
        <x:v>Paraphrase facts only</x:v>
      </x:c>
      <x:c r="P7" s="34" t="str">
        <x:v>2026-07-30</x:v>
      </x:c>
    </x:row>
    <x:row r="8" ht="26.399999618530273" hidden="0" customHeight="1">
      <x:c r="A8" s="34" t="str">
        <x:v>BM-BIKE-0007</x:v>
      </x:c>
      <x:c r="B8" s="34" t="n">
        <x:v>119925</x:v>
      </x:c>
      <x:c r="C8" s="34" t="n">
        <x:v>1985</x:v>
      </x:c>
      <x:c r="D8" s="34" t="str">
        <x:v>SE Racing</x:v>
      </x:c>
      <x:c r="E8" s="34" t="str">
        <x:v>P.K. Ripper</x:v>
      </x:c>
      <x:c r="F8" s="34" t="str">
        <x:v>https://www.bmxmuseum.com/bikes/se_racing/119925</x:v>
      </x:c>
      <x:c r="G8" s="34" t="str">
        <x:v>BMXMuseum official Reddit account</x:v>
      </x:c>
      <x:c r="H8" s="34" t="str">
        <x:v>https://www.reddit.com/user/bmxmuseum/?after=dDNfMTBkdmozNg%3D%3D&amp;sort=new</x:v>
      </x:c>
      <x:c r="I8" s="34" t="str">
        <x:v>OFFICIAL-SOCIAL-EXACT</x:v>
      </x:c>
      <x:c r="J8" s="34" t="str">
        <x:v>A1</x:v>
      </x:c>
      <x:c r="K8" s="34" t="str">
        <x:v>Record identity confirmed; provenance story not independently verified</x:v>
      </x:c>
      <x:c r="L8" s="34" t="str">
        <x:v>Social post says saved from trash; preserve only as submitted story lead.</x:v>
      </x:c>
      <x:c r="M8" s="34" t="str">
        <x:v>INDEX-ONLY</x:v>
      </x:c>
      <x:c r="N8" s="34" t="str">
        <x:v>Do not copy</x:v>
      </x:c>
      <x:c r="O8" s="34" t="str">
        <x:v>Paraphrase facts only</x:v>
      </x:c>
      <x:c r="P8" s="34" t="str">
        <x:v>2026-07-30</x:v>
      </x:c>
    </x:row>
    <x:row r="9" ht="26.399999618530273" hidden="0" customHeight="1">
      <x:c r="A9" s="34" t="str">
        <x:v>BM-BIKE-0008</x:v>
      </x:c>
      <x:c r="B9" s="34" t="n">
        <x:v>119571</x:v>
      </x:c>
      <x:c r="C9" s="34" t="n">
        <x:v>1982</x:v>
      </x:c>
      <x:c r="D9" s="34" t="str">
        <x:v>Redline</x:v>
      </x:c>
      <x:c r="E9" s="34" t="str">
        <x:v>MX-II</x:v>
      </x:c>
      <x:c r="F9" s="34" t="str">
        <x:v>https://www.bmxmuseum.com/bikes/redline/119571</x:v>
      </x:c>
      <x:c r="G9" s="34" t="str">
        <x:v>BMXMuseum official Reddit account</x:v>
      </x:c>
      <x:c r="H9" s="34" t="str">
        <x:v>https://www.reddit.com/user/bmxmuseum/?after=dDNfd2hzczZr&amp;sort=new</x:v>
      </x:c>
      <x:c r="I9" s="34" t="str">
        <x:v>OFFICIAL-SOCIAL-EXACT</x:v>
      </x:c>
      <x:c r="J9" s="34" t="str">
        <x:v>A1</x:v>
      </x:c>
      <x:c r="K9" s="34" t="str">
        <x:v>Record identity confirmed; factory specification pending</x:v>
      </x:c>
      <x:c r="L9" s="34" t="str">
        <x:v>Model existence is well attested; exact submitted configuration remains unverified.</x:v>
      </x:c>
      <x:c r="M9" s="34" t="str">
        <x:v>INDEX-ONLY</x:v>
      </x:c>
      <x:c r="N9" s="34" t="str">
        <x:v>Do not copy</x:v>
      </x:c>
      <x:c r="O9" s="34" t="str">
        <x:v>Paraphrase facts only</x:v>
      </x:c>
      <x:c r="P9" s="34" t="str">
        <x:v>2026-07-30</x:v>
      </x:c>
    </x:row>
    <x:row r="10" ht="26.399999618530273" hidden="0" customHeight="1">
      <x:c r="A10" s="34" t="str">
        <x:v>BM-BIKE-0009</x:v>
      </x:c>
      <x:c r="B10" s="34" t="n">
        <x:v>119290</x:v>
      </x:c>
      <x:c r="C10" s="34" t="n">
        <x:v>1984</x:v>
      </x:c>
      <x:c r="D10" s="34" t="str">
        <x:v>JMC Racing</x:v>
      </x:c>
      <x:c r="E10" s="34" t="str">
        <x:v>Darrell Young</x:v>
      </x:c>
      <x:c r="F10" s="34" t="str">
        <x:v>https://www.bmxmuseum.com/bikes/jmc_racing/119290</x:v>
      </x:c>
      <x:c r="G10" s="34" t="str">
        <x:v>BMXMuseum official Reddit account</x:v>
      </x:c>
      <x:c r="H10" s="34" t="str">
        <x:v>https://www.reddit.com/user/bmxmuseum/?after=dDNfd2hzczZr&amp;sort=new</x:v>
      </x:c>
      <x:c r="I10" s="34" t="str">
        <x:v>OFFICIAL-SOCIAL-EXACT</x:v>
      </x:c>
      <x:c r="J10" s="34" t="str">
        <x:v>A1</x:v>
      </x:c>
      <x:c r="K10" s="34" t="str">
        <x:v>Record identity confirmed; model chronology independently supported</x:v>
      </x:c>
      <x:c r="L10" s="34" t="str">
        <x:v>JMC Darrell Young Design introduced in late 1983; a 1984 example is historically plausible.</x:v>
      </x:c>
      <x:c r="M10" s="34" t="str">
        <x:v>INDEX-ONLY</x:v>
      </x:c>
      <x:c r="N10" s="34" t="str">
        <x:v>Do not copy</x:v>
      </x:c>
      <x:c r="O10" s="34" t="str">
        <x:v>Paraphrase facts only</x:v>
      </x:c>
      <x:c r="P10" s="34" t="str">
        <x:v>2026-07-30</x:v>
      </x:c>
    </x:row>
    <x:row r="11" ht="26.399999618530273" hidden="0" customHeight="1">
      <x:c r="A11" s="34" t="str">
        <x:v>BM-BIKE-0010</x:v>
      </x:c>
      <x:c r="B11" s="34" t="n">
        <x:v>119277</x:v>
      </x:c>
      <x:c r="C11" s="34" t="n">
        <x:v>1990</x:v>
      </x:c>
      <x:c r="D11" s="34" t="str">
        <x:v>GT Bicycles</x:v>
      </x:c>
      <x:c r="E11" s="34" t="str">
        <x:v>Pro Series XL</x:v>
      </x:c>
      <x:c r="F11" s="34" t="str">
        <x:v>https://www.bmxmuseum.com/bikes/gt_bicycles/119277</x:v>
      </x:c>
      <x:c r="G11" s="34" t="str">
        <x:v>BMXMuseum official Reddit account</x:v>
      </x:c>
      <x:c r="H11" s="34" t="str">
        <x:v>https://www.reddit.com/user/bmxmuseum/?after=dDNfd2hzczZr&amp;sort=new</x:v>
      </x:c>
      <x:c r="I11" s="34" t="str">
        <x:v>OFFICIAL-SOCIAL-EXACT</x:v>
      </x:c>
      <x:c r="J11" s="34" t="str">
        <x:v>A1</x:v>
      </x:c>
      <x:c r="K11" s="34" t="str">
        <x:v>Record identity confirmed; catalog verification pending</x:v>
      </x:c>
      <x:c r="L11" s="34" t="str">
        <x:v>Do not merge with later GT Speed Series XL recall family.</x:v>
      </x:c>
      <x:c r="M11" s="34" t="str">
        <x:v>INDEX-ONLY</x:v>
      </x:c>
      <x:c r="N11" s="34" t="str">
        <x:v>Do not copy</x:v>
      </x:c>
      <x:c r="O11" s="34" t="str">
        <x:v>Paraphrase facts only</x:v>
      </x:c>
      <x:c r="P11" s="34" t="str">
        <x:v>2026-07-30</x:v>
      </x:c>
    </x:row>
    <x:row r="12" ht="26.399999618530273" hidden="0" customHeight="1">
      <x:c r="A12" s="34" t="str">
        <x:v>BM-BIKE-0011</x:v>
      </x:c>
      <x:c r="B12" s="34" t="n">
        <x:v>119077</x:v>
      </x:c>
      <x:c r="C12" s="34" t="n">
        <x:v>2018</x:v>
      </x:c>
      <x:c r="D12" s="34" t="str">
        <x:v>Hutch</x:v>
      </x:c>
      <x:c r="E12" s="34" t="str">
        <x:v>Pro Racer Judge Tribute</x:v>
      </x:c>
      <x:c r="F12" s="34" t="str">
        <x:v>https://www.bmxmuseum.com/bikes/hutch/119077</x:v>
      </x:c>
      <x:c r="G12" s="34" t="str">
        <x:v>BMXMuseum official Reddit account</x:v>
      </x:c>
      <x:c r="H12" s="34" t="str">
        <x:v>https://www.reddit.com/user/bmxmuseum/?after=dDNfd2hzczZr&amp;sort=new</x:v>
      </x:c>
      <x:c r="I12" s="34" t="str">
        <x:v>OFFICIAL-SOCIAL-EXACT</x:v>
      </x:c>
      <x:c r="J12" s="34" t="str">
        <x:v>A1</x:v>
      </x:c>
      <x:c r="K12" s="34" t="str">
        <x:v>Record identity and tribute status confirmed</x:v>
      </x:c>
      <x:c r="L12" s="34" t="str">
        <x:v>Explicitly a tribute/custom build, not an original-period factory bicycle.</x:v>
      </x:c>
      <x:c r="M12" s="34" t="str">
        <x:v>INDEX-ONLY</x:v>
      </x:c>
      <x:c r="N12" s="34" t="str">
        <x:v>Do not copy</x:v>
      </x:c>
      <x:c r="O12" s="34" t="str">
        <x:v>Paraphrase facts only</x:v>
      </x:c>
      <x:c r="P12" s="34" t="str">
        <x:v>2026-07-30</x:v>
      </x:c>
    </x:row>
    <x:row r="13" ht="26.399999618530273" hidden="0" customHeight="1">
      <x:c r="A13" s="34" t="str">
        <x:v>BM-BIKE-0012</x:v>
      </x:c>
      <x:c r="B13" s="34" t="n">
        <x:v>118961</x:v>
      </x:c>
      <x:c r="C13" s="34" t="n">
        <x:v>1979</x:v>
      </x:c>
      <x:c r="D13" s="34" t="str">
        <x:v>SE Racing</x:v>
      </x:c>
      <x:c r="E13" s="34" t="str">
        <x:v>P.K. Ripper</x:v>
      </x:c>
      <x:c r="F13" s="34" t="str">
        <x:v>https://www.bmxmuseum.com/bikes/se_racing/118961</x:v>
      </x:c>
      <x:c r="G13" s="34" t="str">
        <x:v>BMXMuseum official Reddit account</x:v>
      </x:c>
      <x:c r="H13" s="34" t="str">
        <x:v>https://www.reddit.com/user/bmxmuseum/?after=dDNfd2hzczZr&amp;sort=new</x:v>
      </x:c>
      <x:c r="I13" s="34" t="str">
        <x:v>OFFICIAL-SOCIAL-EXACT</x:v>
      </x:c>
      <x:c r="J13" s="34" t="str">
        <x:v>A1</x:v>
      </x:c>
      <x:c r="K13" s="34" t="str">
        <x:v>Record identity confirmed; exact frame provenance pending</x:v>
      </x:c>
      <x:c r="L13" s="34" t="str">
        <x:v>Model chronology independently plausible; exact bike still requires serial/provenance review.</x:v>
      </x:c>
      <x:c r="M13" s="34" t="str">
        <x:v>INDEX-ONLY</x:v>
      </x:c>
      <x:c r="N13" s="34" t="str">
        <x:v>Do not copy</x:v>
      </x:c>
      <x:c r="O13" s="34" t="str">
        <x:v>Paraphrase facts only</x:v>
      </x:c>
      <x:c r="P13" s="34" t="str">
        <x:v>2026-07-30</x:v>
      </x:c>
    </x:row>
    <x:row r="14" ht="26.399999618530273" hidden="0" customHeight="1">
      <x:c r="A14" s="34" t="str">
        <x:v>BM-BIKE-0013</x:v>
      </x:c>
      <x:c r="B14" s="34" t="n">
        <x:v>118734</x:v>
      </x:c>
      <x:c r="C14" s="34" t="n">
        <x:v>2012</x:v>
      </x:c>
      <x:c r="D14" s="34" t="str">
        <x:v>Brooklyn Machine Works</x:v>
      </x:c>
      <x:c r="E14" s="34" t="str">
        <x:v>Pro 24</x:v>
      </x:c>
      <x:c r="F14" s="34" t="str">
        <x:v>https://www.bmxmuseum.com/bikes/brooklyn_machine_works/118734</x:v>
      </x:c>
      <x:c r="G14" s="34" t="str">
        <x:v>BMXMuseum official Reddit account</x:v>
      </x:c>
      <x:c r="H14" s="34" t="str">
        <x:v>https://www.reddit.com/user/bmxmuseum/?after=dDNfd2hzczZr&amp;sort=new</x:v>
      </x:c>
      <x:c r="I14" s="34" t="str">
        <x:v>OFFICIAL-SOCIAL-EXACT</x:v>
      </x:c>
      <x:c r="J14" s="34" t="str">
        <x:v>A1</x:v>
      </x:c>
      <x:c r="K14" s="34" t="str">
        <x:v>Record identity confirmed; specification pending</x:v>
      </x:c>
      <x:c r="L14" s="34" t="str">
        <x:v>Modern cruiser record.</x:v>
      </x:c>
      <x:c r="M14" s="34" t="str">
        <x:v>INDEX-ONLY</x:v>
      </x:c>
      <x:c r="N14" s="34" t="str">
        <x:v>Do not copy</x:v>
      </x:c>
      <x:c r="O14" s="34" t="str">
        <x:v>Paraphrase facts only</x:v>
      </x:c>
      <x:c r="P14" s="34" t="str">
        <x:v>2026-07-30</x:v>
      </x:c>
    </x:row>
    <x:row r="15" ht="26.399999618530273" hidden="0" customHeight="1">
      <x:c r="A15" s="34" t="str">
        <x:v>BM-BIKE-0014</x:v>
      </x:c>
      <x:c r="B15" s="34" t="n">
        <x:v>118539</x:v>
      </x:c>
      <x:c r="C15" s="34" t="n">
        <x:v>2018</x:v>
      </x:c>
      <x:c r="D15" s="34" t="str">
        <x:v>True Torch</x:v>
      </x:c>
      <x:c r="E15" s="34" t="str">
        <x:v>Custom Master 16</x:v>
      </x:c>
      <x:c r="F15" s="34" t="str">
        <x:v>https://www.bmxmuseum.com/bikes/true_torch/118539</x:v>
      </x:c>
      <x:c r="G15" s="34" t="str">
        <x:v>BMXMuseum official Reddit account</x:v>
      </x:c>
      <x:c r="H15" s="34" t="str">
        <x:v>https://www.reddit.com/user/bmxmuseum/?after=dDNfd2hzczZr&amp;sort=new</x:v>
      </x:c>
      <x:c r="I15" s="34" t="str">
        <x:v>OFFICIAL-SOCIAL-EXACT</x:v>
      </x:c>
      <x:c r="J15" s="34" t="str">
        <x:v>A1</x:v>
      </x:c>
      <x:c r="K15" s="34" t="str">
        <x:v>Record identity and custom status confirmed</x:v>
      </x:c>
      <x:c r="L15" s="34" t="str">
        <x:v>Custom commission; should never be used as historical factory-spec evidence.</x:v>
      </x:c>
      <x:c r="M15" s="34" t="str">
        <x:v>INDEX-ONLY</x:v>
      </x:c>
      <x:c r="N15" s="34" t="str">
        <x:v>Do not copy</x:v>
      </x:c>
      <x:c r="O15" s="34" t="str">
        <x:v>Paraphrase facts only</x:v>
      </x:c>
      <x:c r="P15" s="34" t="str">
        <x:v>2026-07-30</x:v>
      </x:c>
    </x:row>
    <x:row r="16" ht="26.399999618530273" hidden="0" customHeight="1">
      <x:c r="A16" s="34" t="str">
        <x:v>BM-BIKE-0015</x:v>
      </x:c>
      <x:c r="B16" s="34" t="n">
        <x:v>118353</x:v>
      </x:c>
      <x:c r="C16" s="34" t="n">
        <x:v>1986</x:v>
      </x:c>
      <x:c r="D16" s="34" t="str">
        <x:v>CMX / Crescent</x:v>
      </x:c>
      <x:c r="E16" s="34" t="str">
        <x:v>Thunderbolt</x:v>
      </x:c>
      <x:c r="F16" s="34" t="str">
        <x:v>https://www.bmxmuseum.com/bikes/cmx/118353</x:v>
      </x:c>
      <x:c r="G16" s="34" t="str">
        <x:v>BMXMuseum official Reddit account</x:v>
      </x:c>
      <x:c r="H16" s="34" t="str">
        <x:v>https://www.reddit.com/user/bmxmuseum/?after=dDNfd2hzczZr&amp;sort=new</x:v>
      </x:c>
      <x:c r="I16" s="34" t="str">
        <x:v>OFFICIAL-SOCIAL-EXACT</x:v>
      </x:c>
      <x:c r="J16" s="34" t="str">
        <x:v>A1</x:v>
      </x:c>
      <x:c r="K16" s="34" t="str">
        <x:v>Record identity confirmed; Swedish-market history pending</x:v>
      </x:c>
      <x:c r="L16" s="34" t="str">
        <x:v>Official post calls it Swedish old-school BMX; manufacturing origin remains separate question.</x:v>
      </x:c>
      <x:c r="M16" s="34" t="str">
        <x:v>INDEX-ONLY</x:v>
      </x:c>
      <x:c r="N16" s="34" t="str">
        <x:v>Do not copy</x:v>
      </x:c>
      <x:c r="O16" s="34" t="str">
        <x:v>Paraphrase facts only</x:v>
      </x:c>
      <x:c r="P16" s="34" t="str">
        <x:v>2026-07-30</x:v>
      </x:c>
    </x:row>
    <x:row r="17" ht="26.399999618530273" hidden="0" customHeight="1">
      <x:c r="A17" s="34" t="str">
        <x:v>BM-BIKE-0016</x:v>
      </x:c>
      <x:c r="B17" s="34" t="n">
        <x:v>117304</x:v>
      </x:c>
      <x:c r="C17" s="34" t="n">
        <x:v>1999</x:v>
      </x:c>
      <x:c r="D17" s="34" t="str">
        <x:v>Haro</x:v>
      </x:c>
      <x:c r="E17" s="34" t="str">
        <x:v>Master</x:v>
      </x:c>
      <x:c r="F17" s="34" t="str">
        <x:v>https://www.bmxmuseum.com/bikes/haro/117304</x:v>
      </x:c>
      <x:c r="G17" s="34" t="str">
        <x:v>BMXMuseum official Reddit account</x:v>
      </x:c>
      <x:c r="H17" s="34" t="str">
        <x:v>https://www.reddit.com/user/bmxmuseum/?after=dDNfd2hzczZr&amp;sort=new</x:v>
      </x:c>
      <x:c r="I17" s="34" t="str">
        <x:v>OFFICIAL-SOCIAL-EXACT</x:v>
      </x:c>
      <x:c r="J17" s="34" t="str">
        <x:v>A1</x:v>
      </x:c>
      <x:c r="K17" s="34" t="str">
        <x:v>Record identity confirmed; official Haro archive available for follow-up</x:v>
      </x:c>
      <x:c r="L17" s="34" t="str">
        <x:v>Model-level catalog check remains pending.</x:v>
      </x:c>
      <x:c r="M17" s="34" t="str">
        <x:v>INDEX-ONLY</x:v>
      </x:c>
      <x:c r="N17" s="34" t="str">
        <x:v>Do not copy</x:v>
      </x:c>
      <x:c r="O17" s="34" t="str">
        <x:v>Paraphrase facts only</x:v>
      </x:c>
      <x:c r="P17" s="34" t="str">
        <x:v>2026-07-30</x:v>
      </x:c>
    </x:row>
    <x:row r="18" ht="26.399999618530273" hidden="0" customHeight="1">
      <x:c r="A18" s="34" t="str">
        <x:v>BM-BIKE-0017</x:v>
      </x:c>
      <x:c r="B18" s="34" t="n">
        <x:v>3324</x:v>
      </x:c>
      <x:c r="C18" s="34" t="n">
        <x:v>1996</x:v>
      </x:c>
      <x:c r="D18" s="34" t="str">
        <x:v>GT Bicycles</x:v>
      </x:c>
      <x:c r="E18" s="34" t="str">
        <x:v>Performer</x:v>
      </x:c>
      <x:c r="F18" s="34" t="str">
        <x:v>https://www.bmxmuseum.com/bikes/gt_bicycles/3324</x:v>
      </x:c>
      <x:c r="G18" s="34" t="str">
        <x:v>BMXMuseum official Reddit account</x:v>
      </x:c>
      <x:c r="H18" s="34" t="str">
        <x:v>https://www.reddit.com/user/bmxmuseum/?after=dDFfaHI4dWJiag%3D%3D&amp;sort=new</x:v>
      </x:c>
      <x:c r="I18" s="34" t="str">
        <x:v>OFFICIAL-SOCIAL-EXACT</x:v>
      </x:c>
      <x:c r="J18" s="34" t="str">
        <x:v>A1</x:v>
      </x:c>
      <x:c r="K18" s="34" t="str">
        <x:v>Comparison identity proposed by BMXMuseum account</x:v>
      </x:c>
      <x:c r="L18" s="34" t="str">
        <x:v>Used to identify another user's bicycle; exact comparison strength requires visual review.</x:v>
      </x:c>
      <x:c r="M18" s="34" t="str">
        <x:v>INDEX-ONLY</x:v>
      </x:c>
      <x:c r="N18" s="34" t="str">
        <x:v>Do not copy</x:v>
      </x:c>
      <x:c r="O18" s="34" t="str">
        <x:v>Paraphrase facts only</x:v>
      </x:c>
      <x:c r="P18" s="34" t="str">
        <x:v>2026-07-30</x:v>
      </x:c>
    </x:row>
    <x:row r="19" ht="26.399999618530273" hidden="0" customHeight="1">
      <x:c r="A19" s="34" t="str">
        <x:v>BM-BIKE-0018</x:v>
      </x:c>
      <x:c r="B19" s="34" t="n">
        <x:v>135983</x:v>
      </x:c>
      <x:c r="C19" s="34" t="n">
        <x:v>1989</x:v>
      </x:c>
      <x:c r="D19" s="34" t="str">
        <x:v>Revcore</x:v>
      </x:c>
      <x:c r="E19" s="34" t="str">
        <x:v>Pro Long</x:v>
      </x:c>
      <x:c r="F19" s="34" t="str">
        <x:v>https://www.bmxmuseum.com/bikes/revcore/135983</x:v>
      </x:c>
      <x:c r="G19" s="34" t="str">
        <x:v>Official BMXMuseum Instagram</x:v>
      </x:c>
      <x:c r="H19" s="34" t="str">
        <x:v>https://www.instagram.com/p/Da5xRgCCd3Q/</x:v>
      </x:c>
      <x:c r="I19" s="34" t="str">
        <x:v>OFFICIAL-SOCIAL-EXACT</x:v>
      </x:c>
      <x:c r="J19" s="34" t="str">
        <x:v>A1</x:v>
      </x:c>
      <x:c r="K19" s="34" t="str">
        <x:v>Record identity confirmed; originality pending</x:v>
      </x:c>
      <x:c r="L19" s="34" t="str">
        <x:v>Post describes it as a complete example.</x:v>
      </x:c>
      <x:c r="M19" s="34" t="str">
        <x:v>INDEX-ONLY</x:v>
      </x:c>
      <x:c r="N19" s="34" t="str">
        <x:v>Do not copy</x:v>
      </x:c>
      <x:c r="O19" s="34" t="str">
        <x:v>Paraphrase facts only</x:v>
      </x:c>
      <x:c r="P19" s="34" t="str">
        <x:v>2026-07-30</x:v>
      </x:c>
    </x:row>
    <x:row r="20" ht="26.399999618530273" hidden="0" customHeight="1">
      <x:c r="A20" s="34" t="str">
        <x:v>BM-BIKE-0019</x:v>
      </x:c>
      <x:c r="B20" s="34" t="n">
        <x:v>135324</x:v>
      </x:c>
      <x:c r="C20" s="34"/>
      <x:c r="D20" s="34" t="str">
        <x:v>Boss Bicycles</x:v>
      </x:c>
      <x:c r="E20" s="34" t="str">
        <x:v>24</x:v>
      </x:c>
      <x:c r="F20" s="34" t="str">
        <x:v>https://www.bmxmuseum.com/bikes/boss_bicycles/135324</x:v>
      </x:c>
      <x:c r="G20" s="34" t="str">
        <x:v>Official BMXMuseum Instagram</x:v>
      </x:c>
      <x:c r="H20" s="34" t="str">
        <x:v>https://www.instagram.com/p/DXzTU7ZFNeJ/</x:v>
      </x:c>
      <x:c r="I20" s="34" t="str">
        <x:v>OFFICIAL-SOCIAL-EXACT</x:v>
      </x:c>
      <x:c r="J20" s="34" t="str">
        <x:v>A1</x:v>
      </x:c>
      <x:c r="K20" s="34" t="str">
        <x:v>Record identity confirmed; year pending</x:v>
      </x:c>
      <x:c r="L20" s="34" t="str">
        <x:v>Public post identifies a NorCal Boss 24; no year exposed.</x:v>
      </x:c>
      <x:c r="M20" s="34" t="str">
        <x:v>INDEX-ONLY</x:v>
      </x:c>
      <x:c r="N20" s="34" t="str">
        <x:v>Do not copy</x:v>
      </x:c>
      <x:c r="O20" s="34" t="str">
        <x:v>Paraphrase facts only</x:v>
      </x:c>
      <x:c r="P20" s="34" t="str">
        <x:v>2026-07-30</x:v>
      </x:c>
    </x:row>
    <x:row r="21" ht="26.399999618530273" hidden="0" customHeight="1">
      <x:c r="A21" s="34" t="str">
        <x:v>BM-BIKE-0020</x:v>
      </x:c>
      <x:c r="B21" s="34" t="n">
        <x:v>135299</x:v>
      </x:c>
      <x:c r="C21" s="34" t="n">
        <x:v>1982</x:v>
      </x:c>
      <x:c r="D21" s="34" t="str">
        <x:v>GT Bicycles</x:v>
      </x:c>
      <x:c r="E21" s="34" t="str">
        <x:v>Pro</x:v>
      </x:c>
      <x:c r="F21" s="34" t="str">
        <x:v>https://www.bmxmuseum.com/bikes/gt_bicycles/135299</x:v>
      </x:c>
      <x:c r="G21" s="34" t="str">
        <x:v>Official BMXMuseum Instagram</x:v>
      </x:c>
      <x:c r="H21" s="34" t="str">
        <x:v>https://www.instagram.com/p/DXuGSzilDTA/</x:v>
      </x:c>
      <x:c r="I21" s="34" t="str">
        <x:v>OFFICIAL-SOCIAL-EXACT</x:v>
      </x:c>
      <x:c r="J21" s="34" t="str">
        <x:v>A1</x:v>
      </x:c>
      <x:c r="K21" s="34" t="str">
        <x:v>Record identity confirmed; exact configuration pending</x:v>
      </x:c>
      <x:c r="L21" s="34" t="str">
        <x:v>Official GT history supports the brand's early-1980s BMX prominence.</x:v>
      </x:c>
      <x:c r="M21" s="34" t="str">
        <x:v>INDEX-ONLY</x:v>
      </x:c>
      <x:c r="N21" s="34" t="str">
        <x:v>Do not copy</x:v>
      </x:c>
      <x:c r="O21" s="34" t="str">
        <x:v>Paraphrase facts only</x:v>
      </x:c>
      <x:c r="P21" s="34" t="str">
        <x:v>2026-07-30</x:v>
      </x:c>
    </x:row>
    <x:row r="22" ht="26.399999618530273" hidden="0" customHeight="1">
      <x:c r="A22" s="34" t="str">
        <x:v>BM-BIKE-0021</x:v>
      </x:c>
      <x:c r="B22" s="34" t="n">
        <x:v>136118</x:v>
      </x:c>
      <x:c r="C22" s="34" t="n">
        <x:v>1983</x:v>
      </x:c>
      <x:c r="D22" s="34" t="str">
        <x:v>Mongoose</x:v>
      </x:c>
      <x:c r="E22" s="34" t="str">
        <x:v>Minigoose</x:v>
      </x:c>
      <x:c r="F22" s="34" t="str">
        <x:v>https://www.bmxmuseum.com/bikes/mongoose/136118</x:v>
      </x:c>
      <x:c r="G22" s="34" t="str">
        <x:v>Official BMXMuseum Instagram</x:v>
      </x:c>
      <x:c r="H22" s="34" t="str">
        <x:v>https://www.instagram.com/p/DWbwSXmlAuL/</x:v>
      </x:c>
      <x:c r="I22" s="34" t="str">
        <x:v>OFFICIAL-SOCIAL-EXACT</x:v>
      </x:c>
      <x:c r="J22" s="34" t="str">
        <x:v>A1</x:v>
      </x:c>
      <x:c r="K22" s="34" t="str">
        <x:v>Record identity confirmed; originality claim pending</x:v>
      </x:c>
      <x:c r="L22" s="34" t="str">
        <x:v>Post calls it all original; retain that only as a submitted claim.</x:v>
      </x:c>
      <x:c r="M22" s="34" t="str">
        <x:v>INDEX-ONLY</x:v>
      </x:c>
      <x:c r="N22" s="34" t="str">
        <x:v>Do not copy</x:v>
      </x:c>
      <x:c r="O22" s="34" t="str">
        <x:v>Paraphrase facts only</x:v>
      </x:c>
      <x:c r="P22" s="34" t="str">
        <x:v>2026-07-30</x:v>
      </x:c>
    </x:row>
    <x:row r="23" ht="26.399999618530273" hidden="0" customHeight="1">
      <x:c r="A23" s="34" t="str">
        <x:v>BM-BIKE-0022</x:v>
      </x:c>
      <x:c r="B23" s="34" t="n">
        <x:v>136055</x:v>
      </x:c>
      <x:c r="C23" s="34" t="n">
        <x:v>1992</x:v>
      </x:c>
      <x:c r="D23" s="34" t="str">
        <x:v>GT Bicycles</x:v>
      </x:c>
      <x:c r="E23" s="34" t="str">
        <x:v>Pro Series</x:v>
      </x:c>
      <x:c r="F23" s="34" t="str">
        <x:v>https://www.bmxmuseum.com/bikes/gt_bicycles/136055</x:v>
      </x:c>
      <x:c r="G23" s="34" t="str">
        <x:v>Official BMXMuseum Instagram</x:v>
      </x:c>
      <x:c r="H23" s="34" t="str">
        <x:v>https://www.instagram.com/reel/DU8w0SajuvE/</x:v>
      </x:c>
      <x:c r="I23" s="34" t="str">
        <x:v>OFFICIAL-SOCIAL-EXACT</x:v>
      </x:c>
      <x:c r="J23" s="34" t="str">
        <x:v>A1</x:v>
      </x:c>
      <x:c r="K23" s="34" t="str">
        <x:v>Record identity confirmed; stock-status claim pending</x:v>
      </x:c>
      <x:c r="L23" s="34" t="str">
        <x:v>Post calls it a nice stock bike; independently verify before adopting.</x:v>
      </x:c>
      <x:c r="M23" s="34" t="str">
        <x:v>INDEX-ONLY</x:v>
      </x:c>
      <x:c r="N23" s="34" t="str">
        <x:v>Do not copy</x:v>
      </x:c>
      <x:c r="O23" s="34" t="str">
        <x:v>Paraphrase facts only</x:v>
      </x:c>
      <x:c r="P23" s="34" t="str">
        <x:v>2026-07-30</x:v>
      </x:c>
    </x:row>
    <x:row r="24" ht="26.399999618530273" hidden="0" customHeight="1">
      <x:c r="A24" s="34" t="str">
        <x:v>BM-BIKE-0023</x:v>
      </x:c>
      <x:c r="B24" s="34" t="n">
        <x:v>135014</x:v>
      </x:c>
      <x:c r="C24" s="34" t="n">
        <x:v>1979</x:v>
      </x:c>
      <x:c r="D24" s="34" t="str">
        <x:v>Raleigh</x:v>
      </x:c>
      <x:c r="E24" s="34" t="str">
        <x:v>Grifter</x:v>
      </x:c>
      <x:c r="F24" s="34" t="str">
        <x:v>https://www.bmxmuseum.com/bikes/raleigh/135014</x:v>
      </x:c>
      <x:c r="G24" s="34" t="str">
        <x:v>Official BMXMuseum Instagram</x:v>
      </x:c>
      <x:c r="H24" s="34" t="str">
        <x:v>https://www.instagram.com/p/DWopcHUlAnw/</x:v>
      </x:c>
      <x:c r="I24" s="34" t="str">
        <x:v>OFFICIAL-SOCIAL-EXACT</x:v>
      </x:c>
      <x:c r="J24" s="34" t="str">
        <x:v>A1</x:v>
      </x:c>
      <x:c r="K24" s="34" t="str">
        <x:v>Record identity confirmed; BMX classification needs contextual review</x:v>
      </x:c>
      <x:c r="L24" s="34" t="str">
        <x:v>Grifter is historically significant but may sit at BMX-adjacent/precursor boundary.</x:v>
      </x:c>
      <x:c r="M24" s="34" t="str">
        <x:v>INDEX-ONLY</x:v>
      </x:c>
      <x:c r="N24" s="34" t="str">
        <x:v>Do not copy</x:v>
      </x:c>
      <x:c r="O24" s="34" t="str">
        <x:v>Paraphrase facts only</x:v>
      </x:c>
      <x:c r="P24" s="34" t="str">
        <x:v>2026-07-30</x:v>
      </x:c>
    </x:row>
    <x:row r="25" ht="26.399999618530273" hidden="0" customHeight="1">
      <x:c r="A25" s="34" t="str">
        <x:v>BM-BIKE-0024</x:v>
      </x:c>
      <x:c r="B25" s="34" t="n">
        <x:v>136046</x:v>
      </x:c>
      <x:c r="C25" s="34" t="n">
        <x:v>1976</x:v>
      </x:c>
      <x:c r="D25" s="34" t="str">
        <x:v>Racer's X</x:v>
      </x:c>
      <x:c r="E25" s="34" t="str">
        <x:v>Super-X</x:v>
      </x:c>
      <x:c r="F25" s="34" t="str">
        <x:v>https://www.bmxmuseum.com/bikes/racers_x/136046</x:v>
      </x:c>
      <x:c r="G25" s="34" t="str">
        <x:v>Official BMXMuseum Instagram</x:v>
      </x:c>
      <x:c r="H25" s="34" t="str">
        <x:v>https://www.instagram.com/p/Da5xRgCCd3Q/</x:v>
      </x:c>
      <x:c r="I25" s="34" t="str">
        <x:v>OFFICIAL-SOCIAL-EXACT</x:v>
      </x:c>
      <x:c r="J25" s="34" t="str">
        <x:v>A1</x:v>
      </x:c>
      <x:c r="K25" s="34" t="str">
        <x:v>Record identity confirmed; model history pending</x:v>
      </x:c>
      <x:c r="L25" s="34" t="str">
        <x:v>Early-BMX lead requiring catalog or period-ad verification.</x:v>
      </x:c>
      <x:c r="M25" s="34" t="str">
        <x:v>INDEX-ONLY</x:v>
      </x:c>
      <x:c r="N25" s="34" t="str">
        <x:v>Do not copy</x:v>
      </x:c>
      <x:c r="O25" s="34" t="str">
        <x:v>Paraphrase facts only</x:v>
      </x:c>
      <x:c r="P25" s="34" t="str">
        <x:v>2026-07-30</x:v>
      </x:c>
    </x:row>
    <x:row r="26" ht="26.399999618530273" hidden="0" customHeight="1">
      <x:c r="A26" s="34" t="str">
        <x:v>BM-BIKE-0025</x:v>
      </x:c>
      <x:c r="B26" s="34" t="n">
        <x:v>136181</x:v>
      </x:c>
      <x:c r="C26" s="34" t="n">
        <x:v>1995</x:v>
      </x:c>
      <x:c r="D26" s="34" t="str">
        <x:v>ELF</x:v>
      </x:c>
      <x:c r="E26" s="34" t="str">
        <x:v>Pro</x:v>
      </x:c>
      <x:c r="F26" s="34" t="str">
        <x:v>https://www.bmxmuseum.com/bikes/elf/136181</x:v>
      </x:c>
      <x:c r="G26" s="34" t="str">
        <x:v>Official BMXMuseum Instagram</x:v>
      </x:c>
      <x:c r="H26" s="34" t="str">
        <x:v>https://www.instagram.com/p/DbYg6x6lK9V/</x:v>
      </x:c>
      <x:c r="I26" s="34" t="str">
        <x:v>OFFICIAL-SOCIAL-EXACT</x:v>
      </x:c>
      <x:c r="J26" s="34" t="str">
        <x:v>A1</x:v>
      </x:c>
      <x:c r="K26" s="34" t="str">
        <x:v>Record identity confirmed; configuration pending</x:v>
      </x:c>
      <x:c r="L26" s="34" t="str">
        <x:v>Recent addition as of July 29, 2026.</x:v>
      </x:c>
      <x:c r="M26" s="34" t="str">
        <x:v>INDEX-ONLY</x:v>
      </x:c>
      <x:c r="N26" s="34" t="str">
        <x:v>Do not copy</x:v>
      </x:c>
      <x:c r="O26" s="34" t="str">
        <x:v>Paraphrase facts only</x:v>
      </x:c>
      <x:c r="P26" s="34" t="str">
        <x:v>2026-07-30</x:v>
      </x:c>
    </x:row>
    <x:row r="27" ht="26.399999618530273" hidden="0" customHeight="1">
      <x:c r="A27" s="34" t="str">
        <x:v>BM-BIKE-0026</x:v>
      </x:c>
      <x:c r="B27" s="34" t="n">
        <x:v>135945</x:v>
      </x:c>
      <x:c r="C27" s="34"/>
      <x:c r="D27" s="34" t="str">
        <x:v>Santa Cruz</x:v>
      </x:c>
      <x:c r="E27" s="34" t="str">
        <x:v>BMX bicycle</x:v>
      </x:c>
      <x:c r="F27" s="34" t="str">
        <x:v>https://www.bmxmuseum.com/bikes/santa_cruz/135945</x:v>
      </x:c>
      <x:c r="G27" s="34" t="str">
        <x:v>Official BMXMuseum Instagram</x:v>
      </x:c>
      <x:c r="H27" s="34" t="str">
        <x:v>https://www.instagram.com/p/DPg-quYkom5/</x:v>
      </x:c>
      <x:c r="I27" s="34" t="str">
        <x:v>OFFICIAL-SOCIAL-EXACT</x:v>
      </x:c>
      <x:c r="J27" s="34" t="str">
        <x:v>A1</x:v>
      </x:c>
      <x:c r="K27" s="34" t="str">
        <x:v>Record identity confirmed; year/model pending</x:v>
      </x:c>
      <x:c r="L27" s="34" t="str">
        <x:v>Post describes Spin mags and a mid-school character; do not infer production specification.</x:v>
      </x:c>
      <x:c r="M27" s="34" t="str">
        <x:v>INDEX-ONLY</x:v>
      </x:c>
      <x:c r="N27" s="34" t="str">
        <x:v>Do not copy</x:v>
      </x:c>
      <x:c r="O27" s="34" t="str">
        <x:v>Paraphrase facts only</x:v>
      </x:c>
      <x:c r="P27" s="34" t="str">
        <x:v>2026-07-30</x:v>
      </x:c>
    </x:row>
    <x:row r="28" ht="26.399999618530273" hidden="0" customHeight="1">
      <x:c r="A28" s="34" t="str">
        <x:v>BM-BIKE-0027</x:v>
      </x:c>
      <x:c r="B28" s="34" t="n">
        <x:v>135833</x:v>
      </x:c>
      <x:c r="C28" s="34" t="n">
        <x:v>2023</x:v>
      </x:c>
      <x:c r="D28" s="34" t="str">
        <x:v>Redline</x:v>
      </x:c>
      <x:c r="E28" s="34" t="str">
        <x:v>PL-26</x:v>
      </x:c>
      <x:c r="F28" s="34" t="str">
        <x:v>https://www.bmxmuseum.com/bikes/redline/135833</x:v>
      </x:c>
      <x:c r="G28" s="34" t="str">
        <x:v>Official BMXMuseum Instagram</x:v>
      </x:c>
      <x:c r="H28" s="34" t="str">
        <x:v>https://www.instagram.com/reel/DVBobixET1c/</x:v>
      </x:c>
      <x:c r="I28" s="34" t="str">
        <x:v>OFFICIAL-SOCIAL-EXACT</x:v>
      </x:c>
      <x:c r="J28" s="34" t="str">
        <x:v>A1</x:v>
      </x:c>
      <x:c r="K28" s="34" t="str">
        <x:v>Record identity confirmed; modern product verification available</x:v>
      </x:c>
      <x:c r="L28" s="34" t="str">
        <x:v>Modern large-wheel BMX/cruiser record.</x:v>
      </x:c>
      <x:c r="M28" s="34" t="str">
        <x:v>INDEX-ONLY</x:v>
      </x:c>
      <x:c r="N28" s="34" t="str">
        <x:v>Do not copy</x:v>
      </x:c>
      <x:c r="O28" s="34" t="str">
        <x:v>Paraphrase facts only</x:v>
      </x:c>
      <x:c r="P28" s="34" t="str">
        <x:v>2026-07-30</x:v>
      </x:c>
    </x:row>
    <x:row r="29" ht="26.399999618530273" hidden="0" customHeight="1">
      <x:c r="A29" s="34" t="str">
        <x:v>BM-BIKE-0028</x:v>
      </x:c>
      <x:c r="B29" s="34" t="n">
        <x:v>135184</x:v>
      </x:c>
      <x:c r="C29" s="34" t="n">
        <x:v>1986</x:v>
      </x:c>
      <x:c r="D29" s="34" t="str">
        <x:v>GT Bicycles</x:v>
      </x:c>
      <x:c r="E29" s="34" t="str">
        <x:v>Early complete race bike; exact model unresolved</x:v>
      </x:c>
      <x:c r="F29" s="34" t="str">
        <x:v>https://www.bmxmuseum.com/bikes/gt_bicycles/135184</x:v>
      </x:c>
      <x:c r="G29" s="34" t="str">
        <x:v>Official BMXMuseum Instagram / X</x:v>
      </x:c>
      <x:c r="H29" s="34" t="str">
        <x:v>https://x.com/BmxmuseumGAry/status/2045525652078747659</x:v>
      </x:c>
      <x:c r="I29" s="34" t="str">
        <x:v>OFFICIAL-SOCIAL-EXACT</x:v>
      </x:c>
      <x:c r="J29" s="34" t="str">
        <x:v>A1</x:v>
      </x:c>
      <x:c r="K29" s="34" t="str">
        <x:v>Record ID/year/brand confirmed; model unresolved</x:v>
      </x:c>
      <x:c r="L29" s="34" t="str">
        <x:v>Do not invent a model name from the photo or era.</x:v>
      </x:c>
      <x:c r="M29" s="34" t="str">
        <x:v>INDEX-ONLY</x:v>
      </x:c>
      <x:c r="N29" s="34" t="str">
        <x:v>Do not copy</x:v>
      </x:c>
      <x:c r="O29" s="34" t="str">
        <x:v>Paraphrase facts only</x:v>
      </x:c>
      <x:c r="P29" s="34" t="str">
        <x:v>2026-07-30</x:v>
      </x:c>
    </x:row>
    <x:row r="30" ht="26.399999618530273" hidden="0" customHeight="1">
      <x:c r="A30" s="34" t="str">
        <x:v>BM-BIKE-0029</x:v>
      </x:c>
      <x:c r="B30" s="34" t="n">
        <x:v>134583</x:v>
      </x:c>
      <x:c r="C30" s="34" t="n">
        <x:v>1998</x:v>
      </x:c>
      <x:c r="D30" s="34" t="str">
        <x:v>Mongoose</x:v>
      </x:c>
      <x:c r="E30" s="34" t="str">
        <x:v>Outer Limit</x:v>
      </x:c>
      <x:c r="F30" s="34" t="str">
        <x:v>https://www.bmxmuseum.com/bikes/mongoose/134583</x:v>
      </x:c>
      <x:c r="G30" s="34" t="str">
        <x:v>Official BMXMuseum Instagram</x:v>
      </x:c>
      <x:c r="H30" s="34" t="str">
        <x:v>https://www.instagram.com/reel/DAeAc0it8T-/</x:v>
      </x:c>
      <x:c r="I30" s="34" t="str">
        <x:v>OFFICIAL-SOCIAL-EXACT</x:v>
      </x:c>
      <x:c r="J30" s="34" t="str">
        <x:v>A1</x:v>
      </x:c>
      <x:c r="K30" s="34" t="str">
        <x:v>Record identity confirmed; specification pending</x:v>
      </x:c>
      <x:c r="L30" s="34" t="str">
        <x:v>Submitted title uses 'Outer Limit'; preserve spelling exactly until catalog checked.</x:v>
      </x:c>
      <x:c r="M30" s="34" t="str">
        <x:v>INDEX-ONLY</x:v>
      </x:c>
      <x:c r="N30" s="34" t="str">
        <x:v>Do not copy</x:v>
      </x:c>
      <x:c r="O30" s="34" t="str">
        <x:v>Paraphrase facts only</x:v>
      </x:c>
      <x:c r="P30" s="34" t="str">
        <x:v>2026-07-30</x:v>
      </x:c>
    </x:row>
    <x:row r="31" ht="26.399999618530273" hidden="0" customHeight="1">
      <x:c r="A31" s="34" t="str">
        <x:v>BM-BIKE-0030</x:v>
      </x:c>
      <x:c r="B31" s="34" t="n">
        <x:v>135623</x:v>
      </x:c>
      <x:c r="C31" s="34"/>
      <x:c r="D31" s="34" t="str">
        <x:v>Mongoose</x:v>
      </x:c>
      <x:c r="E31" s="34" t="str">
        <x:v>Super Goose</x:v>
      </x:c>
      <x:c r="F31" s="34" t="str">
        <x:v>https://www.bmxmuseum.com/bikes/mongoose/135623</x:v>
      </x:c>
      <x:c r="G31" s="34" t="str">
        <x:v>Official BMXMuseum Instagram / Facebook</x:v>
      </x:c>
      <x:c r="H31" s="34" t="str">
        <x:v>https://www.instagram.com/p/DZDYKuAGvmT/</x:v>
      </x:c>
      <x:c r="I31" s="34" t="str">
        <x:v>OFFICIAL-SOCIAL-EXACT</x:v>
      </x:c>
      <x:c r="J31" s="34" t="str">
        <x:v>A1</x:v>
      </x:c>
      <x:c r="K31" s="34" t="str">
        <x:v>Record identity and milestone association confirmed</x:v>
      </x:c>
      <x:c r="L31" s="34" t="str">
        <x:v>Official post identifies this as approximately the 90,000th submitted bike on June 1, 2026.</x:v>
      </x:c>
      <x:c r="M31" s="34" t="str">
        <x:v>INDEX-ONLY</x:v>
      </x:c>
      <x:c r="N31" s="34" t="str">
        <x:v>Do not copy</x:v>
      </x:c>
      <x:c r="O31" s="34" t="str">
        <x:v>Paraphrase facts only</x:v>
      </x:c>
      <x:c r="P31" s="34" t="str">
        <x:v>2026-07-30</x:v>
      </x:c>
    </x:row>
    <x:row r="32" ht="26.399999618530273" hidden="0" customHeight="1">
      <x:c r="A32" s="34" t="str">
        <x:v>BM-BIKE-0031</x:v>
      </x:c>
      <x:c r="B32" s="34" t="n">
        <x:v>135922</x:v>
      </x:c>
      <x:c r="C32" s="34" t="n">
        <x:v>1983</x:v>
      </x:c>
      <x:c r="D32" s="34" t="str">
        <x:v>SE Racing</x:v>
      </x:c>
      <x:c r="E32" s="34" t="str">
        <x:v>Quadangle</x:v>
      </x:c>
      <x:c r="F32" s="34" t="str">
        <x:v>https://www.bmxmuseum.com/bikes/se_racing/135922</x:v>
      </x:c>
      <x:c r="G32" s="34" t="str">
        <x:v>Gary Sansom public Facebook / Instagram</x:v>
      </x:c>
      <x:c r="H32" s="34" t="str">
        <x:v>https://www.facebook.com/gary.sansom.7/photos/10238927819046599/</x:v>
      </x:c>
      <x:c r="I32" s="34" t="str">
        <x:v>OFFICIAL-SOCIAL-EXACT</x:v>
      </x:c>
      <x:c r="J32" s="34" t="str">
        <x:v>A1</x:v>
      </x:c>
      <x:c r="K32" s="34" t="str">
        <x:v>Record identity confirmed; component originality pending</x:v>
      </x:c>
      <x:c r="L32" s="34" t="str">
        <x:v>Public post identifies original Tuff Guy Tan finish; retain as claim pending examination.</x:v>
      </x:c>
      <x:c r="M32" s="34" t="str">
        <x:v>INDEX-ONLY</x:v>
      </x:c>
      <x:c r="N32" s="34" t="str">
        <x:v>Do not copy</x:v>
      </x:c>
      <x:c r="O32" s="34" t="str">
        <x:v>Paraphrase facts only</x:v>
      </x:c>
      <x:c r="P32" s="34" t="str">
        <x:v>2026-07-30</x:v>
      </x:c>
    </x:row>
    <x:row r="33" ht="26.399999618530273" hidden="0" customHeight="1">
      <x:c r="A33" s="34" t="str">
        <x:v>BM-BIKE-0032</x:v>
      </x:c>
      <x:c r="B33" s="34" t="n">
        <x:v>135823</x:v>
      </x:c>
      <x:c r="C33" s="34" t="n">
        <x:v>1991</x:v>
      </x:c>
      <x:c r="D33" s="34" t="str">
        <x:v>SE Racing</x:v>
      </x:c>
      <x:c r="E33" s="34" t="str">
        <x:v>Quadangle replica/build</x:v>
      </x:c>
      <x:c r="F33" s="34" t="str">
        <x:v>https://www.bmxmuseum.com/bikes/se_racing/135823</x:v>
      </x:c>
      <x:c r="G33" s="34" t="str">
        <x:v>Gary Sansom public Facebook</x:v>
      </x:c>
      <x:c r="H33" s="34" t="str">
        <x:v>https://www.facebook.com/gary.sansom.7/photos/10238769525129350/</x:v>
      </x:c>
      <x:c r="I33" s="34" t="str">
        <x:v>OFFICIAL-SOCIAL-EXACT</x:v>
      </x:c>
      <x:c r="J33" s="34" t="str">
        <x:v>A1</x:v>
      </x:c>
      <x:c r="K33" s="34" t="str">
        <x:v>Record identity and replica status confirmed</x:v>
      </x:c>
      <x:c r="L33" s="34" t="str">
        <x:v>Explicitly identified as a replica/build; not evidence of a factory-original 1991 configuration.</x:v>
      </x:c>
      <x:c r="M33" s="34" t="str">
        <x:v>INDEX-ONLY</x:v>
      </x:c>
      <x:c r="N33" s="34" t="str">
        <x:v>Do not copy</x:v>
      </x:c>
      <x:c r="O33" s="34" t="str">
        <x:v>Paraphrase facts only</x:v>
      </x:c>
      <x:c r="P33" s="34" t="str">
        <x:v>2026-07-30</x:v>
      </x:c>
    </x:row>
    <x:row r="34" ht="26.399999618530273" hidden="0" customHeight="1">
      <x:c r="A34" s="34" t="str">
        <x:v>BM-BIKE-0033</x:v>
      </x:c>
      <x:c r="B34" s="34" t="n">
        <x:v>134896</x:v>
      </x:c>
      <x:c r="C34" s="34" t="n">
        <x:v>1986</x:v>
      </x:c>
      <x:c r="D34" s="34" t="str">
        <x:v>Kuwahara</x:v>
      </x:c>
      <x:c r="E34" s="34" t="str">
        <x:v>Bravo KT</x:v>
      </x:c>
      <x:c r="F34" s="34" t="str">
        <x:v>https://www.bmxmuseum.com/bikes/kuwahara/134896</x:v>
      </x:c>
      <x:c r="G34" s="34" t="str">
        <x:v>Official BMXMuseum Instagram</x:v>
      </x:c>
      <x:c r="H34" s="34" t="str">
        <x:v>https://www.instagram.com/p/DWJu3l4lKRi/</x:v>
      </x:c>
      <x:c r="I34" s="34" t="str">
        <x:v>OFFICIAL-SOCIAL-EXACT</x:v>
      </x:c>
      <x:c r="J34" s="34" t="str">
        <x:v>A1</x:v>
      </x:c>
      <x:c r="K34" s="34" t="str">
        <x:v>Record identity confirmed; factory specification pending</x:v>
      </x:c>
      <x:c r="L34" s="34" t="str">
        <x:v>Model/year independently supported by specialist Kuwahara references.</x:v>
      </x:c>
      <x:c r="M34" s="34" t="str">
        <x:v>INDEX-ONLY</x:v>
      </x:c>
      <x:c r="N34" s="34" t="str">
        <x:v>Do not copy</x:v>
      </x:c>
      <x:c r="O34" s="34" t="str">
        <x:v>Paraphrase facts only</x:v>
      </x:c>
      <x:c r="P34" s="34" t="str">
        <x:v>2026-07-30</x:v>
      </x:c>
    </x:row>
    <x:row r="35" ht="26.399999618530273" hidden="0" customHeight="1">
      <x:c r="A35" s="34" t="str">
        <x:v>BM-BIKE-0034</x:v>
      </x:c>
      <x:c r="B35" s="34" t="n">
        <x:v>116335</x:v>
      </x:c>
      <x:c r="C35" s="34" t="n">
        <x:v>1981</x:v>
      </x:c>
      <x:c r="D35" s="34" t="str">
        <x:v>Kuwahara</x:v>
      </x:c>
      <x:c r="E35" s="34" t="str">
        <x:v>KZ-1</x:v>
      </x:c>
      <x:c r="F35" s="34" t="str">
        <x:v>https://www.bmxmuseum.com/bikes/kuwahara/116335</x:v>
      </x:c>
      <x:c r="G35" s="34" t="str">
        <x:v>Public builder/customer post</x:v>
      </x:c>
      <x:c r="H35" s="34" t="str">
        <x:v>https://www.facebook.com/VintageSteelBMX/videos/694579199878348/</x:v>
      </x:c>
      <x:c r="I35" s="34" t="str">
        <x:v>EXTERNAL-DIRECT-LINK</x:v>
      </x:c>
      <x:c r="J35" s="34" t="str">
        <x:v>A2</x:v>
      </x:c>
      <x:c r="K35" s="34" t="str">
        <x:v>Record identity confirmed externally; custom build status confirmed</x:v>
      </x:c>
      <x:c r="L35" s="34" t="str">
        <x:v>A customer build, not automatic evidence of factory-original specification.</x:v>
      </x:c>
      <x:c r="M35" s="34" t="str">
        <x:v>INDEX-ONLY</x:v>
      </x:c>
      <x:c r="N35" s="34" t="str">
        <x:v>Do not copy</x:v>
      </x:c>
      <x:c r="O35" s="34" t="str">
        <x:v>Paraphrase facts only</x:v>
      </x:c>
      <x:c r="P35" s="34" t="str">
        <x:v>2026-07-30</x:v>
      </x:c>
    </x:row>
    <x:row r="36" ht="26.399999618530273" hidden="0" customHeight="1">
      <x:c r="A36" s="34" t="str">
        <x:v>BM-BIKE-0035</x:v>
      </x:c>
      <x:c r="B36" s="34" t="n">
        <x:v>20584</x:v>
      </x:c>
      <x:c r="C36" s="34" t="n">
        <x:v>1985</x:v>
      </x:c>
      <x:c r="D36" s="34" t="str">
        <x:v>Malvern Star</x:v>
      </x:c>
      <x:c r="E36" s="34" t="str">
        <x:v>Maxi Freestyle</x:v>
      </x:c>
      <x:c r="F36" s="34" t="str">
        <x:v>https://www.bmxmuseum.com/bikes/malvern_star/20584</x:v>
      </x:c>
      <x:c r="G36" s="34" t="str">
        <x:v>Public BMX group result</x:v>
      </x:c>
      <x:c r="H36" s="34" t="str">
        <x:v>https://www.facebook.com/groups/1642674859393701/</x:v>
      </x:c>
      <x:c r="I36" s="34" t="str">
        <x:v>EXTERNAL-DIRECT-LINK</x:v>
      </x:c>
      <x:c r="J36" s="34" t="str">
        <x:v>A2</x:v>
      </x:c>
      <x:c r="K36" s="34" t="str">
        <x:v>Record identity confirmed externally; specification pending</x:v>
      </x:c>
      <x:c r="L36" s="34" t="str">
        <x:v>Australian-market lead.</x:v>
      </x:c>
      <x:c r="M36" s="34" t="str">
        <x:v>INDEX-ONLY</x:v>
      </x:c>
      <x:c r="N36" s="34" t="str">
        <x:v>Do not copy</x:v>
      </x:c>
      <x:c r="O36" s="34" t="str">
        <x:v>Paraphrase facts only</x:v>
      </x:c>
      <x:c r="P36" s="34" t="str">
        <x:v>2026-07-30</x:v>
      </x:c>
    </x:row>
    <x:row r="37" ht="26.399999618530273" hidden="0" customHeight="1">
      <x:c r="A37" s="34" t="str">
        <x:v>BM-BIKE-0036</x:v>
      </x:c>
      <x:c r="B37" s="34" t="n">
        <x:v>47813</x:v>
      </x:c>
      <x:c r="C37" s="34"/>
      <x:c r="D37" s="34" t="str">
        <x:v>Peugeot</x:v>
      </x:c>
      <x:c r="E37" s="34" t="str">
        <x:v>CPX-300</x:v>
      </x:c>
      <x:c r="F37" s="34" t="str">
        <x:v>https://www.bmxmuseum.com/bikes/peugeot/47813</x:v>
      </x:c>
      <x:c r="G37" s="34" t="str">
        <x:v>Public forum owner reference</x:v>
      </x:c>
      <x:c r="H37" s="34" t="str">
        <x:v>https://forum.slowtwitch.com/t/your-bmx-bike/820579?page=4</x:v>
      </x:c>
      <x:c r="I37" s="34" t="str">
        <x:v>EXTERNAL-DIRECT-LINK</x:v>
      </x:c>
      <x:c r="J37" s="34" t="str">
        <x:v>A2</x:v>
      </x:c>
      <x:c r="K37" s="34" t="str">
        <x:v>Record identity confirmed; year not exposed; modified status confirmed</x:v>
      </x:c>
      <x:c r="L37" s="34" t="str">
        <x:v>Owner explicitly says the bike has many upgrades from stock.</x:v>
      </x:c>
      <x:c r="M37" s="34" t="str">
        <x:v>INDEX-ONLY</x:v>
      </x:c>
      <x:c r="N37" s="34" t="str">
        <x:v>Do not copy</x:v>
      </x:c>
      <x:c r="O37" s="34" t="str">
        <x:v>Paraphrase facts only</x:v>
      </x:c>
      <x:c r="P37" s="34" t="str">
        <x:v>2026-07-30</x:v>
      </x:c>
    </x:row>
    <x:row r="38" ht="26.399999618530273" hidden="0" customHeight="1">
      <x:c r="A38" s="34" t="str">
        <x:v>BM-BIKE-0037</x:v>
      </x:c>
      <x:c r="B38" s="34" t="n">
        <x:v>113449</x:v>
      </x:c>
      <x:c r="C38" s="34" t="n">
        <x:v>2006</x:v>
      </x:c>
      <x:c r="D38" s="34" t="str">
        <x:v>ABD</x:v>
      </x:c>
      <x:c r="E38" s="34" t="str">
        <x:v>720</x:v>
      </x:c>
      <x:c r="F38" s="34" t="str">
        <x:v>https://www.bmxmuseum.com/bikes/abd/113449</x:v>
      </x:c>
      <x:c r="G38" s="34" t="str">
        <x:v>External identification discussion</x:v>
      </x:c>
      <x:c r="H38" s="34" t="str">
        <x:v>https://www.reddit.com/r/Vintage_bicycles/comments/1bntvpk/bike_identification/</x:v>
      </x:c>
      <x:c r="I38" s="34" t="str">
        <x:v>EXTERNAL-IDENTIFICATION</x:v>
      </x:c>
      <x:c r="J38" s="34" t="str">
        <x:v>A2</x:v>
      </x:c>
      <x:c r="K38" s="34" t="str">
        <x:v>Record used as successful identification comparison</x:v>
      </x:c>
      <x:c r="L38" s="34" t="str">
        <x:v>Discussion identifies ABD as Avanti BMX Development and describes AUS/NZ market context; verify independently.</x:v>
      </x:c>
      <x:c r="M38" s="34" t="str">
        <x:v>INDEX-ONLY</x:v>
      </x:c>
      <x:c r="N38" s="34" t="str">
        <x:v>Do not copy</x:v>
      </x:c>
      <x:c r="O38" s="34" t="str">
        <x:v>Paraphrase facts only</x:v>
      </x:c>
      <x:c r="P38" s="34" t="str">
        <x:v>2026-07-30</x:v>
      </x:c>
    </x:row>
    <x:row r="39" ht="26.399999618530273" hidden="0" customHeight="1">
      <x:c r="A39" s="34" t="str">
        <x:v>BM-BIKE-0038</x:v>
      </x:c>
      <x:c r="B39" s="34" t="n">
        <x:v>45892</x:v>
      </x:c>
      <x:c r="C39" s="34"/>
      <x:c r="D39" s="34" t="str">
        <x:v>Fuji</x:v>
      </x:c>
      <x:c r="E39" s="34" t="str">
        <x:v>MX-500</x:v>
      </x:c>
      <x:c r="F39" s="34" t="str">
        <x:v>https://www.bmxmuseum.com/bikes/fuji/45892</x:v>
      </x:c>
      <x:c r="G39" s="34" t="str">
        <x:v>External identification discussion</x:v>
      </x:c>
      <x:c r="H39" s="34" t="str">
        <x:v>https://www.reddit.com/r/bmx/comments/1p51edh/can_anyone_help_determine_what_model_this_is/</x:v>
      </x:c>
      <x:c r="I39" s="34" t="str">
        <x:v>EXTERNAL-IDENTIFICATION</x:v>
      </x:c>
      <x:c r="J39" s="34" t="str">
        <x:v>A2</x:v>
      </x:c>
      <x:c r="K39" s="34" t="str">
        <x:v>Comparison record; model identification supported by physical features</x:v>
      </x:c>
      <x:c r="L39" s="34" t="str">
        <x:v>Used with record 130516 and forum thread 816796.</x:v>
      </x:c>
      <x:c r="M39" s="34" t="str">
        <x:v>INDEX-ONLY</x:v>
      </x:c>
      <x:c r="N39" s="34" t="str">
        <x:v>Do not copy</x:v>
      </x:c>
      <x:c r="O39" s="34" t="str">
        <x:v>Paraphrase facts only</x:v>
      </x:c>
      <x:c r="P39" s="34" t="str">
        <x:v>2026-07-30</x:v>
      </x:c>
    </x:row>
    <x:row r="40" ht="26.399999618530273" hidden="0" customHeight="1">
      <x:c r="A40" s="34" t="str">
        <x:v>BM-BIKE-0039</x:v>
      </x:c>
      <x:c r="B40" s="34" t="n">
        <x:v>130516</x:v>
      </x:c>
      <x:c r="C40" s="34"/>
      <x:c r="D40" s="34" t="str">
        <x:v>Fuji</x:v>
      </x:c>
      <x:c r="E40" s="34" t="str">
        <x:v>MX-500</x:v>
      </x:c>
      <x:c r="F40" s="34" t="str">
        <x:v>https://www.bmxmuseum.com/bikes/fuji/130516</x:v>
      </x:c>
      <x:c r="G40" s="34" t="str">
        <x:v>External identification discussion</x:v>
      </x:c>
      <x:c r="H40" s="34" t="str">
        <x:v>https://www.reddit.com/r/bmx/comments/1p51edh/can_anyone_help_determine_what_model_this_is/</x:v>
      </x:c>
      <x:c r="I40" s="34" t="str">
        <x:v>EXTERNAL-IDENTIFICATION</x:v>
      </x:c>
      <x:c r="J40" s="34" t="str">
        <x:v>A2</x:v>
      </x:c>
      <x:c r="K40" s="34" t="str">
        <x:v>Comparison record; model identification supported by physical features</x:v>
      </x:c>
      <x:c r="L40" s="34" t="str">
        <x:v>Used with record 45892 and forum thread 816796.</x:v>
      </x:c>
      <x:c r="M40" s="34" t="str">
        <x:v>INDEX-ONLY</x:v>
      </x:c>
      <x:c r="N40" s="34" t="str">
        <x:v>Do not copy</x:v>
      </x:c>
      <x:c r="O40" s="34" t="str">
        <x:v>Paraphrase facts only</x:v>
      </x:c>
      <x:c r="P40" s="34" t="str">
        <x:v>2026-07-30</x:v>
      </x:c>
    </x:row>
    <x:row r="41" ht="26.399999618530273" hidden="0" customHeight="1">
      <x:c r="A41" s="34" t="str">
        <x:v>BM-BIKE-0040</x:v>
      </x:c>
      <x:c r="B41" s="34" t="n">
        <x:v>50075</x:v>
      </x:c>
      <x:c r="C41" s="34" t="n">
        <x:v>1997</x:v>
      </x:c>
      <x:c r="D41" s="34" t="str">
        <x:v>GT Bicycles</x:v>
      </x:c>
      <x:c r="E41" s="34" t="str">
        <x:v>Box-series bicycle; exact catalog model pending</x:v>
      </x:c>
      <x:c r="F41" s="34" t="str">
        <x:v>https://www.bmxmuseum.com/bikes/gt_bicycles/50075</x:v>
      </x:c>
      <x:c r="G41" s="34" t="str">
        <x:v>External identification discussion</x:v>
      </x:c>
      <x:c r="H41" s="34" t="str">
        <x:v>https://www.reddit.com/r/bmx/comments/7392lm/so_i_found_this_bike_for_15_at_salvation_army/</x:v>
      </x:c>
      <x:c r="I41" s="34" t="str">
        <x:v>EXTERNAL-IDENTIFICATION</x:v>
      </x:c>
      <x:c r="J41" s="34" t="str">
        <x:v>A2</x:v>
      </x:c>
      <x:c r="K41" s="34" t="str">
        <x:v>Comparison record; exact model label remains unresolved</x:v>
      </x:c>
      <x:c r="L41" s="34" t="str">
        <x:v>External thread discusses 1997/1998 dating and recall relevance; verify serial and model.</x:v>
      </x:c>
      <x:c r="M41" s="34" t="str">
        <x:v>INDEX-ONLY</x:v>
      </x:c>
      <x:c r="N41" s="34" t="str">
        <x:v>Do not copy</x:v>
      </x:c>
      <x:c r="O41" s="34" t="str">
        <x:v>Paraphrase facts only</x:v>
      </x:c>
      <x:c r="P41" s="34" t="str">
        <x:v>2026-07-30</x:v>
      </x:c>
    </x:row>
    <x:row r="42" ht="26.399999618530273" hidden="0" customHeight="1">
      <x:c r="A42" s="34" t="str">
        <x:v>BM-BIKE-0041</x:v>
      </x:c>
      <x:c r="B42" s="34" t="n">
        <x:v>105008</x:v>
      </x:c>
      <x:c r="C42" s="34"/>
      <x:c r="D42" s="34" t="str">
        <x:v>Hutch</x:v>
      </x:c>
      <x:c r="E42" s="34" t="str">
        <x:v>2020 calendar build-off entry</x:v>
      </x:c>
      <x:c r="F42" s="34" t="str">
        <x:v>https://www.bmxmuseum.com/bikes/hutch/105008</x:v>
      </x:c>
      <x:c r="G42" s="34" t="str">
        <x:v>Public BMXMuseum Facebook result</x:v>
      </x:c>
      <x:c r="H42" s="34" t="str">
        <x:v>https://www.facebook.com/groups/1444111922510206/posts/4245946752326695/</x:v>
      </x:c>
      <x:c r="I42" s="34" t="str">
        <x:v>EXTERNAL-DIRECT-LINK</x:v>
      </x:c>
      <x:c r="J42" s="34" t="str">
        <x:v>A2</x:v>
      </x:c>
      <x:c r="K42" s="34" t="str">
        <x:v>Record ID and build-off context confirmed</x:v>
      </x:c>
      <x:c r="L42" s="34" t="str">
        <x:v>Custom/contest build context; not factory-spec evidence.</x:v>
      </x:c>
      <x:c r="M42" s="34" t="str">
        <x:v>INDEX-ONLY</x:v>
      </x:c>
      <x:c r="N42" s="34" t="str">
        <x:v>Do not copy</x:v>
      </x:c>
      <x:c r="O42" s="34" t="str">
        <x:v>Paraphrase facts only</x:v>
      </x:c>
      <x:c r="P42" s="34" t="str">
        <x:v>2026-07-30</x:v>
      </x:c>
    </x:row>
    <x:row r="43">
      <x:c r="A43" s="34"/>
      <x:c r="B43" s="34"/>
      <x:c r="C43" s="34"/>
      <x:c r="D43" s="34"/>
      <x:c r="E43" s="34"/>
      <x:c r="F43" s="34"/>
      <x:c r="G43" s="34"/>
      <x:c r="H43" s="34"/>
      <x:c r="I43" s="34"/>
      <x:c r="J43" s="34"/>
      <x:c r="K43" s="34"/>
      <x:c r="L43" s="34"/>
      <x:c r="M43" s="34"/>
      <x:c r="N43" s="34"/>
      <x:c r="O43" s="34"/>
      <x:c r="P43" s="34"/>
    </x:row>
    <x:row r="44">
      <x:c r="A44" s="34"/>
      <x:c r="B44" s="34"/>
      <x:c r="C44" s="34"/>
      <x:c r="D44" s="34"/>
      <x:c r="E44" s="34"/>
      <x:c r="F44" s="34"/>
      <x:c r="G44" s="34"/>
      <x:c r="H44" s="34"/>
      <x:c r="I44" s="34"/>
      <x:c r="J44" s="34"/>
      <x:c r="K44" s="34"/>
      <x:c r="L44" s="34"/>
      <x:c r="M44" s="34"/>
      <x:c r="N44" s="34"/>
      <x:c r="O44" s="34"/>
      <x:c r="P44" s="34"/>
    </x:row>
    <x:row r="45">
      <x:c r="A45" s="34"/>
      <x:c r="B45" s="34"/>
      <x:c r="C45" s="34"/>
      <x:c r="D45" s="34"/>
      <x:c r="E45" s="34"/>
      <x:c r="F45" s="34"/>
      <x:c r="G45" s="34"/>
      <x:c r="H45" s="34"/>
      <x:c r="I45" s="34"/>
      <x:c r="J45" s="34"/>
      <x:c r="K45" s="34"/>
      <x:c r="L45" s="34"/>
      <x:c r="M45" s="34"/>
      <x:c r="N45" s="34"/>
      <x:c r="O45" s="34"/>
      <x:c r="P45" s="34"/>
    </x:row>
    <x:row r="46">
      <x:c r="A46" s="34"/>
      <x:c r="B46" s="34"/>
      <x:c r="C46" s="34"/>
      <x:c r="D46" s="34"/>
      <x:c r="E46" s="34"/>
      <x:c r="F46" s="34"/>
      <x:c r="G46" s="34"/>
      <x:c r="H46" s="34"/>
      <x:c r="I46" s="34"/>
      <x:c r="J46" s="34"/>
      <x:c r="K46" s="34"/>
      <x:c r="L46" s="34"/>
      <x:c r="M46" s="34"/>
      <x:c r="N46" s="34"/>
      <x:c r="O46" s="34"/>
      <x:c r="P46" s="34"/>
    </x:row>
    <x:row r="47">
      <x:c r="A47" s="34"/>
      <x:c r="B47" s="34"/>
      <x:c r="C47" s="34"/>
      <x:c r="D47" s="34"/>
      <x:c r="E47" s="34"/>
      <x:c r="F47" s="34"/>
      <x:c r="G47" s="34"/>
      <x:c r="H47" s="34"/>
      <x:c r="I47" s="34"/>
      <x:c r="J47" s="34"/>
      <x:c r="K47" s="34"/>
      <x:c r="L47" s="34"/>
      <x:c r="M47" s="34"/>
      <x:c r="N47" s="34"/>
      <x:c r="O47" s="34"/>
      <x:c r="P47" s="34"/>
    </x:row>
    <x:row r="48">
      <x:c r="A48" s="34"/>
      <x:c r="B48" s="34"/>
      <x:c r="C48" s="34"/>
      <x:c r="D48" s="34"/>
      <x:c r="E48" s="34"/>
      <x:c r="F48" s="34"/>
      <x:c r="G48" s="34"/>
      <x:c r="H48" s="34"/>
      <x:c r="I48" s="34"/>
      <x:c r="J48" s="34"/>
      <x:c r="K48" s="34"/>
      <x:c r="L48" s="34"/>
      <x:c r="M48" s="34"/>
      <x:c r="N48" s="34"/>
      <x:c r="O48" s="34"/>
      <x:c r="P48" s="34"/>
    </x:row>
    <x:row r="49">
      <x:c r="A49" s="34"/>
      <x:c r="B49" s="34"/>
      <x:c r="C49" s="34"/>
      <x:c r="D49" s="34"/>
      <x:c r="E49" s="34"/>
      <x:c r="F49" s="34"/>
      <x:c r="G49" s="34"/>
      <x:c r="H49" s="34"/>
      <x:c r="I49" s="34"/>
      <x:c r="J49" s="34"/>
      <x:c r="K49" s="34"/>
      <x:c r="L49" s="34"/>
      <x:c r="M49" s="34"/>
      <x:c r="N49" s="34"/>
      <x:c r="O49" s="34"/>
      <x:c r="P49" s="34"/>
    </x:row>
    <x:row r="50">
      <x:c r="A50" s="34"/>
      <x:c r="B50" s="34"/>
      <x:c r="C50" s="34"/>
      <x:c r="D50" s="34"/>
      <x:c r="E50" s="34"/>
      <x:c r="F50" s="34"/>
      <x:c r="G50" s="34"/>
      <x:c r="H50" s="34"/>
      <x:c r="I50" s="34"/>
      <x:c r="J50" s="34"/>
      <x:c r="K50" s="34"/>
      <x:c r="L50" s="34"/>
      <x:c r="M50" s="34"/>
      <x:c r="N50" s="34"/>
      <x:c r="O50" s="34"/>
      <x:c r="P50" s="34"/>
    </x:row>
    <x:row r="51">
      <x:c r="A51" s="34"/>
      <x:c r="B51" s="34"/>
      <x:c r="C51" s="34"/>
      <x:c r="D51" s="34"/>
      <x:c r="E51" s="34"/>
      <x:c r="F51" s="34"/>
      <x:c r="G51" s="34"/>
      <x:c r="H51" s="34"/>
      <x:c r="I51" s="34"/>
      <x:c r="J51" s="34"/>
      <x:c r="K51" s="34"/>
      <x:c r="L51" s="34"/>
      <x:c r="M51" s="34"/>
      <x:c r="N51" s="34"/>
      <x:c r="O51" s="34"/>
      <x:c r="P51" s="34"/>
    </x:row>
    <x:row r="52">
      <x:c r="A52" s="34"/>
      <x:c r="B52" s="34"/>
      <x:c r="C52" s="34"/>
      <x:c r="D52" s="34"/>
      <x:c r="E52" s="34"/>
      <x:c r="F52" s="34"/>
      <x:c r="G52" s="34"/>
      <x:c r="H52" s="34"/>
      <x:c r="I52" s="34"/>
      <x:c r="J52" s="34"/>
      <x:c r="K52" s="34"/>
      <x:c r="L52" s="34"/>
      <x:c r="M52" s="34"/>
      <x:c r="N52" s="34"/>
      <x:c r="O52" s="34"/>
      <x:c r="P52" s="34"/>
    </x:row>
    <x:row r="53">
      <x:c r="A53" s="34"/>
      <x:c r="B53" s="34"/>
      <x:c r="C53" s="34"/>
      <x:c r="D53" s="34"/>
      <x:c r="E53" s="34"/>
      <x:c r="F53" s="34"/>
      <x:c r="G53" s="34"/>
      <x:c r="H53" s="34"/>
      <x:c r="I53" s="34"/>
      <x:c r="J53" s="34"/>
      <x:c r="K53" s="34"/>
      <x:c r="L53" s="34"/>
      <x:c r="M53" s="34"/>
      <x:c r="N53" s="34"/>
      <x:c r="O53" s="34"/>
      <x:c r="P53" s="34"/>
    </x:row>
    <x:row r="54">
      <x:c r="A54" s="34"/>
      <x:c r="B54" s="34"/>
      <x:c r="C54" s="34"/>
      <x:c r="D54" s="34"/>
      <x:c r="E54" s="34"/>
      <x:c r="F54" s="34"/>
      <x:c r="G54" s="34"/>
      <x:c r="H54" s="34"/>
      <x:c r="I54" s="34"/>
      <x:c r="J54" s="34"/>
      <x:c r="K54" s="34"/>
      <x:c r="L54" s="34"/>
      <x:c r="M54" s="34"/>
      <x:c r="N54" s="34"/>
      <x:c r="O54" s="34"/>
      <x:c r="P54" s="34"/>
    </x:row>
    <x:row r="55">
      <x:c r="A55" s="34"/>
      <x:c r="B55" s="34"/>
      <x:c r="C55" s="34"/>
      <x:c r="D55" s="34"/>
      <x:c r="E55" s="34"/>
      <x:c r="F55" s="34"/>
      <x:c r="G55" s="34"/>
      <x:c r="H55" s="34"/>
      <x:c r="I55" s="34"/>
      <x:c r="J55" s="34"/>
      <x:c r="K55" s="34"/>
      <x:c r="L55" s="34"/>
      <x:c r="M55" s="34"/>
      <x:c r="N55" s="34"/>
      <x:c r="O55" s="34"/>
      <x:c r="P55" s="34"/>
    </x:row>
    <x:row r="56">
      <x:c r="A56" s="34"/>
      <x:c r="B56" s="34"/>
      <x:c r="C56" s="34"/>
      <x:c r="D56" s="34"/>
      <x:c r="E56" s="34"/>
      <x:c r="F56" s="34"/>
      <x:c r="G56" s="34"/>
      <x:c r="H56" s="34"/>
      <x:c r="I56" s="34"/>
      <x:c r="J56" s="34"/>
      <x:c r="K56" s="34"/>
      <x:c r="L56" s="34"/>
      <x:c r="M56" s="34"/>
      <x:c r="N56" s="34"/>
      <x:c r="O56" s="34"/>
      <x:c r="P56" s="34"/>
    </x:row>
    <x:row r="57">
      <x:c r="A57" s="34"/>
      <x:c r="B57" s="34"/>
      <x:c r="C57" s="34"/>
      <x:c r="D57" s="34"/>
      <x:c r="E57" s="34"/>
      <x:c r="F57" s="34"/>
      <x:c r="G57" s="34"/>
      <x:c r="H57" s="34"/>
      <x:c r="I57" s="34"/>
      <x:c r="J57" s="34"/>
      <x:c r="K57" s="34"/>
      <x:c r="L57" s="34"/>
      <x:c r="M57" s="34"/>
      <x:c r="N57" s="34"/>
      <x:c r="O57" s="34"/>
      <x:c r="P57" s="34"/>
    </x:row>
    <x:row r="58">
      <x:c r="A58" s="34"/>
      <x:c r="B58" s="34"/>
      <x:c r="C58" s="34"/>
      <x:c r="D58" s="34"/>
      <x:c r="E58" s="34"/>
      <x:c r="F58" s="34"/>
      <x:c r="G58" s="34"/>
      <x:c r="H58" s="34"/>
      <x:c r="I58" s="34"/>
      <x:c r="J58" s="34"/>
      <x:c r="K58" s="34"/>
      <x:c r="L58" s="34"/>
      <x:c r="M58" s="34"/>
      <x:c r="N58" s="34"/>
      <x:c r="O58" s="34"/>
      <x:c r="P58" s="34"/>
    </x:row>
    <x:row r="59">
      <x:c r="A59" s="34"/>
      <x:c r="B59" s="34"/>
      <x:c r="C59" s="34"/>
      <x:c r="D59" s="34"/>
      <x:c r="E59" s="34"/>
      <x:c r="F59" s="34"/>
      <x:c r="G59" s="34"/>
      <x:c r="H59" s="34"/>
      <x:c r="I59" s="34"/>
      <x:c r="J59" s="34"/>
      <x:c r="K59" s="34"/>
      <x:c r="L59" s="34"/>
      <x:c r="M59" s="34"/>
      <x:c r="N59" s="34"/>
      <x:c r="O59" s="34"/>
      <x:c r="P59" s="34"/>
    </x:row>
    <x:row r="60">
      <x:c r="A60" s="34"/>
      <x:c r="B60" s="34"/>
      <x:c r="C60" s="34"/>
      <x:c r="D60" s="34"/>
      <x:c r="E60" s="34"/>
      <x:c r="F60" s="34"/>
      <x:c r="G60" s="34"/>
      <x:c r="H60" s="34"/>
      <x:c r="I60" s="34"/>
      <x:c r="J60" s="34"/>
      <x:c r="K60" s="34"/>
      <x:c r="L60" s="34"/>
      <x:c r="M60" s="34"/>
      <x:c r="N60" s="34"/>
      <x:c r="O60" s="34"/>
      <x:c r="P60" s="34"/>
    </x:row>
    <x:row r="61">
      <x:c r="A61" s="34"/>
      <x:c r="B61" s="34"/>
      <x:c r="C61" s="34"/>
      <x:c r="D61" s="34"/>
      <x:c r="E61" s="34"/>
      <x:c r="F61" s="34"/>
      <x:c r="G61" s="34"/>
      <x:c r="H61" s="34"/>
      <x:c r="I61" s="34"/>
      <x:c r="J61" s="34"/>
      <x:c r="K61" s="34"/>
      <x:c r="L61" s="34"/>
      <x:c r="M61" s="34"/>
      <x:c r="N61" s="34"/>
      <x:c r="O61" s="34"/>
      <x:c r="P61" s="34"/>
    </x:row>
    <x:row r="62">
      <x:c r="A62" s="34"/>
      <x:c r="B62" s="34"/>
      <x:c r="C62" s="34"/>
      <x:c r="D62" s="34"/>
      <x:c r="E62" s="34"/>
      <x:c r="F62" s="34"/>
      <x:c r="G62" s="34"/>
      <x:c r="H62" s="34"/>
      <x:c r="I62" s="34"/>
      <x:c r="J62" s="34"/>
      <x:c r="K62" s="34"/>
      <x:c r="L62" s="34"/>
      <x:c r="M62" s="34"/>
      <x:c r="N62" s="34"/>
      <x:c r="O62" s="34"/>
      <x:c r="P62" s="34"/>
    </x:row>
    <x:row r="63">
      <x:c r="A63" s="34"/>
      <x:c r="B63" s="34"/>
      <x:c r="C63" s="34"/>
      <x:c r="D63" s="34"/>
      <x:c r="E63" s="34"/>
      <x:c r="F63" s="34"/>
      <x:c r="G63" s="34"/>
      <x:c r="H63" s="34"/>
      <x:c r="I63" s="34"/>
      <x:c r="J63" s="34"/>
      <x:c r="K63" s="34"/>
      <x:c r="L63" s="34"/>
      <x:c r="M63" s="34"/>
      <x:c r="N63" s="34"/>
      <x:c r="O63" s="34"/>
      <x:c r="P63" s="34"/>
    </x:row>
    <x:row r="64">
      <x:c r="A64" s="34"/>
      <x:c r="B64" s="34"/>
      <x:c r="C64" s="34"/>
      <x:c r="D64" s="34"/>
      <x:c r="E64" s="34"/>
      <x:c r="F64" s="34"/>
      <x:c r="G64" s="34"/>
      <x:c r="H64" s="34"/>
      <x:c r="I64" s="34"/>
      <x:c r="J64" s="34"/>
      <x:c r="K64" s="34"/>
      <x:c r="L64" s="34"/>
      <x:c r="M64" s="34"/>
      <x:c r="N64" s="34"/>
      <x:c r="O64" s="34"/>
      <x:c r="P64" s="34"/>
    </x:row>
    <x:row r="65">
      <x:c r="A65" s="34"/>
      <x:c r="B65" s="34"/>
      <x:c r="C65" s="34"/>
      <x:c r="D65" s="34"/>
      <x:c r="E65" s="34"/>
      <x:c r="F65" s="34"/>
      <x:c r="G65" s="34"/>
      <x:c r="H65" s="34"/>
      <x:c r="I65" s="34"/>
      <x:c r="J65" s="34"/>
      <x:c r="K65" s="34"/>
      <x:c r="L65" s="34"/>
      <x:c r="M65" s="34"/>
      <x:c r="N65" s="34"/>
      <x:c r="O65" s="34"/>
      <x:c r="P65" s="34"/>
    </x:row>
    <x:row r="66">
      <x:c r="A66" s="34"/>
      <x:c r="B66" s="34"/>
      <x:c r="C66" s="34"/>
      <x:c r="D66" s="34"/>
      <x:c r="E66" s="34"/>
      <x:c r="F66" s="34"/>
      <x:c r="G66" s="34"/>
      <x:c r="H66" s="34"/>
      <x:c r="I66" s="34"/>
      <x:c r="J66" s="34"/>
      <x:c r="K66" s="34"/>
      <x:c r="L66" s="34"/>
      <x:c r="M66" s="34"/>
      <x:c r="N66" s="34"/>
      <x:c r="O66" s="34"/>
      <x:c r="P66" s="34"/>
    </x:row>
    <x:row r="67">
      <x:c r="A67" s="34"/>
      <x:c r="B67" s="34"/>
      <x:c r="C67" s="34"/>
      <x:c r="D67" s="34"/>
      <x:c r="E67" s="34"/>
      <x:c r="F67" s="34"/>
      <x:c r="G67" s="34"/>
      <x:c r="H67" s="34"/>
      <x:c r="I67" s="34"/>
      <x:c r="J67" s="34"/>
      <x:c r="K67" s="34"/>
      <x:c r="L67" s="34"/>
      <x:c r="M67" s="34"/>
      <x:c r="N67" s="34"/>
      <x:c r="O67" s="34"/>
      <x:c r="P67" s="34"/>
    </x:row>
    <x:row r="68">
      <x:c r="A68" s="34"/>
      <x:c r="B68" s="34"/>
      <x:c r="C68" s="34"/>
      <x:c r="D68" s="34"/>
      <x:c r="E68" s="34"/>
      <x:c r="F68" s="34"/>
      <x:c r="G68" s="34"/>
      <x:c r="H68" s="34"/>
      <x:c r="I68" s="34"/>
      <x:c r="J68" s="34"/>
      <x:c r="K68" s="34"/>
      <x:c r="L68" s="34"/>
      <x:c r="M68" s="34"/>
      <x:c r="N68" s="34"/>
      <x:c r="O68" s="34"/>
      <x:c r="P68" s="34"/>
    </x:row>
    <x:row r="69">
      <x:c r="A69" s="34"/>
      <x:c r="B69" s="34"/>
      <x:c r="C69" s="34"/>
      <x:c r="D69" s="34"/>
      <x:c r="E69" s="34"/>
      <x:c r="F69" s="34"/>
      <x:c r="G69" s="34"/>
      <x:c r="H69" s="34"/>
      <x:c r="I69" s="34"/>
      <x:c r="J69" s="34"/>
      <x:c r="K69" s="34"/>
      <x:c r="L69" s="34"/>
      <x:c r="M69" s="34"/>
      <x:c r="N69" s="34"/>
      <x:c r="O69" s="34"/>
      <x:c r="P69" s="34"/>
    </x:row>
    <x:row r="70">
      <x:c r="A70" s="34"/>
      <x:c r="B70" s="34"/>
      <x:c r="C70" s="34"/>
      <x:c r="D70" s="34"/>
      <x:c r="E70" s="34"/>
      <x:c r="F70" s="34"/>
      <x:c r="G70" s="34"/>
      <x:c r="H70" s="34"/>
      <x:c r="I70" s="34"/>
      <x:c r="J70" s="34"/>
      <x:c r="K70" s="34"/>
      <x:c r="L70" s="34"/>
      <x:c r="M70" s="34"/>
      <x:c r="N70" s="34"/>
      <x:c r="O70" s="34"/>
      <x:c r="P70" s="34"/>
    </x:row>
    <x:row r="71">
      <x:c r="A71" s="34"/>
      <x:c r="B71" s="34"/>
      <x:c r="C71" s="34"/>
      <x:c r="D71" s="34"/>
      <x:c r="E71" s="34"/>
      <x:c r="F71" s="34"/>
      <x:c r="G71" s="34"/>
      <x:c r="H71" s="34"/>
      <x:c r="I71" s="34"/>
      <x:c r="J71" s="34"/>
      <x:c r="K71" s="34"/>
      <x:c r="L71" s="34"/>
      <x:c r="M71" s="34"/>
      <x:c r="N71" s="34"/>
      <x:c r="O71" s="34"/>
      <x:c r="P71" s="34"/>
    </x:row>
    <x:row r="72">
      <x:c r="A72" s="34"/>
      <x:c r="B72" s="34"/>
      <x:c r="C72" s="34"/>
      <x:c r="D72" s="34"/>
      <x:c r="E72" s="34"/>
      <x:c r="F72" s="34"/>
      <x:c r="G72" s="34"/>
      <x:c r="H72" s="34"/>
      <x:c r="I72" s="34"/>
      <x:c r="J72" s="34"/>
      <x:c r="K72" s="34"/>
      <x:c r="L72" s="34"/>
      <x:c r="M72" s="34"/>
      <x:c r="N72" s="34"/>
      <x:c r="O72" s="34"/>
      <x:c r="P72" s="34"/>
    </x:row>
    <x:row r="73">
      <x:c r="A73" s="34"/>
      <x:c r="B73" s="34"/>
      <x:c r="C73" s="34"/>
      <x:c r="D73" s="34"/>
      <x:c r="E73" s="34"/>
      <x:c r="F73" s="34"/>
      <x:c r="G73" s="34"/>
      <x:c r="H73" s="34"/>
      <x:c r="I73" s="34"/>
      <x:c r="J73" s="34"/>
      <x:c r="K73" s="34"/>
      <x:c r="L73" s="34"/>
      <x:c r="M73" s="34"/>
      <x:c r="N73" s="34"/>
      <x:c r="O73" s="34"/>
      <x:c r="P73" s="34"/>
    </x:row>
    <x:row r="74">
      <x:c r="A74" s="34"/>
      <x:c r="B74" s="34"/>
      <x:c r="C74" s="34"/>
      <x:c r="D74" s="34"/>
      <x:c r="E74" s="34"/>
      <x:c r="F74" s="34"/>
      <x:c r="G74" s="34"/>
      <x:c r="H74" s="34"/>
      <x:c r="I74" s="34"/>
      <x:c r="J74" s="34"/>
      <x:c r="K74" s="34"/>
      <x:c r="L74" s="34"/>
      <x:c r="M74" s="34"/>
      <x:c r="N74" s="34"/>
      <x:c r="O74" s="34"/>
      <x:c r="P74" s="34"/>
    </x:row>
    <x:row r="75">
      <x:c r="A75" s="34"/>
      <x:c r="B75" s="34"/>
      <x:c r="C75" s="34"/>
      <x:c r="D75" s="34"/>
      <x:c r="E75" s="34"/>
      <x:c r="F75" s="34"/>
      <x:c r="G75" s="34"/>
      <x:c r="H75" s="34"/>
      <x:c r="I75" s="34"/>
      <x:c r="J75" s="34"/>
      <x:c r="K75" s="34"/>
      <x:c r="L75" s="34"/>
      <x:c r="M75" s="34"/>
      <x:c r="N75" s="34"/>
      <x:c r="O75" s="34"/>
      <x:c r="P75" s="34"/>
    </x:row>
    <x:row r="76">
      <x:c r="A76" s="34"/>
      <x:c r="B76" s="34"/>
      <x:c r="C76" s="34"/>
      <x:c r="D76" s="34"/>
      <x:c r="E76" s="34"/>
      <x:c r="F76" s="34"/>
      <x:c r="G76" s="34"/>
      <x:c r="H76" s="34"/>
      <x:c r="I76" s="34"/>
      <x:c r="J76" s="34"/>
      <x:c r="K76" s="34"/>
      <x:c r="L76" s="34"/>
      <x:c r="M76" s="34"/>
      <x:c r="N76" s="34"/>
      <x:c r="O76" s="34"/>
      <x:c r="P76" s="34"/>
    </x:row>
    <x:row r="77">
      <x:c r="A77" s="34"/>
      <x:c r="B77" s="34"/>
      <x:c r="C77" s="34"/>
      <x:c r="D77" s="34"/>
      <x:c r="E77" s="34"/>
      <x:c r="F77" s="34"/>
      <x:c r="G77" s="34"/>
      <x:c r="H77" s="34"/>
      <x:c r="I77" s="34"/>
      <x:c r="J77" s="34"/>
      <x:c r="K77" s="34"/>
      <x:c r="L77" s="34"/>
      <x:c r="M77" s="34"/>
      <x:c r="N77" s="34"/>
      <x:c r="O77" s="34"/>
      <x:c r="P77" s="34"/>
    </x:row>
    <x:row r="78">
      <x:c r="A78" s="34"/>
      <x:c r="B78" s="34"/>
      <x:c r="C78" s="34"/>
      <x:c r="D78" s="34"/>
      <x:c r="E78" s="34"/>
      <x:c r="F78" s="34"/>
      <x:c r="G78" s="34"/>
      <x:c r="H78" s="34"/>
      <x:c r="I78" s="34"/>
      <x:c r="J78" s="34"/>
      <x:c r="K78" s="34"/>
      <x:c r="L78" s="34"/>
      <x:c r="M78" s="34"/>
      <x:c r="N78" s="34"/>
      <x:c r="O78" s="34"/>
      <x:c r="P78" s="34"/>
    </x:row>
    <x:row r="79">
      <x:c r="A79" s="34"/>
      <x:c r="B79" s="34"/>
      <x:c r="C79" s="34"/>
      <x:c r="D79" s="34"/>
      <x:c r="E79" s="34"/>
      <x:c r="F79" s="34"/>
      <x:c r="G79" s="34"/>
      <x:c r="H79" s="34"/>
      <x:c r="I79" s="34"/>
      <x:c r="J79" s="34"/>
      <x:c r="K79" s="34"/>
      <x:c r="L79" s="34"/>
      <x:c r="M79" s="34"/>
      <x:c r="N79" s="34"/>
      <x:c r="O79" s="34"/>
      <x:c r="P79" s="34"/>
    </x:row>
    <x:row r="80">
      <x:c r="A80" s="34"/>
      <x:c r="B80" s="34"/>
      <x:c r="C80" s="34"/>
      <x:c r="D80" s="34"/>
      <x:c r="E80" s="34"/>
      <x:c r="F80" s="34"/>
      <x:c r="G80" s="34"/>
      <x:c r="H80" s="34"/>
      <x:c r="I80" s="34"/>
      <x:c r="J80" s="34"/>
      <x:c r="K80" s="34"/>
      <x:c r="L80" s="34"/>
      <x:c r="M80" s="34"/>
      <x:c r="N80" s="34"/>
      <x:c r="O80" s="34"/>
      <x:c r="P80" s="34"/>
    </x:row>
    <x:row r="81">
      <x:c r="A81" s="34"/>
      <x:c r="B81" s="34"/>
      <x:c r="C81" s="34"/>
      <x:c r="D81" s="34"/>
      <x:c r="E81" s="34"/>
      <x:c r="F81" s="34"/>
      <x:c r="G81" s="34"/>
      <x:c r="H81" s="34"/>
      <x:c r="I81" s="34"/>
      <x:c r="J81" s="34"/>
      <x:c r="K81" s="34"/>
      <x:c r="L81" s="34"/>
      <x:c r="M81" s="34"/>
      <x:c r="N81" s="34"/>
      <x:c r="O81" s="34"/>
      <x:c r="P81" s="34"/>
    </x:row>
    <x:row r="82">
      <x:c r="A82" s="34"/>
      <x:c r="B82" s="34"/>
      <x:c r="C82" s="34"/>
      <x:c r="D82" s="34"/>
      <x:c r="E82" s="34"/>
      <x:c r="F82" s="34"/>
      <x:c r="G82" s="34"/>
      <x:c r="H82" s="34"/>
      <x:c r="I82" s="34"/>
      <x:c r="J82" s="34"/>
      <x:c r="K82" s="34"/>
      <x:c r="L82" s="34"/>
      <x:c r="M82" s="34"/>
      <x:c r="N82" s="34"/>
      <x:c r="O82" s="34"/>
      <x:c r="P82" s="34"/>
    </x:row>
    <x:row r="83">
      <x:c r="A83" s="34"/>
      <x:c r="B83" s="34"/>
      <x:c r="C83" s="34"/>
      <x:c r="D83" s="34"/>
      <x:c r="E83" s="34"/>
      <x:c r="F83" s="34"/>
      <x:c r="G83" s="34"/>
      <x:c r="H83" s="34"/>
      <x:c r="I83" s="34"/>
      <x:c r="J83" s="34"/>
      <x:c r="K83" s="34"/>
      <x:c r="L83" s="34"/>
      <x:c r="M83" s="34"/>
      <x:c r="N83" s="34"/>
      <x:c r="O83" s="34"/>
      <x:c r="P83" s="34"/>
    </x:row>
    <x:row r="84">
      <x:c r="A84" s="34"/>
      <x:c r="B84" s="34"/>
      <x:c r="C84" s="34"/>
      <x:c r="D84" s="34"/>
      <x:c r="E84" s="34"/>
      <x:c r="F84" s="34"/>
      <x:c r="G84" s="34"/>
      <x:c r="H84" s="34"/>
      <x:c r="I84" s="34"/>
      <x:c r="J84" s="34"/>
      <x:c r="K84" s="34"/>
      <x:c r="L84" s="34"/>
      <x:c r="M84" s="34"/>
      <x:c r="N84" s="34"/>
      <x:c r="O84" s="34"/>
      <x:c r="P84" s="34"/>
    </x:row>
    <x:row r="85">
      <x:c r="A85" s="34"/>
      <x:c r="B85" s="34"/>
      <x:c r="C85" s="34"/>
      <x:c r="D85" s="34"/>
      <x:c r="E85" s="34"/>
      <x:c r="F85" s="34"/>
      <x:c r="G85" s="34"/>
      <x:c r="H85" s="34"/>
      <x:c r="I85" s="34"/>
      <x:c r="J85" s="34"/>
      <x:c r="K85" s="34"/>
      <x:c r="L85" s="34"/>
      <x:c r="M85" s="34"/>
      <x:c r="N85" s="34"/>
      <x:c r="O85" s="34"/>
      <x:c r="P85" s="34"/>
    </x:row>
    <x:row r="86">
      <x:c r="A86" s="34"/>
      <x:c r="B86" s="34"/>
      <x:c r="C86" s="34"/>
      <x:c r="D86" s="34"/>
      <x:c r="E86" s="34"/>
      <x:c r="F86" s="34"/>
      <x:c r="G86" s="34"/>
      <x:c r="H86" s="34"/>
      <x:c r="I86" s="34"/>
      <x:c r="J86" s="34"/>
      <x:c r="K86" s="34"/>
      <x:c r="L86" s="34"/>
      <x:c r="M86" s="34"/>
      <x:c r="N86" s="34"/>
      <x:c r="O86" s="34"/>
      <x:c r="P86" s="34"/>
    </x:row>
    <x:row r="87">
      <x:c r="A87" s="34"/>
      <x:c r="B87" s="34"/>
      <x:c r="C87" s="34"/>
      <x:c r="D87" s="34"/>
      <x:c r="E87" s="34"/>
      <x:c r="F87" s="34"/>
      <x:c r="G87" s="34"/>
      <x:c r="H87" s="34"/>
      <x:c r="I87" s="34"/>
      <x:c r="J87" s="34"/>
      <x:c r="K87" s="34"/>
      <x:c r="L87" s="34"/>
      <x:c r="M87" s="34"/>
      <x:c r="N87" s="34"/>
      <x:c r="O87" s="34"/>
      <x:c r="P87" s="34"/>
    </x:row>
    <x:row r="88">
      <x:c r="A88" s="34"/>
      <x:c r="B88" s="34"/>
      <x:c r="C88" s="34"/>
      <x:c r="D88" s="34"/>
      <x:c r="E88" s="34"/>
      <x:c r="F88" s="34"/>
      <x:c r="G88" s="34"/>
      <x:c r="H88" s="34"/>
      <x:c r="I88" s="34"/>
      <x:c r="J88" s="34"/>
      <x:c r="K88" s="34"/>
      <x:c r="L88" s="34"/>
      <x:c r="M88" s="34"/>
      <x:c r="N88" s="34"/>
      <x:c r="O88" s="34"/>
      <x:c r="P88" s="34"/>
    </x:row>
    <x:row r="89">
      <x:c r="A89" s="34"/>
      <x:c r="B89" s="34"/>
      <x:c r="C89" s="34"/>
      <x:c r="D89" s="34"/>
      <x:c r="E89" s="34"/>
      <x:c r="F89" s="34"/>
      <x:c r="G89" s="34"/>
      <x:c r="H89" s="34"/>
      <x:c r="I89" s="34"/>
      <x:c r="J89" s="34"/>
      <x:c r="K89" s="34"/>
      <x:c r="L89" s="34"/>
      <x:c r="M89" s="34"/>
      <x:c r="N89" s="34"/>
      <x:c r="O89" s="34"/>
      <x:c r="P89" s="34"/>
    </x:row>
    <x:row r="90">
      <x:c r="A90" s="34"/>
      <x:c r="B90" s="34"/>
      <x:c r="C90" s="34"/>
      <x:c r="D90" s="34"/>
      <x:c r="E90" s="34"/>
      <x:c r="F90" s="34"/>
      <x:c r="G90" s="34"/>
      <x:c r="H90" s="34"/>
      <x:c r="I90" s="34"/>
      <x:c r="J90" s="34"/>
      <x:c r="K90" s="34"/>
      <x:c r="L90" s="34"/>
      <x:c r="M90" s="34"/>
      <x:c r="N90" s="34"/>
      <x:c r="O90" s="34"/>
      <x:c r="P90" s="34"/>
    </x:row>
    <x:row r="91">
      <x:c r="A91" s="34"/>
      <x:c r="B91" s="34"/>
      <x:c r="C91" s="34"/>
      <x:c r="D91" s="34"/>
      <x:c r="E91" s="34"/>
      <x:c r="F91" s="34"/>
      <x:c r="G91" s="34"/>
      <x:c r="H91" s="34"/>
      <x:c r="I91" s="34"/>
      <x:c r="J91" s="34"/>
      <x:c r="K91" s="34"/>
      <x:c r="L91" s="34"/>
      <x:c r="M91" s="34"/>
      <x:c r="N91" s="34"/>
      <x:c r="O91" s="34"/>
      <x:c r="P91" s="34"/>
    </x:row>
    <x:row r="92">
      <x:c r="A92" s="34"/>
      <x:c r="B92" s="34"/>
      <x:c r="C92" s="34"/>
      <x:c r="D92" s="34"/>
      <x:c r="E92" s="34"/>
      <x:c r="F92" s="34"/>
      <x:c r="G92" s="34"/>
      <x:c r="H92" s="34"/>
      <x:c r="I92" s="34"/>
      <x:c r="J92" s="34"/>
      <x:c r="K92" s="34"/>
      <x:c r="L92" s="34"/>
      <x:c r="M92" s="34"/>
      <x:c r="N92" s="34"/>
      <x:c r="O92" s="34"/>
      <x:c r="P92" s="34"/>
    </x:row>
    <x:row r="93">
      <x:c r="A93" s="34"/>
      <x:c r="B93" s="34"/>
      <x:c r="C93" s="34"/>
      <x:c r="D93" s="34"/>
      <x:c r="E93" s="34"/>
      <x:c r="F93" s="34"/>
      <x:c r="G93" s="34"/>
      <x:c r="H93" s="34"/>
      <x:c r="I93" s="34"/>
      <x:c r="J93" s="34"/>
      <x:c r="K93" s="34"/>
      <x:c r="L93" s="34"/>
      <x:c r="M93" s="34"/>
      <x:c r="N93" s="34"/>
      <x:c r="O93" s="34"/>
      <x:c r="P93" s="34"/>
    </x:row>
    <x:row r="94">
      <x:c r="A94" s="34"/>
      <x:c r="B94" s="34"/>
      <x:c r="C94" s="34"/>
      <x:c r="D94" s="34"/>
      <x:c r="E94" s="34"/>
      <x:c r="F94" s="34"/>
      <x:c r="G94" s="34"/>
      <x:c r="H94" s="34"/>
      <x:c r="I94" s="34"/>
      <x:c r="J94" s="34"/>
      <x:c r="K94" s="34"/>
      <x:c r="L94" s="34"/>
      <x:c r="M94" s="34"/>
      <x:c r="N94" s="34"/>
      <x:c r="O94" s="34"/>
      <x:c r="P94" s="34"/>
    </x:row>
    <x:row r="95">
      <x:c r="A95" s="34"/>
      <x:c r="B95" s="34"/>
      <x:c r="C95" s="34"/>
      <x:c r="D95" s="34"/>
      <x:c r="E95" s="34"/>
      <x:c r="F95" s="34"/>
      <x:c r="G95" s="34"/>
      <x:c r="H95" s="34"/>
      <x:c r="I95" s="34"/>
      <x:c r="J95" s="34"/>
      <x:c r="K95" s="34"/>
      <x:c r="L95" s="34"/>
      <x:c r="M95" s="34"/>
      <x:c r="N95" s="34"/>
      <x:c r="O95" s="34"/>
      <x:c r="P95" s="34"/>
    </x:row>
    <x:row r="96">
      <x:c r="A96" s="34"/>
      <x:c r="B96" s="34"/>
      <x:c r="C96" s="34"/>
      <x:c r="D96" s="34"/>
      <x:c r="E96" s="34"/>
      <x:c r="F96" s="34"/>
      <x:c r="G96" s="34"/>
      <x:c r="H96" s="34"/>
      <x:c r="I96" s="34"/>
      <x:c r="J96" s="34"/>
      <x:c r="K96" s="34"/>
      <x:c r="L96" s="34"/>
      <x:c r="M96" s="34"/>
      <x:c r="N96" s="34"/>
      <x:c r="O96" s="34"/>
      <x:c r="P96" s="34"/>
    </x:row>
    <x:row r="97">
      <x:c r="A97" s="34"/>
      <x:c r="B97" s="34"/>
      <x:c r="C97" s="34"/>
      <x:c r="D97" s="34"/>
      <x:c r="E97" s="34"/>
      <x:c r="F97" s="34"/>
      <x:c r="G97" s="34"/>
      <x:c r="H97" s="34"/>
      <x:c r="I97" s="34"/>
      <x:c r="J97" s="34"/>
      <x:c r="K97" s="34"/>
      <x:c r="L97" s="34"/>
      <x:c r="M97" s="34"/>
      <x:c r="N97" s="34"/>
      <x:c r="O97" s="34"/>
      <x:c r="P97" s="34"/>
    </x:row>
    <x:row r="98">
      <x:c r="A98" s="34"/>
      <x:c r="B98" s="34"/>
      <x:c r="C98" s="34"/>
      <x:c r="D98" s="34"/>
      <x:c r="E98" s="34"/>
      <x:c r="F98" s="34"/>
      <x:c r="G98" s="34"/>
      <x:c r="H98" s="34"/>
      <x:c r="I98" s="34"/>
      <x:c r="J98" s="34"/>
      <x:c r="K98" s="34"/>
      <x:c r="L98" s="34"/>
      <x:c r="M98" s="34"/>
      <x:c r="N98" s="34"/>
      <x:c r="O98" s="34"/>
      <x:c r="P98" s="34"/>
    </x:row>
    <x:row r="99">
      <x:c r="A99" s="34"/>
      <x:c r="B99" s="34"/>
      <x:c r="C99" s="34"/>
      <x:c r="D99" s="34"/>
      <x:c r="E99" s="34"/>
      <x:c r="F99" s="34"/>
      <x:c r="G99" s="34"/>
      <x:c r="H99" s="34"/>
      <x:c r="I99" s="34"/>
      <x:c r="J99" s="34"/>
      <x:c r="K99" s="34"/>
      <x:c r="L99" s="34"/>
      <x:c r="M99" s="34"/>
      <x:c r="N99" s="34"/>
      <x:c r="O99" s="34"/>
      <x:c r="P99" s="34"/>
    </x:row>
    <x:row r="100">
      <x:c r="A100" s="34"/>
      <x:c r="B100" s="34"/>
      <x:c r="C100" s="34"/>
      <x:c r="D100" s="34"/>
      <x:c r="E100" s="34"/>
      <x:c r="F100" s="34"/>
      <x:c r="G100" s="34"/>
      <x:c r="H100" s="34"/>
      <x:c r="I100" s="34"/>
      <x:c r="J100" s="34"/>
      <x:c r="K100" s="34"/>
      <x:c r="L100" s="34"/>
      <x:c r="M100" s="34"/>
      <x:c r="N100" s="34"/>
      <x:c r="O100" s="34"/>
      <x:c r="P100" s="34"/>
    </x:row>
    <x:row r="101">
      <x:c r="A101" s="34"/>
      <x:c r="B101" s="34"/>
      <x:c r="C101" s="34"/>
      <x:c r="D101" s="34"/>
      <x:c r="E101" s="34"/>
      <x:c r="F101" s="34"/>
      <x:c r="G101" s="34"/>
      <x:c r="H101" s="34"/>
      <x:c r="I101" s="34"/>
      <x:c r="J101" s="34"/>
      <x:c r="K101" s="34"/>
      <x:c r="L101" s="34"/>
      <x:c r="M101" s="34"/>
      <x:c r="N101" s="34"/>
      <x:c r="O101" s="34"/>
      <x:c r="P101" s="34"/>
    </x:row>
    <x:row r="102">
      <x:c r="A102" s="34"/>
      <x:c r="B102" s="34"/>
      <x:c r="C102" s="34"/>
      <x:c r="D102" s="34"/>
      <x:c r="E102" s="34"/>
      <x:c r="F102" s="34"/>
      <x:c r="G102" s="34"/>
      <x:c r="H102" s="34"/>
      <x:c r="I102" s="34"/>
      <x:c r="J102" s="34"/>
      <x:c r="K102" s="34"/>
      <x:c r="L102" s="34"/>
      <x:c r="M102" s="34"/>
      <x:c r="N102" s="34"/>
      <x:c r="O102" s="34"/>
      <x:c r="P102" s="34"/>
    </x:row>
    <x:row r="103">
      <x:c r="A103" s="34"/>
      <x:c r="B103" s="34"/>
      <x:c r="C103" s="34"/>
      <x:c r="D103" s="34"/>
      <x:c r="E103" s="34"/>
      <x:c r="F103" s="34"/>
      <x:c r="G103" s="34"/>
      <x:c r="H103" s="34"/>
      <x:c r="I103" s="34"/>
      <x:c r="J103" s="34"/>
      <x:c r="K103" s="34"/>
      <x:c r="L103" s="34"/>
      <x:c r="M103" s="34"/>
      <x:c r="N103" s="34"/>
      <x:c r="O103" s="34"/>
      <x:c r="P103" s="34"/>
    </x:row>
    <x:row r="104">
      <x:c r="A104" s="34"/>
      <x:c r="B104" s="34"/>
      <x:c r="C104" s="34"/>
      <x:c r="D104" s="34"/>
      <x:c r="E104" s="34"/>
      <x:c r="F104" s="34"/>
      <x:c r="G104" s="34"/>
      <x:c r="H104" s="34"/>
      <x:c r="I104" s="34"/>
      <x:c r="J104" s="34"/>
      <x:c r="K104" s="34"/>
      <x:c r="L104" s="34"/>
      <x:c r="M104" s="34"/>
      <x:c r="N104" s="34"/>
      <x:c r="O104" s="34"/>
      <x:c r="P104" s="34"/>
    </x:row>
    <x:row r="105">
      <x:c r="A105" s="34"/>
      <x:c r="B105" s="34"/>
      <x:c r="C105" s="34"/>
      <x:c r="D105" s="34"/>
      <x:c r="E105" s="34"/>
      <x:c r="F105" s="34"/>
      <x:c r="G105" s="34"/>
      <x:c r="H105" s="34"/>
      <x:c r="I105" s="34"/>
      <x:c r="J105" s="34"/>
      <x:c r="K105" s="34"/>
      <x:c r="L105" s="34"/>
      <x:c r="M105" s="34"/>
      <x:c r="N105" s="34"/>
      <x:c r="O105" s="34"/>
      <x:c r="P105" s="34"/>
    </x:row>
    <x:row r="106">
      <x:c r="A106" s="34"/>
      <x:c r="B106" s="34"/>
      <x:c r="C106" s="34"/>
      <x:c r="D106" s="34"/>
      <x:c r="E106" s="34"/>
      <x:c r="F106" s="34"/>
      <x:c r="G106" s="34"/>
      <x:c r="H106" s="34"/>
      <x:c r="I106" s="34"/>
      <x:c r="J106" s="34"/>
      <x:c r="K106" s="34"/>
      <x:c r="L106" s="34"/>
      <x:c r="M106" s="34"/>
      <x:c r="N106" s="34"/>
      <x:c r="O106" s="34"/>
      <x:c r="P106" s="34"/>
    </x:row>
    <x:row r="107">
      <x:c r="A107" s="34"/>
      <x:c r="B107" s="34"/>
      <x:c r="C107" s="34"/>
      <x:c r="D107" s="34"/>
      <x:c r="E107" s="34"/>
      <x:c r="F107" s="34"/>
      <x:c r="G107" s="34"/>
      <x:c r="H107" s="34"/>
      <x:c r="I107" s="34"/>
      <x:c r="J107" s="34"/>
      <x:c r="K107" s="34"/>
      <x:c r="L107" s="34"/>
      <x:c r="M107" s="34"/>
      <x:c r="N107" s="34"/>
      <x:c r="O107" s="34"/>
      <x:c r="P107" s="34"/>
    </x:row>
    <x:row r="108">
      <x:c r="A108" s="34"/>
      <x:c r="B108" s="34"/>
      <x:c r="C108" s="34"/>
      <x:c r="D108" s="34"/>
      <x:c r="E108" s="34"/>
      <x:c r="F108" s="34"/>
      <x:c r="G108" s="34"/>
      <x:c r="H108" s="34"/>
      <x:c r="I108" s="34"/>
      <x:c r="J108" s="34"/>
      <x:c r="K108" s="34"/>
      <x:c r="L108" s="34"/>
      <x:c r="M108" s="34"/>
      <x:c r="N108" s="34"/>
      <x:c r="O108" s="34"/>
      <x:c r="P108" s="34"/>
    </x:row>
    <x:row r="109">
      <x:c r="A109" s="34"/>
      <x:c r="B109" s="34"/>
      <x:c r="C109" s="34"/>
      <x:c r="D109" s="34"/>
      <x:c r="E109" s="34"/>
      <x:c r="F109" s="34"/>
      <x:c r="G109" s="34"/>
      <x:c r="H109" s="34"/>
      <x:c r="I109" s="34"/>
      <x:c r="J109" s="34"/>
      <x:c r="K109" s="34"/>
      <x:c r="L109" s="34"/>
      <x:c r="M109" s="34"/>
      <x:c r="N109" s="34"/>
      <x:c r="O109" s="34"/>
      <x:c r="P109" s="34"/>
    </x:row>
    <x:row r="110">
      <x:c r="A110" s="34"/>
      <x:c r="B110" s="34"/>
      <x:c r="C110" s="34"/>
      <x:c r="D110" s="34"/>
      <x:c r="E110" s="34"/>
      <x:c r="F110" s="34"/>
      <x:c r="G110" s="34"/>
      <x:c r="H110" s="34"/>
      <x:c r="I110" s="34"/>
      <x:c r="J110" s="34"/>
      <x:c r="K110" s="34"/>
      <x:c r="L110" s="34"/>
      <x:c r="M110" s="34"/>
      <x:c r="N110" s="34"/>
      <x:c r="O110" s="34"/>
      <x:c r="P110" s="34"/>
    </x:row>
    <x:row r="111">
      <x:c r="A111" s="34"/>
      <x:c r="B111" s="34"/>
      <x:c r="C111" s="34"/>
      <x:c r="D111" s="34"/>
      <x:c r="E111" s="34"/>
      <x:c r="F111" s="34"/>
      <x:c r="G111" s="34"/>
      <x:c r="H111" s="34"/>
      <x:c r="I111" s="34"/>
      <x:c r="J111" s="34"/>
      <x:c r="K111" s="34"/>
      <x:c r="L111" s="34"/>
      <x:c r="M111" s="34"/>
      <x:c r="N111" s="34"/>
      <x:c r="O111" s="34"/>
      <x:c r="P111" s="34"/>
    </x:row>
    <x:row r="112">
      <x:c r="A112" s="34"/>
      <x:c r="B112" s="34"/>
      <x:c r="C112" s="34"/>
      <x:c r="D112" s="34"/>
      <x:c r="E112" s="34"/>
      <x:c r="F112" s="34"/>
      <x:c r="G112" s="34"/>
      <x:c r="H112" s="34"/>
      <x:c r="I112" s="34"/>
      <x:c r="J112" s="34"/>
      <x:c r="K112" s="34"/>
      <x:c r="L112" s="34"/>
      <x:c r="M112" s="34"/>
      <x:c r="N112" s="34"/>
      <x:c r="O112" s="34"/>
      <x:c r="P112" s="34"/>
    </x:row>
    <x:row r="113">
      <x:c r="A113" s="34"/>
      <x:c r="B113" s="34"/>
      <x:c r="C113" s="34"/>
      <x:c r="D113" s="34"/>
      <x:c r="E113" s="34"/>
      <x:c r="F113" s="34"/>
      <x:c r="G113" s="34"/>
      <x:c r="H113" s="34"/>
      <x:c r="I113" s="34"/>
      <x:c r="J113" s="34"/>
      <x:c r="K113" s="34"/>
      <x:c r="L113" s="34"/>
      <x:c r="M113" s="34"/>
      <x:c r="N113" s="34"/>
      <x:c r="O113" s="34"/>
      <x:c r="P113" s="34"/>
    </x:row>
    <x:row r="114">
      <x:c r="A114" s="34"/>
      <x:c r="B114" s="34"/>
      <x:c r="C114" s="34"/>
      <x:c r="D114" s="34"/>
      <x:c r="E114" s="34"/>
      <x:c r="F114" s="34"/>
      <x:c r="G114" s="34"/>
      <x:c r="H114" s="34"/>
      <x:c r="I114" s="34"/>
      <x:c r="J114" s="34"/>
      <x:c r="K114" s="34"/>
      <x:c r="L114" s="34"/>
      <x:c r="M114" s="34"/>
      <x:c r="N114" s="34"/>
      <x:c r="O114" s="34"/>
      <x:c r="P114" s="34"/>
    </x:row>
    <x:row r="115">
      <x:c r="A115" s="34"/>
      <x:c r="B115" s="34"/>
      <x:c r="C115" s="34"/>
      <x:c r="D115" s="34"/>
      <x:c r="E115" s="34"/>
      <x:c r="F115" s="34"/>
      <x:c r="G115" s="34"/>
      <x:c r="H115" s="34"/>
      <x:c r="I115" s="34"/>
      <x:c r="J115" s="34"/>
      <x:c r="K115" s="34"/>
      <x:c r="L115" s="34"/>
      <x:c r="M115" s="34"/>
      <x:c r="N115" s="34"/>
      <x:c r="O115" s="34"/>
      <x:c r="P115" s="34"/>
    </x:row>
    <x:row r="116">
      <x:c r="A116" s="34"/>
      <x:c r="B116" s="34"/>
      <x:c r="C116" s="34"/>
      <x:c r="D116" s="34"/>
      <x:c r="E116" s="34"/>
      <x:c r="F116" s="34"/>
      <x:c r="G116" s="34"/>
      <x:c r="H116" s="34"/>
      <x:c r="I116" s="34"/>
      <x:c r="J116" s="34"/>
      <x:c r="K116" s="34"/>
      <x:c r="L116" s="34"/>
      <x:c r="M116" s="34"/>
      <x:c r="N116" s="34"/>
      <x:c r="O116" s="34"/>
      <x:c r="P116" s="34"/>
    </x:row>
    <x:row r="117">
      <x:c r="A117" s="34"/>
      <x:c r="B117" s="34"/>
      <x:c r="C117" s="34"/>
      <x:c r="D117" s="34"/>
      <x:c r="E117" s="34"/>
      <x:c r="F117" s="34"/>
      <x:c r="G117" s="34"/>
      <x:c r="H117" s="34"/>
      <x:c r="I117" s="34"/>
      <x:c r="J117" s="34"/>
      <x:c r="K117" s="34"/>
      <x:c r="L117" s="34"/>
      <x:c r="M117" s="34"/>
      <x:c r="N117" s="34"/>
      <x:c r="O117" s="34"/>
      <x:c r="P117" s="34"/>
    </x:row>
    <x:row r="118">
      <x:c r="A118" s="34"/>
      <x:c r="B118" s="34"/>
      <x:c r="C118" s="34"/>
      <x:c r="D118" s="34"/>
      <x:c r="E118" s="34"/>
      <x:c r="F118" s="34"/>
      <x:c r="G118" s="34"/>
      <x:c r="H118" s="34"/>
      <x:c r="I118" s="34"/>
      <x:c r="J118" s="34"/>
      <x:c r="K118" s="34"/>
      <x:c r="L118" s="34"/>
      <x:c r="M118" s="34"/>
      <x:c r="N118" s="34"/>
      <x:c r="O118" s="34"/>
      <x:c r="P118" s="34"/>
    </x:row>
    <x:row r="119">
      <x:c r="A119" s="34"/>
      <x:c r="B119" s="34"/>
      <x:c r="C119" s="34"/>
      <x:c r="D119" s="34"/>
      <x:c r="E119" s="34"/>
      <x:c r="F119" s="34"/>
      <x:c r="G119" s="34"/>
      <x:c r="H119" s="34"/>
      <x:c r="I119" s="34"/>
      <x:c r="J119" s="34"/>
      <x:c r="K119" s="34"/>
      <x:c r="L119" s="34"/>
      <x:c r="M119" s="34"/>
      <x:c r="N119" s="34"/>
      <x:c r="O119" s="34"/>
      <x:c r="P119" s="34"/>
    </x:row>
    <x:row r="120">
      <x:c r="A120" s="34"/>
      <x:c r="B120" s="34"/>
      <x:c r="C120" s="34"/>
      <x:c r="D120" s="34"/>
      <x:c r="E120" s="34"/>
      <x:c r="F120" s="34"/>
      <x:c r="G120" s="34"/>
      <x:c r="H120" s="34"/>
      <x:c r="I120" s="34"/>
      <x:c r="J120" s="34"/>
      <x:c r="K120" s="34"/>
      <x:c r="L120" s="34"/>
      <x:c r="M120" s="34"/>
      <x:c r="N120" s="34"/>
      <x:c r="O120" s="34"/>
      <x:c r="P120" s="34"/>
    </x:row>
    <x:row r="121">
      <x:c r="A121" s="34"/>
      <x:c r="B121" s="34"/>
      <x:c r="C121" s="34"/>
      <x:c r="D121" s="34"/>
      <x:c r="E121" s="34"/>
      <x:c r="F121" s="34"/>
      <x:c r="G121" s="34"/>
      <x:c r="H121" s="34"/>
      <x:c r="I121" s="34"/>
      <x:c r="J121" s="34"/>
      <x:c r="K121" s="34"/>
      <x:c r="L121" s="34"/>
      <x:c r="M121" s="34"/>
      <x:c r="N121" s="34"/>
      <x:c r="O121" s="34"/>
      <x:c r="P121" s="34"/>
    </x:row>
    <x:row r="122">
      <x:c r="A122" s="34"/>
      <x:c r="B122" s="34"/>
      <x:c r="C122" s="34"/>
      <x:c r="D122" s="34"/>
      <x:c r="E122" s="34"/>
      <x:c r="F122" s="34"/>
      <x:c r="G122" s="34"/>
      <x:c r="H122" s="34"/>
      <x:c r="I122" s="34"/>
      <x:c r="J122" s="34"/>
      <x:c r="K122" s="34"/>
      <x:c r="L122" s="34"/>
      <x:c r="M122" s="34"/>
      <x:c r="N122" s="34"/>
      <x:c r="O122" s="34"/>
      <x:c r="P122" s="34"/>
    </x:row>
    <x:row r="123">
      <x:c r="A123" s="34"/>
      <x:c r="B123" s="34"/>
      <x:c r="C123" s="34"/>
      <x:c r="D123" s="34"/>
      <x:c r="E123" s="34"/>
      <x:c r="F123" s="34"/>
      <x:c r="G123" s="34"/>
      <x:c r="H123" s="34"/>
      <x:c r="I123" s="34"/>
      <x:c r="J123" s="34"/>
      <x:c r="K123" s="34"/>
      <x:c r="L123" s="34"/>
      <x:c r="M123" s="34"/>
      <x:c r="N123" s="34"/>
      <x:c r="O123" s="34"/>
      <x:c r="P123" s="34"/>
    </x:row>
    <x:row r="124">
      <x:c r="A124" s="34"/>
      <x:c r="B124" s="34"/>
      <x:c r="C124" s="34"/>
      <x:c r="D124" s="34"/>
      <x:c r="E124" s="34"/>
      <x:c r="F124" s="34"/>
      <x:c r="G124" s="34"/>
      <x:c r="H124" s="34"/>
      <x:c r="I124" s="34"/>
      <x:c r="J124" s="34"/>
      <x:c r="K124" s="34"/>
      <x:c r="L124" s="34"/>
      <x:c r="M124" s="34"/>
      <x:c r="N124" s="34"/>
      <x:c r="O124" s="34"/>
      <x:c r="P124" s="34"/>
    </x:row>
    <x:row r="125">
      <x:c r="A125" s="34"/>
      <x:c r="B125" s="34"/>
      <x:c r="C125" s="34"/>
      <x:c r="D125" s="34"/>
      <x:c r="E125" s="34"/>
      <x:c r="F125" s="34"/>
      <x:c r="G125" s="34"/>
      <x:c r="H125" s="34"/>
      <x:c r="I125" s="34"/>
      <x:c r="J125" s="34"/>
      <x:c r="K125" s="34"/>
      <x:c r="L125" s="34"/>
      <x:c r="M125" s="34"/>
      <x:c r="N125" s="34"/>
      <x:c r="O125" s="34"/>
      <x:c r="P125" s="34"/>
    </x:row>
    <x:row r="126">
      <x:c r="A126" s="34"/>
      <x:c r="B126" s="34"/>
      <x:c r="C126" s="34"/>
      <x:c r="D126" s="34"/>
      <x:c r="E126" s="34"/>
      <x:c r="F126" s="34"/>
      <x:c r="G126" s="34"/>
      <x:c r="H126" s="34"/>
      <x:c r="I126" s="34"/>
      <x:c r="J126" s="34"/>
      <x:c r="K126" s="34"/>
      <x:c r="L126" s="34"/>
      <x:c r="M126" s="34"/>
      <x:c r="N126" s="34"/>
      <x:c r="O126" s="34"/>
      <x:c r="P126" s="34"/>
    </x:row>
    <x:row r="127">
      <x:c r="A127" s="34"/>
      <x:c r="B127" s="34"/>
      <x:c r="C127" s="34"/>
      <x:c r="D127" s="34"/>
      <x:c r="E127" s="34"/>
      <x:c r="F127" s="34"/>
      <x:c r="G127" s="34"/>
      <x:c r="H127" s="34"/>
      <x:c r="I127" s="34"/>
      <x:c r="J127" s="34"/>
      <x:c r="K127" s="34"/>
      <x:c r="L127" s="34"/>
      <x:c r="M127" s="34"/>
      <x:c r="N127" s="34"/>
      <x:c r="O127" s="34"/>
      <x:c r="P127" s="34"/>
    </x:row>
    <x:row r="128">
      <x:c r="A128" s="34"/>
      <x:c r="B128" s="34"/>
      <x:c r="C128" s="34"/>
      <x:c r="D128" s="34"/>
      <x:c r="E128" s="34"/>
      <x:c r="F128" s="34"/>
      <x:c r="G128" s="34"/>
      <x:c r="H128" s="34"/>
      <x:c r="I128" s="34"/>
      <x:c r="J128" s="34"/>
      <x:c r="K128" s="34"/>
      <x:c r="L128" s="34"/>
      <x:c r="M128" s="34"/>
      <x:c r="N128" s="34"/>
      <x:c r="O128" s="34"/>
      <x:c r="P128" s="34"/>
    </x:row>
    <x:row r="129">
      <x:c r="A129" s="34"/>
      <x:c r="B129" s="34"/>
      <x:c r="C129" s="34"/>
      <x:c r="D129" s="34"/>
      <x:c r="E129" s="34"/>
      <x:c r="F129" s="34"/>
      <x:c r="G129" s="34"/>
      <x:c r="H129" s="34"/>
      <x:c r="I129" s="34"/>
      <x:c r="J129" s="34"/>
      <x:c r="K129" s="34"/>
      <x:c r="L129" s="34"/>
      <x:c r="M129" s="34"/>
      <x:c r="N129" s="34"/>
      <x:c r="O129" s="34"/>
      <x:c r="P129" s="34"/>
    </x:row>
    <x:row r="130">
      <x:c r="A130" s="34"/>
      <x:c r="B130" s="34"/>
      <x:c r="C130" s="34"/>
      <x:c r="D130" s="34"/>
      <x:c r="E130" s="34"/>
      <x:c r="F130" s="34"/>
      <x:c r="G130" s="34"/>
      <x:c r="H130" s="34"/>
      <x:c r="I130" s="34"/>
      <x:c r="J130" s="34"/>
      <x:c r="K130" s="34"/>
      <x:c r="L130" s="34"/>
      <x:c r="M130" s="34"/>
      <x:c r="N130" s="34"/>
      <x:c r="O130" s="34"/>
      <x:c r="P130" s="34"/>
    </x:row>
    <x:row r="131">
      <x:c r="A131" s="34"/>
      <x:c r="B131" s="34"/>
      <x:c r="C131" s="34"/>
      <x:c r="D131" s="34"/>
      <x:c r="E131" s="34"/>
      <x:c r="F131" s="34"/>
      <x:c r="G131" s="34"/>
      <x:c r="H131" s="34"/>
      <x:c r="I131" s="34"/>
      <x:c r="J131" s="34"/>
      <x:c r="K131" s="34"/>
      <x:c r="L131" s="34"/>
      <x:c r="M131" s="34"/>
      <x:c r="N131" s="34"/>
      <x:c r="O131" s="34"/>
      <x:c r="P131" s="34"/>
    </x:row>
    <x:row r="132">
      <x:c r="A132" s="34"/>
      <x:c r="B132" s="34"/>
      <x:c r="C132" s="34"/>
      <x:c r="D132" s="34"/>
      <x:c r="E132" s="34"/>
      <x:c r="F132" s="34"/>
      <x:c r="G132" s="34"/>
      <x:c r="H132" s="34"/>
      <x:c r="I132" s="34"/>
      <x:c r="J132" s="34"/>
      <x:c r="K132" s="34"/>
      <x:c r="L132" s="34"/>
      <x:c r="M132" s="34"/>
      <x:c r="N132" s="34"/>
      <x:c r="O132" s="34"/>
      <x:c r="P132" s="34"/>
    </x:row>
    <x:row r="133">
      <x:c r="A133" s="34"/>
      <x:c r="B133" s="34"/>
      <x:c r="C133" s="34"/>
      <x:c r="D133" s="34"/>
      <x:c r="E133" s="34"/>
      <x:c r="F133" s="34"/>
      <x:c r="G133" s="34"/>
      <x:c r="H133" s="34"/>
      <x:c r="I133" s="34"/>
      <x:c r="J133" s="34"/>
      <x:c r="K133" s="34"/>
      <x:c r="L133" s="34"/>
      <x:c r="M133" s="34"/>
      <x:c r="N133" s="34"/>
      <x:c r="O133" s="34"/>
      <x:c r="P133" s="34"/>
    </x:row>
    <x:row r="134">
      <x:c r="A134" s="34"/>
      <x:c r="B134" s="34"/>
      <x:c r="C134" s="34"/>
      <x:c r="D134" s="34"/>
      <x:c r="E134" s="34"/>
      <x:c r="F134" s="34"/>
      <x:c r="G134" s="34"/>
      <x:c r="H134" s="34"/>
      <x:c r="I134" s="34"/>
      <x:c r="J134" s="34"/>
      <x:c r="K134" s="34"/>
      <x:c r="L134" s="34"/>
      <x:c r="M134" s="34"/>
      <x:c r="N134" s="34"/>
      <x:c r="O134" s="34"/>
      <x:c r="P134" s="34"/>
    </x:row>
    <x:row r="135">
      <x:c r="A135" s="34"/>
      <x:c r="B135" s="34"/>
      <x:c r="C135" s="34"/>
      <x:c r="D135" s="34"/>
      <x:c r="E135" s="34"/>
      <x:c r="F135" s="34"/>
      <x:c r="G135" s="34"/>
      <x:c r="H135" s="34"/>
      <x:c r="I135" s="34"/>
      <x:c r="J135" s="34"/>
      <x:c r="K135" s="34"/>
      <x:c r="L135" s="34"/>
      <x:c r="M135" s="34"/>
      <x:c r="N135" s="34"/>
      <x:c r="O135" s="34"/>
      <x:c r="P135" s="34"/>
    </x:row>
    <x:row r="136">
      <x:c r="A136" s="34"/>
      <x:c r="B136" s="34"/>
      <x:c r="C136" s="34"/>
      <x:c r="D136" s="34"/>
      <x:c r="E136" s="34"/>
      <x:c r="F136" s="34"/>
      <x:c r="G136" s="34"/>
      <x:c r="H136" s="34"/>
      <x:c r="I136" s="34"/>
      <x:c r="J136" s="34"/>
      <x:c r="K136" s="34"/>
      <x:c r="L136" s="34"/>
      <x:c r="M136" s="34"/>
      <x:c r="N136" s="34"/>
      <x:c r="O136" s="34"/>
      <x:c r="P136" s="34"/>
    </x:row>
    <x:row r="137">
      <x:c r="A137" s="34"/>
      <x:c r="B137" s="34"/>
      <x:c r="C137" s="34"/>
      <x:c r="D137" s="34"/>
      <x:c r="E137" s="34"/>
      <x:c r="F137" s="34"/>
      <x:c r="G137" s="34"/>
      <x:c r="H137" s="34"/>
      <x:c r="I137" s="34"/>
      <x:c r="J137" s="34"/>
      <x:c r="K137" s="34"/>
      <x:c r="L137" s="34"/>
      <x:c r="M137" s="34"/>
      <x:c r="N137" s="34"/>
      <x:c r="O137" s="34"/>
      <x:c r="P137" s="34"/>
    </x:row>
    <x:row r="138">
      <x:c r="A138" s="34"/>
      <x:c r="B138" s="34"/>
      <x:c r="C138" s="34"/>
      <x:c r="D138" s="34"/>
      <x:c r="E138" s="34"/>
      <x:c r="F138" s="34"/>
      <x:c r="G138" s="34"/>
      <x:c r="H138" s="34"/>
      <x:c r="I138" s="34"/>
      <x:c r="J138" s="34"/>
      <x:c r="K138" s="34"/>
      <x:c r="L138" s="34"/>
      <x:c r="M138" s="34"/>
      <x:c r="N138" s="34"/>
      <x:c r="O138" s="34"/>
      <x:c r="P138" s="34"/>
    </x:row>
    <x:row r="139">
      <x:c r="A139" s="34"/>
      <x:c r="B139" s="34"/>
      <x:c r="C139" s="34"/>
      <x:c r="D139" s="34"/>
      <x:c r="E139" s="34"/>
      <x:c r="F139" s="34"/>
      <x:c r="G139" s="34"/>
      <x:c r="H139" s="34"/>
      <x:c r="I139" s="34"/>
      <x:c r="J139" s="34"/>
      <x:c r="K139" s="34"/>
      <x:c r="L139" s="34"/>
      <x:c r="M139" s="34"/>
      <x:c r="N139" s="34"/>
      <x:c r="O139" s="34"/>
      <x:c r="P139" s="34"/>
    </x:row>
    <x:row r="140">
      <x:c r="A140" s="34"/>
      <x:c r="B140" s="34"/>
      <x:c r="C140" s="34"/>
      <x:c r="D140" s="34"/>
      <x:c r="E140" s="34"/>
      <x:c r="F140" s="34"/>
      <x:c r="G140" s="34"/>
      <x:c r="H140" s="34"/>
      <x:c r="I140" s="34"/>
      <x:c r="J140" s="34"/>
      <x:c r="K140" s="34"/>
      <x:c r="L140" s="34"/>
      <x:c r="M140" s="34"/>
      <x:c r="N140" s="34"/>
      <x:c r="O140" s="34"/>
      <x:c r="P140" s="34"/>
    </x:row>
    <x:row r="141">
      <x:c r="A141" s="34"/>
      <x:c r="B141" s="34"/>
      <x:c r="C141" s="34"/>
      <x:c r="D141" s="34"/>
      <x:c r="E141" s="34"/>
      <x:c r="F141" s="34"/>
      <x:c r="G141" s="34"/>
      <x:c r="H141" s="34"/>
      <x:c r="I141" s="34"/>
      <x:c r="J141" s="34"/>
      <x:c r="K141" s="34"/>
      <x:c r="L141" s="34"/>
      <x:c r="M141" s="34"/>
      <x:c r="N141" s="34"/>
      <x:c r="O141" s="34"/>
      <x:c r="P141" s="34"/>
    </x:row>
    <x:row r="142">
      <x:c r="A142" s="34"/>
      <x:c r="B142" s="34"/>
      <x:c r="C142" s="34"/>
      <x:c r="D142" s="34"/>
      <x:c r="E142" s="34"/>
      <x:c r="F142" s="34"/>
      <x:c r="G142" s="34"/>
      <x:c r="H142" s="34"/>
      <x:c r="I142" s="34"/>
      <x:c r="J142" s="34"/>
      <x:c r="K142" s="34"/>
      <x:c r="L142" s="34"/>
      <x:c r="M142" s="34"/>
      <x:c r="N142" s="34"/>
      <x:c r="O142" s="34"/>
      <x:c r="P142" s="34"/>
    </x:row>
    <x:row r="143">
      <x:c r="A143" s="34"/>
      <x:c r="B143" s="34"/>
      <x:c r="C143" s="34"/>
      <x:c r="D143" s="34"/>
      <x:c r="E143" s="34"/>
      <x:c r="F143" s="34"/>
      <x:c r="G143" s="34"/>
      <x:c r="H143" s="34"/>
      <x:c r="I143" s="34"/>
      <x:c r="J143" s="34"/>
      <x:c r="K143" s="34"/>
      <x:c r="L143" s="34"/>
      <x:c r="M143" s="34"/>
      <x:c r="N143" s="34"/>
      <x:c r="O143" s="34"/>
      <x:c r="P143" s="34"/>
    </x:row>
    <x:row r="144">
      <x:c r="A144" s="34"/>
      <x:c r="B144" s="34"/>
      <x:c r="C144" s="34"/>
      <x:c r="D144" s="34"/>
      <x:c r="E144" s="34"/>
      <x:c r="F144" s="34"/>
      <x:c r="G144" s="34"/>
      <x:c r="H144" s="34"/>
      <x:c r="I144" s="34"/>
      <x:c r="J144" s="34"/>
      <x:c r="K144" s="34"/>
      <x:c r="L144" s="34"/>
      <x:c r="M144" s="34"/>
      <x:c r="N144" s="34"/>
      <x:c r="O144" s="34"/>
      <x:c r="P144" s="34"/>
    </x:row>
    <x:row r="145">
      <x:c r="A145" s="34"/>
      <x:c r="B145" s="34"/>
      <x:c r="C145" s="34"/>
      <x:c r="D145" s="34"/>
      <x:c r="E145" s="34"/>
      <x:c r="F145" s="34"/>
      <x:c r="G145" s="34"/>
      <x:c r="H145" s="34"/>
      <x:c r="I145" s="34"/>
      <x:c r="J145" s="34"/>
      <x:c r="K145" s="34"/>
      <x:c r="L145" s="34"/>
      <x:c r="M145" s="34"/>
      <x:c r="N145" s="34"/>
      <x:c r="O145" s="34"/>
      <x:c r="P145" s="34"/>
    </x:row>
    <x:row r="146">
      <x:c r="A146" s="34"/>
      <x:c r="B146" s="34"/>
      <x:c r="C146" s="34"/>
      <x:c r="D146" s="34"/>
      <x:c r="E146" s="34"/>
      <x:c r="F146" s="34"/>
      <x:c r="G146" s="34"/>
      <x:c r="H146" s="34"/>
      <x:c r="I146" s="34"/>
      <x:c r="J146" s="34"/>
      <x:c r="K146" s="34"/>
      <x:c r="L146" s="34"/>
      <x:c r="M146" s="34"/>
      <x:c r="N146" s="34"/>
      <x:c r="O146" s="34"/>
      <x:c r="P146" s="34"/>
    </x:row>
    <x:row r="147">
      <x:c r="A147" s="34"/>
      <x:c r="B147" s="34"/>
      <x:c r="C147" s="34"/>
      <x:c r="D147" s="34"/>
      <x:c r="E147" s="34"/>
      <x:c r="F147" s="34"/>
      <x:c r="G147" s="34"/>
      <x:c r="H147" s="34"/>
      <x:c r="I147" s="34"/>
      <x:c r="J147" s="34"/>
      <x:c r="K147" s="34"/>
      <x:c r="L147" s="34"/>
      <x:c r="M147" s="34"/>
      <x:c r="N147" s="34"/>
      <x:c r="O147" s="34"/>
      <x:c r="P147" s="34"/>
    </x:row>
    <x:row r="148">
      <x:c r="A148" s="34"/>
      <x:c r="B148" s="34"/>
      <x:c r="C148" s="34"/>
      <x:c r="D148" s="34"/>
      <x:c r="E148" s="34"/>
      <x:c r="F148" s="34"/>
      <x:c r="G148" s="34"/>
      <x:c r="H148" s="34"/>
      <x:c r="I148" s="34"/>
      <x:c r="J148" s="34"/>
      <x:c r="K148" s="34"/>
      <x:c r="L148" s="34"/>
      <x:c r="M148" s="34"/>
      <x:c r="N148" s="34"/>
      <x:c r="O148" s="34"/>
      <x:c r="P148" s="34"/>
    </x:row>
    <x:row r="149">
      <x:c r="A149" s="34"/>
      <x:c r="B149" s="34"/>
      <x:c r="C149" s="34"/>
      <x:c r="D149" s="34"/>
      <x:c r="E149" s="34"/>
      <x:c r="F149" s="34"/>
      <x:c r="G149" s="34"/>
      <x:c r="H149" s="34"/>
      <x:c r="I149" s="34"/>
      <x:c r="J149" s="34"/>
      <x:c r="K149" s="34"/>
      <x:c r="L149" s="34"/>
      <x:c r="M149" s="34"/>
      <x:c r="N149" s="34"/>
      <x:c r="O149" s="34"/>
      <x:c r="P149" s="34"/>
    </x:row>
    <x:row r="150">
      <x:c r="A150" s="34"/>
      <x:c r="B150" s="34"/>
      <x:c r="C150" s="34"/>
      <x:c r="D150" s="34"/>
      <x:c r="E150" s="34"/>
      <x:c r="F150" s="34"/>
      <x:c r="G150" s="34"/>
      <x:c r="H150" s="34"/>
      <x:c r="I150" s="34"/>
      <x:c r="J150" s="34"/>
      <x:c r="K150" s="34"/>
      <x:c r="L150" s="34"/>
      <x:c r="M150" s="34"/>
      <x:c r="N150" s="34"/>
      <x:c r="O150" s="34"/>
      <x:c r="P150" s="34"/>
    </x:row>
    <x:row r="151">
      <x:c r="A151" s="34"/>
      <x:c r="B151" s="34"/>
      <x:c r="C151" s="34"/>
      <x:c r="D151" s="34"/>
      <x:c r="E151" s="34"/>
      <x:c r="F151" s="34"/>
      <x:c r="G151" s="34"/>
      <x:c r="H151" s="34"/>
      <x:c r="I151" s="34"/>
      <x:c r="J151" s="34"/>
      <x:c r="K151" s="34"/>
      <x:c r="L151" s="34"/>
      <x:c r="M151" s="34"/>
      <x:c r="N151" s="34"/>
      <x:c r="O151" s="34"/>
      <x:c r="P151" s="34"/>
    </x:row>
    <x:row r="152">
      <x:c r="A152" s="34"/>
      <x:c r="B152" s="34"/>
      <x:c r="C152" s="34"/>
      <x:c r="D152" s="34"/>
      <x:c r="E152" s="34"/>
      <x:c r="F152" s="34"/>
      <x:c r="G152" s="34"/>
      <x:c r="H152" s="34"/>
      <x:c r="I152" s="34"/>
      <x:c r="J152" s="34"/>
      <x:c r="K152" s="34"/>
      <x:c r="L152" s="34"/>
      <x:c r="M152" s="34"/>
      <x:c r="N152" s="34"/>
      <x:c r="O152" s="34"/>
      <x:c r="P152" s="34"/>
    </x:row>
    <x:row r="153">
      <x:c r="A153" s="34"/>
      <x:c r="B153" s="34"/>
      <x:c r="C153" s="34"/>
      <x:c r="D153" s="34"/>
      <x:c r="E153" s="34"/>
      <x:c r="F153" s="34"/>
      <x:c r="G153" s="34"/>
      <x:c r="H153" s="34"/>
      <x:c r="I153" s="34"/>
      <x:c r="J153" s="34"/>
      <x:c r="K153" s="34"/>
      <x:c r="L153" s="34"/>
      <x:c r="M153" s="34"/>
      <x:c r="N153" s="34"/>
      <x:c r="O153" s="34"/>
      <x:c r="P153" s="34"/>
    </x:row>
    <x:row r="154">
      <x:c r="A154" s="34"/>
      <x:c r="B154" s="34"/>
      <x:c r="C154" s="34"/>
      <x:c r="D154" s="34"/>
      <x:c r="E154" s="34"/>
      <x:c r="F154" s="34"/>
      <x:c r="G154" s="34"/>
      <x:c r="H154" s="34"/>
      <x:c r="I154" s="34"/>
      <x:c r="J154" s="34"/>
      <x:c r="K154" s="34"/>
      <x:c r="L154" s="34"/>
      <x:c r="M154" s="34"/>
      <x:c r="N154" s="34"/>
      <x:c r="O154" s="34"/>
      <x:c r="P154" s="34"/>
    </x:row>
    <x:row r="155">
      <x:c r="A155" s="34"/>
      <x:c r="B155" s="34"/>
      <x:c r="C155" s="34"/>
      <x:c r="D155" s="34"/>
      <x:c r="E155" s="34"/>
      <x:c r="F155" s="34"/>
      <x:c r="G155" s="34"/>
      <x:c r="H155" s="34"/>
      <x:c r="I155" s="34"/>
      <x:c r="J155" s="34"/>
      <x:c r="K155" s="34"/>
      <x:c r="L155" s="34"/>
      <x:c r="M155" s="34"/>
      <x:c r="N155" s="34"/>
      <x:c r="O155" s="34"/>
      <x:c r="P155" s="34"/>
    </x:row>
    <x:row r="156">
      <x:c r="A156" s="34"/>
      <x:c r="B156" s="34"/>
      <x:c r="C156" s="34"/>
      <x:c r="D156" s="34"/>
      <x:c r="E156" s="34"/>
      <x:c r="F156" s="34"/>
      <x:c r="G156" s="34"/>
      <x:c r="H156" s="34"/>
      <x:c r="I156" s="34"/>
      <x:c r="J156" s="34"/>
      <x:c r="K156" s="34"/>
      <x:c r="L156" s="34"/>
      <x:c r="M156" s="34"/>
      <x:c r="N156" s="34"/>
      <x:c r="O156" s="34"/>
      <x:c r="P156" s="34"/>
    </x:row>
    <x:row r="157">
      <x:c r="A157" s="34"/>
      <x:c r="B157" s="34"/>
      <x:c r="C157" s="34"/>
      <x:c r="D157" s="34"/>
      <x:c r="E157" s="34"/>
      <x:c r="F157" s="34"/>
      <x:c r="G157" s="34"/>
      <x:c r="H157" s="34"/>
      <x:c r="I157" s="34"/>
      <x:c r="J157" s="34"/>
      <x:c r="K157" s="34"/>
      <x:c r="L157" s="34"/>
      <x:c r="M157" s="34"/>
      <x:c r="N157" s="34"/>
      <x:c r="O157" s="34"/>
      <x:c r="P157" s="34"/>
    </x:row>
    <x:row r="158">
      <x:c r="A158" s="34"/>
      <x:c r="B158" s="34"/>
      <x:c r="C158" s="34"/>
      <x:c r="D158" s="34"/>
      <x:c r="E158" s="34"/>
      <x:c r="F158" s="34"/>
      <x:c r="G158" s="34"/>
      <x:c r="H158" s="34"/>
      <x:c r="I158" s="34"/>
      <x:c r="J158" s="34"/>
      <x:c r="K158" s="34"/>
      <x:c r="L158" s="34"/>
      <x:c r="M158" s="34"/>
      <x:c r="N158" s="34"/>
      <x:c r="O158" s="34"/>
      <x:c r="P158" s="34"/>
    </x:row>
    <x:row r="159">
      <x:c r="A159" s="34"/>
      <x:c r="B159" s="34"/>
      <x:c r="C159" s="34"/>
      <x:c r="D159" s="34"/>
      <x:c r="E159" s="34"/>
      <x:c r="F159" s="34"/>
      <x:c r="G159" s="34"/>
      <x:c r="H159" s="34"/>
      <x:c r="I159" s="34"/>
      <x:c r="J159" s="34"/>
      <x:c r="K159" s="34"/>
      <x:c r="L159" s="34"/>
      <x:c r="M159" s="34"/>
      <x:c r="N159" s="34"/>
      <x:c r="O159" s="34"/>
      <x:c r="P159" s="34"/>
    </x:row>
    <x:row r="160">
      <x:c r="A160" s="34"/>
      <x:c r="B160" s="34"/>
      <x:c r="C160" s="34"/>
      <x:c r="D160" s="34"/>
      <x:c r="E160" s="34"/>
      <x:c r="F160" s="34"/>
      <x:c r="G160" s="34"/>
      <x:c r="H160" s="34"/>
      <x:c r="I160" s="34"/>
      <x:c r="J160" s="34"/>
      <x:c r="K160" s="34"/>
      <x:c r="L160" s="34"/>
      <x:c r="M160" s="34"/>
      <x:c r="N160" s="34"/>
      <x:c r="O160" s="34"/>
      <x:c r="P160" s="34"/>
    </x:row>
    <x:row r="161">
      <x:c r="A161" s="34"/>
      <x:c r="B161" s="34"/>
      <x:c r="C161" s="34"/>
      <x:c r="D161" s="34"/>
      <x:c r="E161" s="34"/>
      <x:c r="F161" s="34"/>
      <x:c r="G161" s="34"/>
      <x:c r="H161" s="34"/>
      <x:c r="I161" s="34"/>
      <x:c r="J161" s="34"/>
      <x:c r="K161" s="34"/>
      <x:c r="L161" s="34"/>
      <x:c r="M161" s="34"/>
      <x:c r="N161" s="34"/>
      <x:c r="O161" s="34"/>
      <x:c r="P161" s="34"/>
    </x:row>
    <x:row r="162">
      <x:c r="A162" s="34"/>
      <x:c r="B162" s="34"/>
      <x:c r="C162" s="34"/>
      <x:c r="D162" s="34"/>
      <x:c r="E162" s="34"/>
      <x:c r="F162" s="34"/>
      <x:c r="G162" s="34"/>
      <x:c r="H162" s="34"/>
      <x:c r="I162" s="34"/>
      <x:c r="J162" s="34"/>
      <x:c r="K162" s="34"/>
      <x:c r="L162" s="34"/>
      <x:c r="M162" s="34"/>
      <x:c r="N162" s="34"/>
      <x:c r="O162" s="34"/>
      <x:c r="P162" s="34"/>
    </x:row>
    <x:row r="163">
      <x:c r="A163" s="34"/>
      <x:c r="B163" s="34"/>
      <x:c r="C163" s="34"/>
      <x:c r="D163" s="34"/>
      <x:c r="E163" s="34"/>
      <x:c r="F163" s="34"/>
      <x:c r="G163" s="34"/>
      <x:c r="H163" s="34"/>
      <x:c r="I163" s="34"/>
      <x:c r="J163" s="34"/>
      <x:c r="K163" s="34"/>
      <x:c r="L163" s="34"/>
      <x:c r="M163" s="34"/>
      <x:c r="N163" s="34"/>
      <x:c r="O163" s="34"/>
      <x:c r="P163" s="34"/>
    </x:row>
    <x:row r="164">
      <x:c r="A164" s="34"/>
      <x:c r="B164" s="34"/>
      <x:c r="C164" s="34"/>
      <x:c r="D164" s="34"/>
      <x:c r="E164" s="34"/>
      <x:c r="F164" s="34"/>
      <x:c r="G164" s="34"/>
      <x:c r="H164" s="34"/>
      <x:c r="I164" s="34"/>
      <x:c r="J164" s="34"/>
      <x:c r="K164" s="34"/>
      <x:c r="L164" s="34"/>
      <x:c r="M164" s="34"/>
      <x:c r="N164" s="34"/>
      <x:c r="O164" s="34"/>
      <x:c r="P164" s="34"/>
    </x:row>
    <x:row r="165">
      <x:c r="A165" s="34"/>
      <x:c r="B165" s="34"/>
      <x:c r="C165" s="34"/>
      <x:c r="D165" s="34"/>
      <x:c r="E165" s="34"/>
      <x:c r="F165" s="34"/>
      <x:c r="G165" s="34"/>
      <x:c r="H165" s="34"/>
      <x:c r="I165" s="34"/>
      <x:c r="J165" s="34"/>
      <x:c r="K165" s="34"/>
      <x:c r="L165" s="34"/>
      <x:c r="M165" s="34"/>
      <x:c r="N165" s="34"/>
      <x:c r="O165" s="34"/>
      <x:c r="P165" s="34"/>
    </x:row>
    <x:row r="166">
      <x:c r="A166" s="34"/>
      <x:c r="B166" s="34"/>
      <x:c r="C166" s="34"/>
      <x:c r="D166" s="34"/>
      <x:c r="E166" s="34"/>
      <x:c r="F166" s="34"/>
      <x:c r="G166" s="34"/>
      <x:c r="H166" s="34"/>
      <x:c r="I166" s="34"/>
      <x:c r="J166" s="34"/>
      <x:c r="K166" s="34"/>
      <x:c r="L166" s="34"/>
      <x:c r="M166" s="34"/>
      <x:c r="N166" s="34"/>
      <x:c r="O166" s="34"/>
      <x:c r="P166" s="34"/>
    </x:row>
    <x:row r="167">
      <x:c r="A167" s="34"/>
      <x:c r="B167" s="34"/>
      <x:c r="C167" s="34"/>
      <x:c r="D167" s="34"/>
      <x:c r="E167" s="34"/>
      <x:c r="F167" s="34"/>
      <x:c r="G167" s="34"/>
      <x:c r="H167" s="34"/>
      <x:c r="I167" s="34"/>
      <x:c r="J167" s="34"/>
      <x:c r="K167" s="34"/>
      <x:c r="L167" s="34"/>
      <x:c r="M167" s="34"/>
      <x:c r="N167" s="34"/>
      <x:c r="O167" s="34"/>
      <x:c r="P167" s="34"/>
    </x:row>
    <x:row r="168">
      <x:c r="A168" s="34"/>
      <x:c r="B168" s="34"/>
      <x:c r="C168" s="34"/>
      <x:c r="D168" s="34"/>
      <x:c r="E168" s="34"/>
      <x:c r="F168" s="34"/>
      <x:c r="G168" s="34"/>
      <x:c r="H168" s="34"/>
      <x:c r="I168" s="34"/>
      <x:c r="J168" s="34"/>
      <x:c r="K168" s="34"/>
      <x:c r="L168" s="34"/>
      <x:c r="M168" s="34"/>
      <x:c r="N168" s="34"/>
      <x:c r="O168" s="34"/>
      <x:c r="P168" s="34"/>
    </x:row>
    <x:row r="169">
      <x:c r="A169" s="34"/>
      <x:c r="B169" s="34"/>
      <x:c r="C169" s="34"/>
      <x:c r="D169" s="34"/>
      <x:c r="E169" s="34"/>
      <x:c r="F169" s="34"/>
      <x:c r="G169" s="34"/>
      <x:c r="H169" s="34"/>
      <x:c r="I169" s="34"/>
      <x:c r="J169" s="34"/>
      <x:c r="K169" s="34"/>
      <x:c r="L169" s="34"/>
      <x:c r="M169" s="34"/>
      <x:c r="N169" s="34"/>
      <x:c r="O169" s="34"/>
      <x:c r="P169" s="34"/>
    </x:row>
    <x:row r="170">
      <x:c r="A170" s="34"/>
      <x:c r="B170" s="34"/>
      <x:c r="C170" s="34"/>
      <x:c r="D170" s="34"/>
      <x:c r="E170" s="34"/>
      <x:c r="F170" s="34"/>
      <x:c r="G170" s="34"/>
      <x:c r="H170" s="34"/>
      <x:c r="I170" s="34"/>
      <x:c r="J170" s="34"/>
      <x:c r="K170" s="34"/>
      <x:c r="L170" s="34"/>
      <x:c r="M170" s="34"/>
      <x:c r="N170" s="34"/>
      <x:c r="O170" s="34"/>
      <x:c r="P170" s="34"/>
    </x:row>
    <x:row r="171">
      <x:c r="A171" s="34"/>
      <x:c r="B171" s="34"/>
      <x:c r="C171" s="34"/>
      <x:c r="D171" s="34"/>
      <x:c r="E171" s="34"/>
      <x:c r="F171" s="34"/>
      <x:c r="G171" s="34"/>
      <x:c r="H171" s="34"/>
      <x:c r="I171" s="34"/>
      <x:c r="J171" s="34"/>
      <x:c r="K171" s="34"/>
      <x:c r="L171" s="34"/>
      <x:c r="M171" s="34"/>
      <x:c r="N171" s="34"/>
      <x:c r="O171" s="34"/>
      <x:c r="P171" s="34"/>
    </x:row>
    <x:row r="172">
      <x:c r="A172" s="34"/>
      <x:c r="B172" s="34"/>
      <x:c r="C172" s="34"/>
      <x:c r="D172" s="34"/>
      <x:c r="E172" s="34"/>
      <x:c r="F172" s="34"/>
      <x:c r="G172" s="34"/>
      <x:c r="H172" s="34"/>
      <x:c r="I172" s="34"/>
      <x:c r="J172" s="34"/>
      <x:c r="K172" s="34"/>
      <x:c r="L172" s="34"/>
      <x:c r="M172" s="34"/>
      <x:c r="N172" s="34"/>
      <x:c r="O172" s="34"/>
      <x:c r="P172" s="34"/>
    </x:row>
    <x:row r="173">
      <x:c r="A173" s="34"/>
      <x:c r="B173" s="34"/>
      <x:c r="C173" s="34"/>
      <x:c r="D173" s="34"/>
      <x:c r="E173" s="34"/>
      <x:c r="F173" s="34"/>
      <x:c r="G173" s="34"/>
      <x:c r="H173" s="34"/>
      <x:c r="I173" s="34"/>
      <x:c r="J173" s="34"/>
      <x:c r="K173" s="34"/>
      <x:c r="L173" s="34"/>
      <x:c r="M173" s="34"/>
      <x:c r="N173" s="34"/>
      <x:c r="O173" s="34"/>
      <x:c r="P173" s="34"/>
    </x:row>
    <x:row r="174">
      <x:c r="A174" s="34"/>
      <x:c r="B174" s="34"/>
      <x:c r="C174" s="34"/>
      <x:c r="D174" s="34"/>
      <x:c r="E174" s="34"/>
      <x:c r="F174" s="34"/>
      <x:c r="G174" s="34"/>
      <x:c r="H174" s="34"/>
      <x:c r="I174" s="34"/>
      <x:c r="J174" s="34"/>
      <x:c r="K174" s="34"/>
      <x:c r="L174" s="34"/>
      <x:c r="M174" s="34"/>
      <x:c r="N174" s="34"/>
      <x:c r="O174" s="34"/>
      <x:c r="P174" s="34"/>
    </x:row>
    <x:row r="175">
      <x:c r="A175" s="34"/>
      <x:c r="B175" s="34"/>
      <x:c r="C175" s="34"/>
      <x:c r="D175" s="34"/>
      <x:c r="E175" s="34"/>
      <x:c r="F175" s="34"/>
      <x:c r="G175" s="34"/>
      <x:c r="H175" s="34"/>
      <x:c r="I175" s="34"/>
      <x:c r="J175" s="34"/>
      <x:c r="K175" s="34"/>
      <x:c r="L175" s="34"/>
      <x:c r="M175" s="34"/>
      <x:c r="N175" s="34"/>
      <x:c r="O175" s="34"/>
      <x:c r="P175" s="34"/>
    </x:row>
    <x:row r="176">
      <x:c r="A176" s="34"/>
      <x:c r="B176" s="34"/>
      <x:c r="C176" s="34"/>
      <x:c r="D176" s="34"/>
      <x:c r="E176" s="34"/>
      <x:c r="F176" s="34"/>
      <x:c r="G176" s="34"/>
      <x:c r="H176" s="34"/>
      <x:c r="I176" s="34"/>
      <x:c r="J176" s="34"/>
      <x:c r="K176" s="34"/>
      <x:c r="L176" s="34"/>
      <x:c r="M176" s="34"/>
      <x:c r="N176" s="34"/>
      <x:c r="O176" s="34"/>
      <x:c r="P176" s="34"/>
    </x:row>
    <x:row r="177">
      <x:c r="A177" s="34"/>
      <x:c r="B177" s="34"/>
      <x:c r="C177" s="34"/>
      <x:c r="D177" s="34"/>
      <x:c r="E177" s="34"/>
      <x:c r="F177" s="34"/>
      <x:c r="G177" s="34"/>
      <x:c r="H177" s="34"/>
      <x:c r="I177" s="34"/>
      <x:c r="J177" s="34"/>
      <x:c r="K177" s="34"/>
      <x:c r="L177" s="34"/>
      <x:c r="M177" s="34"/>
      <x:c r="N177" s="34"/>
      <x:c r="O177" s="34"/>
      <x:c r="P177" s="34"/>
    </x:row>
    <x:row r="178">
      <x:c r="A178" s="34"/>
      <x:c r="B178" s="34"/>
      <x:c r="C178" s="34"/>
      <x:c r="D178" s="34"/>
      <x:c r="E178" s="34"/>
      <x:c r="F178" s="34"/>
      <x:c r="G178" s="34"/>
      <x:c r="H178" s="34"/>
      <x:c r="I178" s="34"/>
      <x:c r="J178" s="34"/>
      <x:c r="K178" s="34"/>
      <x:c r="L178" s="34"/>
      <x:c r="M178" s="34"/>
      <x:c r="N178" s="34"/>
      <x:c r="O178" s="34"/>
      <x:c r="P178" s="34"/>
    </x:row>
    <x:row r="179">
      <x:c r="A179" s="34"/>
      <x:c r="B179" s="34"/>
      <x:c r="C179" s="34"/>
      <x:c r="D179" s="34"/>
      <x:c r="E179" s="34"/>
      <x:c r="F179" s="34"/>
      <x:c r="G179" s="34"/>
      <x:c r="H179" s="34"/>
      <x:c r="I179" s="34"/>
      <x:c r="J179" s="34"/>
      <x:c r="K179" s="34"/>
      <x:c r="L179" s="34"/>
      <x:c r="M179" s="34"/>
      <x:c r="N179" s="34"/>
      <x:c r="O179" s="34"/>
      <x:c r="P179" s="34"/>
    </x:row>
    <x:row r="180">
      <x:c r="A180" s="34"/>
      <x:c r="B180" s="34"/>
      <x:c r="C180" s="34"/>
      <x:c r="D180" s="34"/>
      <x:c r="E180" s="34"/>
      <x:c r="F180" s="34"/>
      <x:c r="G180" s="34"/>
      <x:c r="H180" s="34"/>
      <x:c r="I180" s="34"/>
      <x:c r="J180" s="34"/>
      <x:c r="K180" s="34"/>
      <x:c r="L180" s="34"/>
      <x:c r="M180" s="34"/>
      <x:c r="N180" s="34"/>
      <x:c r="O180" s="34"/>
      <x:c r="P180" s="34"/>
    </x:row>
    <x:row r="181">
      <x:c r="A181" s="34"/>
      <x:c r="B181" s="34"/>
      <x:c r="C181" s="34"/>
      <x:c r="D181" s="34"/>
      <x:c r="E181" s="34"/>
      <x:c r="F181" s="34"/>
      <x:c r="G181" s="34"/>
      <x:c r="H181" s="34"/>
      <x:c r="I181" s="34"/>
      <x:c r="J181" s="34"/>
      <x:c r="K181" s="34"/>
      <x:c r="L181" s="34"/>
      <x:c r="M181" s="34"/>
      <x:c r="N181" s="34"/>
      <x:c r="O181" s="34"/>
      <x:c r="P181" s="34"/>
    </x:row>
    <x:row r="182">
      <x:c r="A182" s="34"/>
      <x:c r="B182" s="34"/>
      <x:c r="C182" s="34"/>
      <x:c r="D182" s="34"/>
      <x:c r="E182" s="34"/>
      <x:c r="F182" s="34"/>
      <x:c r="G182" s="34"/>
      <x:c r="H182" s="34"/>
      <x:c r="I182" s="34"/>
      <x:c r="J182" s="34"/>
      <x:c r="K182" s="34"/>
      <x:c r="L182" s="34"/>
      <x:c r="M182" s="34"/>
      <x:c r="N182" s="34"/>
      <x:c r="O182" s="34"/>
      <x:c r="P182" s="34"/>
    </x:row>
    <x:row r="183">
      <x:c r="A183" s="34"/>
      <x:c r="B183" s="34"/>
      <x:c r="C183" s="34"/>
      <x:c r="D183" s="34"/>
      <x:c r="E183" s="34"/>
      <x:c r="F183" s="34"/>
      <x:c r="G183" s="34"/>
      <x:c r="H183" s="34"/>
      <x:c r="I183" s="34"/>
      <x:c r="J183" s="34"/>
      <x:c r="K183" s="34"/>
      <x:c r="L183" s="34"/>
      <x:c r="M183" s="34"/>
      <x:c r="N183" s="34"/>
      <x:c r="O183" s="34"/>
      <x:c r="P183" s="34"/>
    </x:row>
    <x:row r="184">
      <x:c r="A184" s="34"/>
      <x:c r="B184" s="34"/>
      <x:c r="C184" s="34"/>
      <x:c r="D184" s="34"/>
      <x:c r="E184" s="34"/>
      <x:c r="F184" s="34"/>
      <x:c r="G184" s="34"/>
      <x:c r="H184" s="34"/>
      <x:c r="I184" s="34"/>
      <x:c r="J184" s="34"/>
      <x:c r="K184" s="34"/>
      <x:c r="L184" s="34"/>
      <x:c r="M184" s="34"/>
      <x:c r="N184" s="34"/>
      <x:c r="O184" s="34"/>
      <x:c r="P184" s="34"/>
    </x:row>
    <x:row r="185">
      <x:c r="A185" s="34"/>
      <x:c r="B185" s="34"/>
      <x:c r="C185" s="34"/>
      <x:c r="D185" s="34"/>
      <x:c r="E185" s="34"/>
      <x:c r="F185" s="34"/>
      <x:c r="G185" s="34"/>
      <x:c r="H185" s="34"/>
      <x:c r="I185" s="34"/>
      <x:c r="J185" s="34"/>
      <x:c r="K185" s="34"/>
      <x:c r="L185" s="34"/>
      <x:c r="M185" s="34"/>
      <x:c r="N185" s="34"/>
      <x:c r="O185" s="34"/>
      <x:c r="P185" s="34"/>
    </x:row>
    <x:row r="186">
      <x:c r="A186" s="34"/>
      <x:c r="B186" s="34"/>
      <x:c r="C186" s="34"/>
      <x:c r="D186" s="34"/>
      <x:c r="E186" s="34"/>
      <x:c r="F186" s="34"/>
      <x:c r="G186" s="34"/>
      <x:c r="H186" s="34"/>
      <x:c r="I186" s="34"/>
      <x:c r="J186" s="34"/>
      <x:c r="K186" s="34"/>
      <x:c r="L186" s="34"/>
      <x:c r="M186" s="34"/>
      <x:c r="N186" s="34"/>
      <x:c r="O186" s="34"/>
      <x:c r="P186" s="34"/>
    </x:row>
    <x:row r="187">
      <x:c r="A187" s="34"/>
      <x:c r="B187" s="34"/>
      <x:c r="C187" s="34"/>
      <x:c r="D187" s="34"/>
      <x:c r="E187" s="34"/>
      <x:c r="F187" s="34"/>
      <x:c r="G187" s="34"/>
      <x:c r="H187" s="34"/>
      <x:c r="I187" s="34"/>
      <x:c r="J187" s="34"/>
      <x:c r="K187" s="34"/>
      <x:c r="L187" s="34"/>
      <x:c r="M187" s="34"/>
      <x:c r="N187" s="34"/>
      <x:c r="O187" s="34"/>
      <x:c r="P187" s="34"/>
    </x:row>
    <x:row r="188">
      <x:c r="A188" s="34"/>
      <x:c r="B188" s="34"/>
      <x:c r="C188" s="34"/>
      <x:c r="D188" s="34"/>
      <x:c r="E188" s="34"/>
      <x:c r="F188" s="34"/>
      <x:c r="G188" s="34"/>
      <x:c r="H188" s="34"/>
      <x:c r="I188" s="34"/>
      <x:c r="J188" s="34"/>
      <x:c r="K188" s="34"/>
      <x:c r="L188" s="34"/>
      <x:c r="M188" s="34"/>
      <x:c r="N188" s="34"/>
      <x:c r="O188" s="34"/>
      <x:c r="P188" s="34"/>
    </x:row>
    <x:row r="189">
      <x:c r="A189" s="34"/>
      <x:c r="B189" s="34"/>
      <x:c r="C189" s="34"/>
      <x:c r="D189" s="34"/>
      <x:c r="E189" s="34"/>
      <x:c r="F189" s="34"/>
      <x:c r="G189" s="34"/>
      <x:c r="H189" s="34"/>
      <x:c r="I189" s="34"/>
      <x:c r="J189" s="34"/>
      <x:c r="K189" s="34"/>
      <x:c r="L189" s="34"/>
      <x:c r="M189" s="34"/>
      <x:c r="N189" s="34"/>
      <x:c r="O189" s="34"/>
      <x:c r="P189" s="34"/>
    </x:row>
    <x:row r="190">
      <x:c r="A190" s="34"/>
      <x:c r="B190" s="34"/>
      <x:c r="C190" s="34"/>
      <x:c r="D190" s="34"/>
      <x:c r="E190" s="34"/>
      <x:c r="F190" s="34"/>
      <x:c r="G190" s="34"/>
      <x:c r="H190" s="34"/>
      <x:c r="I190" s="34"/>
      <x:c r="J190" s="34"/>
      <x:c r="K190" s="34"/>
      <x:c r="L190" s="34"/>
      <x:c r="M190" s="34"/>
      <x:c r="N190" s="34"/>
      <x:c r="O190" s="34"/>
      <x:c r="P190" s="34"/>
    </x:row>
    <x:row r="191">
      <x:c r="A191" s="34"/>
      <x:c r="B191" s="34"/>
      <x:c r="C191" s="34"/>
      <x:c r="D191" s="34"/>
      <x:c r="E191" s="34"/>
      <x:c r="F191" s="34"/>
      <x:c r="G191" s="34"/>
      <x:c r="H191" s="34"/>
      <x:c r="I191" s="34"/>
      <x:c r="J191" s="34"/>
      <x:c r="K191" s="34"/>
      <x:c r="L191" s="34"/>
      <x:c r="M191" s="34"/>
      <x:c r="N191" s="34"/>
      <x:c r="O191" s="34"/>
      <x:c r="P191" s="34"/>
    </x:row>
    <x:row r="192">
      <x:c r="A192" s="34"/>
      <x:c r="B192" s="34"/>
      <x:c r="C192" s="34"/>
      <x:c r="D192" s="34"/>
      <x:c r="E192" s="34"/>
      <x:c r="F192" s="34"/>
      <x:c r="G192" s="34"/>
      <x:c r="H192" s="34"/>
      <x:c r="I192" s="34"/>
      <x:c r="J192" s="34"/>
      <x:c r="K192" s="34"/>
      <x:c r="L192" s="34"/>
      <x:c r="M192" s="34"/>
      <x:c r="N192" s="34"/>
      <x:c r="O192" s="34"/>
      <x:c r="P192" s="34"/>
    </x:row>
    <x:row r="193">
      <x:c r="A193" s="34"/>
      <x:c r="B193" s="34"/>
      <x:c r="C193" s="34"/>
      <x:c r="D193" s="34"/>
      <x:c r="E193" s="34"/>
      <x:c r="F193" s="34"/>
      <x:c r="G193" s="34"/>
      <x:c r="H193" s="34"/>
      <x:c r="I193" s="34"/>
      <x:c r="J193" s="34"/>
      <x:c r="K193" s="34"/>
      <x:c r="L193" s="34"/>
      <x:c r="M193" s="34"/>
      <x:c r="N193" s="34"/>
      <x:c r="O193" s="34"/>
      <x:c r="P193" s="34"/>
    </x:row>
    <x:row r="194">
      <x:c r="A194" s="34"/>
      <x:c r="B194" s="34"/>
      <x:c r="C194" s="34"/>
      <x:c r="D194" s="34"/>
      <x:c r="E194" s="34"/>
      <x:c r="F194" s="34"/>
      <x:c r="G194" s="34"/>
      <x:c r="H194" s="34"/>
      <x:c r="I194" s="34"/>
      <x:c r="J194" s="34"/>
      <x:c r="K194" s="34"/>
      <x:c r="L194" s="34"/>
      <x:c r="M194" s="34"/>
      <x:c r="N194" s="34"/>
      <x:c r="O194" s="34"/>
      <x:c r="P194" s="34"/>
    </x:row>
    <x:row r="195">
      <x:c r="A195" s="34"/>
      <x:c r="B195" s="34"/>
      <x:c r="C195" s="34"/>
      <x:c r="D195" s="34"/>
      <x:c r="E195" s="34"/>
      <x:c r="F195" s="34"/>
      <x:c r="G195" s="34"/>
      <x:c r="H195" s="34"/>
      <x:c r="I195" s="34"/>
      <x:c r="J195" s="34"/>
      <x:c r="K195" s="34"/>
      <x:c r="L195" s="34"/>
      <x:c r="M195" s="34"/>
      <x:c r="N195" s="34"/>
      <x:c r="O195" s="34"/>
      <x:c r="P195" s="34"/>
    </x:row>
    <x:row r="196">
      <x:c r="A196" s="34"/>
      <x:c r="B196" s="34"/>
      <x:c r="C196" s="34"/>
      <x:c r="D196" s="34"/>
      <x:c r="E196" s="34"/>
      <x:c r="F196" s="34"/>
      <x:c r="G196" s="34"/>
      <x:c r="H196" s="34"/>
      <x:c r="I196" s="34"/>
      <x:c r="J196" s="34"/>
      <x:c r="K196" s="34"/>
      <x:c r="L196" s="34"/>
      <x:c r="M196" s="34"/>
      <x:c r="N196" s="34"/>
      <x:c r="O196" s="34"/>
      <x:c r="P196" s="34"/>
    </x:row>
    <x:row r="197">
      <x:c r="A197" s="34"/>
      <x:c r="B197" s="34"/>
      <x:c r="C197" s="34"/>
      <x:c r="D197" s="34"/>
      <x:c r="E197" s="34"/>
      <x:c r="F197" s="34"/>
      <x:c r="G197" s="34"/>
      <x:c r="H197" s="34"/>
      <x:c r="I197" s="34"/>
      <x:c r="J197" s="34"/>
      <x:c r="K197" s="34"/>
      <x:c r="L197" s="34"/>
      <x:c r="M197" s="34"/>
      <x:c r="N197" s="34"/>
      <x:c r="O197" s="34"/>
      <x:c r="P197" s="34"/>
    </x:row>
    <x:row r="198">
      <x:c r="A198" s="34"/>
      <x:c r="B198" s="34"/>
      <x:c r="C198" s="34"/>
      <x:c r="D198" s="34"/>
      <x:c r="E198" s="34"/>
      <x:c r="F198" s="34"/>
      <x:c r="G198" s="34"/>
      <x:c r="H198" s="34"/>
      <x:c r="I198" s="34"/>
      <x:c r="J198" s="34"/>
      <x:c r="K198" s="34"/>
      <x:c r="L198" s="34"/>
      <x:c r="M198" s="34"/>
      <x:c r="N198" s="34"/>
      <x:c r="O198" s="34"/>
      <x:c r="P198" s="34"/>
    </x:row>
    <x:row r="199">
      <x:c r="A199" s="34"/>
      <x:c r="B199" s="34"/>
      <x:c r="C199" s="34"/>
      <x:c r="D199" s="34"/>
      <x:c r="E199" s="34"/>
      <x:c r="F199" s="34"/>
      <x:c r="G199" s="34"/>
      <x:c r="H199" s="34"/>
      <x:c r="I199" s="34"/>
      <x:c r="J199" s="34"/>
      <x:c r="K199" s="34"/>
      <x:c r="L199" s="34"/>
      <x:c r="M199" s="34"/>
      <x:c r="N199" s="34"/>
      <x:c r="O199" s="34"/>
      <x:c r="P199" s="34"/>
    </x:row>
    <x:row r="200">
      <x:c r="A200" s="34"/>
      <x:c r="B200" s="34"/>
      <x:c r="C200" s="34"/>
      <x:c r="D200" s="34"/>
      <x:c r="E200" s="34"/>
      <x:c r="F200" s="34"/>
      <x:c r="G200" s="34"/>
      <x:c r="H200" s="34"/>
      <x:c r="I200" s="34"/>
      <x:c r="J200" s="34"/>
      <x:c r="K200" s="34"/>
      <x:c r="L200" s="34"/>
      <x:c r="M200" s="34"/>
      <x:c r="N200" s="34"/>
      <x:c r="O200" s="34"/>
      <x:c r="P200" s="34"/>
    </x:row>
  </x:sheetData>
  <x:conditionalFormatting sqref="J2:J42">
    <x:cfRule type="expression" dxfId="0" priority="1">
      <x:formula>J2="A1"</x:formula>
    </x:cfRule>
    <x:cfRule type="expression" dxfId="1" priority="2">
      <x:formula>J2="A2"</x:formula>
    </x:cfRule>
  </x:conditionalFormatting>
  <x:pageMargins left="0.7" right="0.7" top="0.75" bottom="0.75" header="0.3" footer="0.3"/>
  <x:tableParts count="1">
    <x:tablePart xmlns:r="http://schemas.openxmlformats.org/officeDocument/2006/relationships" r:id="R61d1ac53c966414d"/>
  </x:tableParts>
</x:worksheet>
</file>

<file path=xl/worksheets/sheet3.xml><?xml version="1.0" encoding="utf-8"?>
<x:worksheet xmlns:x="http://schemas.openxmlformats.org/spreadsheetml/2006/main">
  <x:sheetFormatPr defaultRowHeight="15"/>
  <x:cols>
    <x:col min="1" max="1" width="10" hidden="0" customWidth="1"/>
    <x:col min="2" max="2" width="11" hidden="0" customWidth="1"/>
    <x:col min="3" max="3" width="18" hidden="0" customWidth="1"/>
    <x:col min="4" max="4" width="32" hidden="0" customWidth="1"/>
    <x:col min="5" max="5" width="48" hidden="0" customWidth="1"/>
    <x:col min="6" max="6" width="24" hidden="0" customWidth="1"/>
    <x:col min="7" max="7" width="52" hidden="0" customWidth="1"/>
    <x:col min="8" max="8" width="14" hidden="0" customWidth="1"/>
    <x:col min="9" max="9" width="12" hidden="0" customWidth="1"/>
  </x:cols>
  <x:sheetData>
    <x:row r="1" ht="26.399999618530273" hidden="0" customHeight="1">
      <x:c r="A1" s="32" t="str">
        <x:v>Lead ID</x:v>
      </x:c>
      <x:c r="B1" s="32" t="str">
        <x:v>Submitted Year</x:v>
      </x:c>
      <x:c r="C1" s="32" t="str">
        <x:v>Brand / Company</x:v>
      </x:c>
      <x:c r="D1" s="32" t="str">
        <x:v>Submitted Model / Title</x:v>
      </x:c>
      <x:c r="E1" s="32" t="str">
        <x:v>Discovery Source URL</x:v>
      </x:c>
      <x:c r="F1" s="32" t="str">
        <x:v>Evidence Class</x:v>
      </x:c>
      <x:c r="G1" s="32" t="str">
        <x:v>Caution / Next Verification Step</x:v>
      </x:c>
      <x:c r="H1" s="32" t="str">
        <x:v>Rights Code</x:v>
      </x:c>
      <x:c r="I1" s="32" t="str">
        <x:v>Accessed</x:v>
      </x:c>
    </x:row>
    <x:row r="2" ht="15" hidden="0" customHeight="1">
      <x:c r="A2" s="34" t="n">
        <x:v>1</x:v>
      </x:c>
      <x:c r="B2" s="34" t="n">
        <x:v>1997</x:v>
      </x:c>
      <x:c r="C2" s="34" t="str">
        <x:v>Gack</x:v>
      </x:c>
      <x:c r="D2" s="34" t="str">
        <x:v>Cannibal</x:v>
      </x:c>
      <x:c r="E2" s="34" t="str">
        <x:v>https://www.reddit.com/user/bmxmuseum/</x:v>
      </x:c>
      <x:c r="F2" s="34" t="str">
        <x:v>OFFICIAL-SOCIAL-TITLE</x:v>
      </x:c>
      <x:c r="G2" s="34" t="str">
        <x:v>Exact BMXMuseum record ID not exposed.</x:v>
      </x:c>
      <x:c r="H2" s="34" t="str">
        <x:v>INDEX-ONLY</x:v>
      </x:c>
      <x:c r="I2" s="34" t="str">
        <x:v>2026-07-30</x:v>
      </x:c>
    </x:row>
    <x:row r="3" ht="15" hidden="0" customHeight="1">
      <x:c r="A3" s="34" t="n">
        <x:v>2</x:v>
      </x:c>
      <x:c r="B3" s="34" t="n">
        <x:v>1975</x:v>
      </x:c>
      <x:c r="C3" s="34" t="str">
        <x:v>Huffy</x:v>
      </x:c>
      <x:c r="D3" s="34" t="str">
        <x:v>Monoshock</x:v>
      </x:c>
      <x:c r="E3" s="34" t="str">
        <x:v>https://www.reddit.com/user/bmxmuseum/</x:v>
      </x:c>
      <x:c r="F3" s="34" t="str">
        <x:v>OFFICIAL-SOCIAL-TITLE</x:v>
      </x:c>
      <x:c r="G3" s="34" t="str">
        <x:v>Rarity statement remains unverified.</x:v>
      </x:c>
      <x:c r="H3" s="34" t="str">
        <x:v>INDEX-ONLY</x:v>
      </x:c>
      <x:c r="I3" s="34" t="str">
        <x:v>2026-07-30</x:v>
      </x:c>
    </x:row>
    <x:row r="4" ht="26.399999618530273" hidden="0" customHeight="1">
      <x:c r="A4" s="34" t="n">
        <x:v>3</x:v>
      </x:c>
      <x:c r="B4" s="34"/>
      <x:c r="C4" s="34" t="str">
        <x:v>Morales</x:v>
      </x:c>
      <x:c r="D4" s="34" t="str">
        <x:v>Flatland bicycle</x:v>
      </x:c>
      <x:c r="E4" s="34" t="str">
        <x:v>https://www.reddit.com/user/bmxmuseum/</x:v>
      </x:c>
      <x:c r="F4" s="34" t="str">
        <x:v>OFFICIAL-SOCIAL-TITLE</x:v>
      </x:c>
      <x:c r="G4" s="34" t="str">
        <x:v>A separate official Instagram result identifies a 2000 Morales Gen3; do not assume same record.</x:v>
      </x:c>
      <x:c r="H4" s="34" t="str">
        <x:v>INDEX-ONLY</x:v>
      </x:c>
      <x:c r="I4" s="34" t="str">
        <x:v>2026-07-30</x:v>
      </x:c>
    </x:row>
    <x:row r="5" ht="15" hidden="0" customHeight="1">
      <x:c r="A5" s="34" t="n">
        <x:v>4</x:v>
      </x:c>
      <x:c r="B5" s="34" t="n">
        <x:v>1979</x:v>
      </x:c>
      <x:c r="C5" s="34" t="str">
        <x:v>SE Racing</x:v>
      </x:c>
      <x:c r="D5" s="34" t="str">
        <x:v>P.K. Ripper</x:v>
      </x:c>
      <x:c r="E5" s="34" t="str">
        <x:v>https://www.reddit.com/user/bmxmuseum/</x:v>
      </x:c>
      <x:c r="F5" s="34" t="str">
        <x:v>OFFICIAL-SOCIAL-TITLE</x:v>
      </x:c>
      <x:c r="G5" s="34" t="str">
        <x:v>No exact record ID in this post.</x:v>
      </x:c>
      <x:c r="H5" s="34" t="str">
        <x:v>INDEX-ONLY</x:v>
      </x:c>
      <x:c r="I5" s="34" t="str">
        <x:v>2026-07-30</x:v>
      </x:c>
    </x:row>
    <x:row r="6" ht="15" hidden="0" customHeight="1">
      <x:c r="A6" s="34" t="n">
        <x:v>5</x:v>
      </x:c>
      <x:c r="B6" s="34" t="n">
        <x:v>1993</x:v>
      </x:c>
      <x:c r="C6" s="34" t="str">
        <x:v>S&amp;M</x:v>
      </x:c>
      <x:c r="D6" s="34" t="str">
        <x:v>Challenger</x:v>
      </x:c>
      <x:c r="E6" s="34" t="str">
        <x:v>https://www.reddit.com/user/bmxmuseum/</x:v>
      </x:c>
      <x:c r="F6" s="34" t="str">
        <x:v>OFFICIAL-SOCIAL-TITLE</x:v>
      </x:c>
      <x:c r="G6" s="34" t="str">
        <x:v>No exact record ID exposed.</x:v>
      </x:c>
      <x:c r="H6" s="34" t="str">
        <x:v>INDEX-ONLY</x:v>
      </x:c>
      <x:c r="I6" s="34" t="str">
        <x:v>2026-07-30</x:v>
      </x:c>
    </x:row>
    <x:row r="7" ht="15" hidden="0" customHeight="1">
      <x:c r="A7" s="34" t="n">
        <x:v>6</x:v>
      </x:c>
      <x:c r="B7" s="34"/>
      <x:c r="C7" s="34" t="str">
        <x:v>Firemans Texas Cruzer</x:v>
      </x:c>
      <x:c r="D7" s="34" t="str">
        <x:v>27.5-inch BMX</x:v>
      </x:c>
      <x:c r="E7" s="34" t="str">
        <x:v>https://www.reddit.com/user/bmxmuseum/</x:v>
      </x:c>
      <x:c r="F7" s="34" t="str">
        <x:v>OFFICIAL-SOCIAL-TITLE</x:v>
      </x:c>
      <x:c r="G7" s="34" t="str">
        <x:v>Brand/model spelling requires confirmation.</x:v>
      </x:c>
      <x:c r="H7" s="34" t="str">
        <x:v>INDEX-ONLY</x:v>
      </x:c>
      <x:c r="I7" s="34" t="str">
        <x:v>2026-07-30</x:v>
      </x:c>
    </x:row>
    <x:row r="8" ht="15" hidden="0" customHeight="1">
      <x:c r="A8" s="34" t="n">
        <x:v>7</x:v>
      </x:c>
      <x:c r="B8" s="34" t="n">
        <x:v>2009</x:v>
      </x:c>
      <x:c r="C8" s="34" t="str">
        <x:v>St. Martin</x:v>
      </x:c>
      <x:c r="D8" s="34" t="str">
        <x:v>Diamond</x:v>
      </x:c>
      <x:c r="E8" s="34" t="str">
        <x:v>https://www.reddit.com/user/bmxmuseum/</x:v>
      </x:c>
      <x:c r="F8" s="34" t="str">
        <x:v>OFFICIAL-SOCIAL-TITLE</x:v>
      </x:c>
      <x:c r="G8" s="34" t="str">
        <x:v>Flatland BMX lead.</x:v>
      </x:c>
      <x:c r="H8" s="34" t="str">
        <x:v>INDEX-ONLY</x:v>
      </x:c>
      <x:c r="I8" s="34" t="str">
        <x:v>2026-07-30</x:v>
      </x:c>
    </x:row>
    <x:row r="9" ht="15" hidden="0" customHeight="1">
      <x:c r="A9" s="34" t="n">
        <x:v>8</x:v>
      </x:c>
      <x:c r="B9" s="34" t="n">
        <x:v>1987</x:v>
      </x:c>
      <x:c r="C9" s="34" t="str">
        <x:v>Haro</x:v>
      </x:c>
      <x:c r="D9" s="34" t="str">
        <x:v>Team Master</x:v>
      </x:c>
      <x:c r="E9" s="34" t="str">
        <x:v>https://www.reddit.com/user/bmxmuseum/</x:v>
      </x:c>
      <x:c r="F9" s="34" t="str">
        <x:v>OFFICIAL-SOCIAL-TITLE</x:v>
      </x:c>
      <x:c r="G9" s="34" t="str">
        <x:v>Official Haro archive is available for model verification.</x:v>
      </x:c>
      <x:c r="H9" s="34" t="str">
        <x:v>INDEX-ONLY</x:v>
      </x:c>
      <x:c r="I9" s="34" t="str">
        <x:v>2026-07-30</x:v>
      </x:c>
    </x:row>
    <x:row r="10" ht="15" hidden="0" customHeight="1">
      <x:c r="A10" s="34" t="n">
        <x:v>9</x:v>
      </x:c>
      <x:c r="B10" s="34" t="n">
        <x:v>1976</x:v>
      </x:c>
      <x:c r="C10" s="34" t="str">
        <x:v>Redline</x:v>
      </x:c>
      <x:c r="D10" s="34" t="str">
        <x:v>Squareback</x:v>
      </x:c>
      <x:c r="E10" s="34" t="str">
        <x:v>https://www.reddit.com/user/bmxmuseum/</x:v>
      </x:c>
      <x:c r="F10" s="34" t="str">
        <x:v>OFFICIAL-SOCIAL-TITLE</x:v>
      </x:c>
      <x:c r="G10" s="34" t="str">
        <x:v>Claim that it was a factory rider's bike requires provenance.</x:v>
      </x:c>
      <x:c r="H10" s="34" t="str">
        <x:v>INDEX-ONLY</x:v>
      </x:c>
      <x:c r="I10" s="34" t="str">
        <x:v>2026-07-30</x:v>
      </x:c>
    </x:row>
    <x:row r="11" ht="15" hidden="0" customHeight="1">
      <x:c r="A11" s="34" t="n">
        <x:v>10</x:v>
      </x:c>
      <x:c r="B11" s="34" t="n">
        <x:v>1976</x:v>
      </x:c>
      <x:c r="C11" s="34" t="str">
        <x:v>Roger DeCoster</x:v>
      </x:c>
      <x:c r="D11" s="34" t="str">
        <x:v>BMX bicycle</x:v>
      </x:c>
      <x:c r="E11" s="34" t="str">
        <x:v>https://www.reddit.com/user/bmxmuseum/</x:v>
      </x:c>
      <x:c r="F11" s="34" t="str">
        <x:v>OFFICIAL-SOCIAL-TITLE</x:v>
      </x:c>
      <x:c r="G11" s="34" t="str">
        <x:v>Manufacturer/brand normalization pending.</x:v>
      </x:c>
      <x:c r="H11" s="34" t="str">
        <x:v>INDEX-ONLY</x:v>
      </x:c>
      <x:c r="I11" s="34" t="str">
        <x:v>2026-07-30</x:v>
      </x:c>
    </x:row>
    <x:row r="12" ht="15" hidden="0" customHeight="1">
      <x:c r="A12" s="34" t="n">
        <x:v>11</x:v>
      </x:c>
      <x:c r="B12" s="34" t="n">
        <x:v>2024</x:v>
      </x:c>
      <x:c r="C12" s="34" t="str">
        <x:v>Malo PIR Custom</x:v>
      </x:c>
      <x:c r="D12" s="34" t="str">
        <x:v>Louis Vuitton-styled custom</x:v>
      </x:c>
      <x:c r="E12" s="34" t="str">
        <x:v>https://www.reddit.com/user/bmxmuseum/</x:v>
      </x:c>
      <x:c r="F12" s="34" t="str">
        <x:v>OFFICIAL-SOCIAL-TITLE</x:v>
      </x:c>
      <x:c r="G12" s="34" t="str">
        <x:v>Trademark styling description only; custom build.</x:v>
      </x:c>
      <x:c r="H12" s="34" t="str">
        <x:v>INDEX-ONLY</x:v>
      </x:c>
      <x:c r="I12" s="34" t="str">
        <x:v>2026-07-30</x:v>
      </x:c>
    </x:row>
    <x:row r="13" ht="15" hidden="0" customHeight="1">
      <x:c r="A13" s="34" t="n">
        <x:v>12</x:v>
      </x:c>
      <x:c r="B13" s="34" t="n">
        <x:v>1988</x:v>
      </x:c>
      <x:c r="C13" s="34" t="str">
        <x:v>Revcore</x:v>
      </x:c>
      <x:c r="D13" s="34" t="str">
        <x:v>Pro Long</x:v>
      </x:c>
      <x:c r="E13" s="34" t="str">
        <x:v>https://www.reddit.com/user/bmxmuseum/</x:v>
      </x:c>
      <x:c r="F13" s="34" t="str">
        <x:v>OFFICIAL-SOCIAL-TITLE</x:v>
      </x:c>
      <x:c r="G13" s="34" t="str">
        <x:v>A separate 1989 exact record also exists.</x:v>
      </x:c>
      <x:c r="H13" s="34" t="str">
        <x:v>INDEX-ONLY</x:v>
      </x:c>
      <x:c r="I13" s="34" t="str">
        <x:v>2026-07-30</x:v>
      </x:c>
    </x:row>
    <x:row r="14" ht="26.399999618530273" hidden="0" customHeight="1">
      <x:c r="A14" s="34" t="n">
        <x:v>13</x:v>
      </x:c>
      <x:c r="B14" s="34" t="n">
        <x:v>1981</x:v>
      </x:c>
      <x:c r="C14" s="34" t="str">
        <x:v>Relite</x:v>
      </x:c>
      <x:c r="D14" s="34" t="str">
        <x:v>BMX bicycle</x:v>
      </x:c>
      <x:c r="E14" s="34" t="str">
        <x:v>https://www.reddit.com/user/bmxmuseum/?after=dDNfMW5xYjl5OA%3D%3D&amp;sort=new</x:v>
      </x:c>
      <x:c r="F14" s="34" t="str">
        <x:v>OFFICIAL-SOCIAL-TITLE</x:v>
      </x:c>
      <x:c r="G14" s="34" t="str">
        <x:v>Brand spelling and model pending.</x:v>
      </x:c>
      <x:c r="H14" s="34" t="str">
        <x:v>INDEX-ONLY</x:v>
      </x:c>
      <x:c r="I14" s="34" t="str">
        <x:v>2026-07-30</x:v>
      </x:c>
    </x:row>
    <x:row r="15" ht="26.399999618530273" hidden="0" customHeight="1">
      <x:c r="A15" s="34" t="n">
        <x:v>14</x:v>
      </x:c>
      <x:c r="B15" s="34" t="n">
        <x:v>1985</x:v>
      </x:c>
      <x:c r="C15" s="34" t="str">
        <x:v>Mongoose</x:v>
      </x:c>
      <x:c r="D15" s="34" t="str">
        <x:v>Californian</x:v>
      </x:c>
      <x:c r="E15" s="34" t="str">
        <x:v>https://www.reddit.com/user/bmxmuseum/?after=dDNfMW5xYjl5OA%3D%3D&amp;sort=new</x:v>
      </x:c>
      <x:c r="F15" s="34" t="str">
        <x:v>OFFICIAL-SOCIAL-TITLE</x:v>
      </x:c>
      <x:c r="G15" s="34" t="str">
        <x:v>Survivor/originality claim not independently verified.</x:v>
      </x:c>
      <x:c r="H15" s="34" t="str">
        <x:v>INDEX-ONLY</x:v>
      </x:c>
      <x:c r="I15" s="34" t="str">
        <x:v>2026-07-30</x:v>
      </x:c>
    </x:row>
    <x:row r="16" ht="26.399999618530273" hidden="0" customHeight="1">
      <x:c r="A16" s="34" t="n">
        <x:v>15</x:v>
      </x:c>
      <x:c r="B16" s="34" t="n">
        <x:v>2014</x:v>
      </x:c>
      <x:c r="C16" s="34" t="str">
        <x:v>GT Bicycles</x:v>
      </x:c>
      <x:c r="D16" s="34" t="str">
        <x:v>Interceptor 24</x:v>
      </x:c>
      <x:c r="E16" s="34" t="str">
        <x:v>https://www.reddit.com/user/bmxmuseum/?after=dDNfMW5xYjl5OA%3D%3D&amp;sort=new</x:v>
      </x:c>
      <x:c r="F16" s="34" t="str">
        <x:v>OFFICIAL-SOCIAL-TITLE</x:v>
      </x:c>
      <x:c r="G16" s="34" t="str"/>
      <x:c r="H16" s="34" t="str">
        <x:v>INDEX-ONLY</x:v>
      </x:c>
      <x:c r="I16" s="34" t="str">
        <x:v>2026-07-30</x:v>
      </x:c>
    </x:row>
    <x:row r="17" ht="26.399999618530273" hidden="0" customHeight="1">
      <x:c r="A17" s="34" t="n">
        <x:v>16</x:v>
      </x:c>
      <x:c r="B17" s="34" t="n">
        <x:v>2007</x:v>
      </x:c>
      <x:c r="C17" s="34" t="str">
        <x:v>Mongoose</x:v>
      </x:c>
      <x:c r="D17" s="34" t="str">
        <x:v>Flex</x:v>
      </x:c>
      <x:c r="E17" s="34" t="str">
        <x:v>https://www.reddit.com/user/bmxmuseum/?after=dDNfMW5xYjl5OA%3D%3D&amp;sort=new</x:v>
      </x:c>
      <x:c r="F17" s="34" t="str">
        <x:v>OFFICIAL-SOCIAL-TITLE</x:v>
      </x:c>
      <x:c r="G17" s="34" t="str"/>
      <x:c r="H17" s="34" t="str">
        <x:v>INDEX-ONLY</x:v>
      </x:c>
      <x:c r="I17" s="34" t="str">
        <x:v>2026-07-30</x:v>
      </x:c>
    </x:row>
    <x:row r="18" ht="26.399999618530273" hidden="0" customHeight="1">
      <x:c r="A18" s="34" t="n">
        <x:v>17</x:v>
      </x:c>
      <x:c r="B18" s="34" t="n">
        <x:v>1979</x:v>
      </x:c>
      <x:c r="C18" s="34" t="str">
        <x:v>GT / Gary Turner</x:v>
      </x:c>
      <x:c r="D18" s="34" t="str">
        <x:v>Mini</x:v>
      </x:c>
      <x:c r="E18" s="34" t="str">
        <x:v>https://www.reddit.com/user/bmxmuseum/?after=dDNfMW5xYjl5OA%3D%3D&amp;sort=new</x:v>
      </x:c>
      <x:c r="F18" s="34" t="str">
        <x:v>OFFICIAL-SOCIAL-TITLE</x:v>
      </x:c>
      <x:c r="G18" s="34" t="str">
        <x:v>Brand normalization requires historical context.</x:v>
      </x:c>
      <x:c r="H18" s="34" t="str">
        <x:v>INDEX-ONLY</x:v>
      </x:c>
      <x:c r="I18" s="34" t="str">
        <x:v>2026-07-30</x:v>
      </x:c>
    </x:row>
    <x:row r="19" ht="26.399999618530273" hidden="0" customHeight="1">
      <x:c r="A19" s="34" t="n">
        <x:v>18</x:v>
      </x:c>
      <x:c r="B19" s="34" t="n">
        <x:v>1985</x:v>
      </x:c>
      <x:c r="C19" s="34" t="str">
        <x:v>Hutch</x:v>
      </x:c>
      <x:c r="D19" s="34" t="str">
        <x:v>Wind Styler</x:v>
      </x:c>
      <x:c r="E19" s="34" t="str">
        <x:v>https://www.reddit.com/user/bmxmuseum/?after=dDNfMW5xYjl5OA%3D%3D&amp;sort=new</x:v>
      </x:c>
      <x:c r="F19" s="34" t="str">
        <x:v>OFFICIAL-SOCIAL-TITLE</x:v>
      </x:c>
      <x:c r="G19" s="34" t="str"/>
      <x:c r="H19" s="34" t="str">
        <x:v>INDEX-ONLY</x:v>
      </x:c>
      <x:c r="I19" s="34" t="str">
        <x:v>2026-07-30</x:v>
      </x:c>
    </x:row>
    <x:row r="20" ht="26.399999618530273" hidden="0" customHeight="1">
      <x:c r="A20" s="34" t="n">
        <x:v>19</x:v>
      </x:c>
      <x:c r="B20" s="34" t="n">
        <x:v>1992</x:v>
      </x:c>
      <x:c r="C20" s="34" t="str">
        <x:v>S&amp;M</x:v>
      </x:c>
      <x:c r="D20" s="34" t="str">
        <x:v>Dirtbike</x:v>
      </x:c>
      <x:c r="E20" s="34" t="str">
        <x:v>https://www.reddit.com/user/bmxmuseum/?after=dDNfMW5xYjl5OA%3D%3D&amp;sort=new</x:v>
      </x:c>
      <x:c r="F20" s="34" t="str">
        <x:v>OFFICIAL-SOCIAL-TITLE</x:v>
      </x:c>
      <x:c r="G20" s="34" t="str">
        <x:v>A separate post calls a similar item 1993; do not merge.</x:v>
      </x:c>
      <x:c r="H20" s="34" t="str">
        <x:v>INDEX-ONLY</x:v>
      </x:c>
      <x:c r="I20" s="34" t="str">
        <x:v>2026-07-30</x:v>
      </x:c>
    </x:row>
    <x:row r="21" ht="26.399999618530273" hidden="0" customHeight="1">
      <x:c r="A21" s="34" t="n">
        <x:v>20</x:v>
      </x:c>
      <x:c r="B21" s="34"/>
      <x:c r="C21" s="34" t="str">
        <x:v>SE Racing</x:v>
      </x:c>
      <x:c r="D21" s="34" t="str">
        <x:v>OM Flyer 26</x:v>
      </x:c>
      <x:c r="E21" s="34" t="str">
        <x:v>https://www.reddit.com/user/bmxmuseum/?after=dDNfMW5xYjl5OA%3D%3D&amp;sort=new</x:v>
      </x:c>
      <x:c r="F21" s="34" t="str">
        <x:v>OFFICIAL-SOCIAL-TITLE</x:v>
      </x:c>
      <x:c r="G21" s="34" t="str">
        <x:v>Year not exposed.</x:v>
      </x:c>
      <x:c r="H21" s="34" t="str">
        <x:v>INDEX-ONLY</x:v>
      </x:c>
      <x:c r="I21" s="34" t="str">
        <x:v>2026-07-30</x:v>
      </x:c>
    </x:row>
    <x:row r="22" ht="26.399999618530273" hidden="0" customHeight="1">
      <x:c r="A22" s="34" t="n">
        <x:v>21</x:v>
      </x:c>
      <x:c r="B22" s="34" t="n">
        <x:v>2024</x:v>
      </x:c>
      <x:c r="C22" s="34" t="str">
        <x:v>Kuwahara</x:v>
      </x:c>
      <x:c r="D22" s="34" t="str">
        <x:v>Gertie v4.0</x:v>
      </x:c>
      <x:c r="E22" s="34" t="str">
        <x:v>https://www.reddit.com/user/bmxmuseum/?after=dDNfMW5xYjl5OA%3D%3D&amp;sort=new</x:v>
      </x:c>
      <x:c r="F22" s="34" t="str">
        <x:v>OFFICIAL-SOCIAL-TITLE</x:v>
      </x:c>
      <x:c r="G22" s="34" t="str">
        <x:v>Custom/modern title.</x:v>
      </x:c>
      <x:c r="H22" s="34" t="str">
        <x:v>INDEX-ONLY</x:v>
      </x:c>
      <x:c r="I22" s="34" t="str">
        <x:v>2026-07-30</x:v>
      </x:c>
    </x:row>
    <x:row r="23" ht="26.399999618530273" hidden="0" customHeight="1">
      <x:c r="A23" s="34" t="n">
        <x:v>22</x:v>
      </x:c>
      <x:c r="B23" s="34" t="n">
        <x:v>2024</x:v>
      </x:c>
      <x:c r="C23" s="34" t="str">
        <x:v>Total BMX</x:v>
      </x:c>
      <x:c r="D23" s="34" t="str">
        <x:v>Hangover</x:v>
      </x:c>
      <x:c r="E23" s="34" t="str">
        <x:v>https://www.reddit.com/user/bmxmuseum/?after=dDNfMW5xYjl5OA%3D%3D&amp;sort=new</x:v>
      </x:c>
      <x:c r="F23" s="34" t="str">
        <x:v>OFFICIAL-SOCIAL-TITLE</x:v>
      </x:c>
      <x:c r="G23" s="34" t="str"/>
      <x:c r="H23" s="34" t="str">
        <x:v>INDEX-ONLY</x:v>
      </x:c>
      <x:c r="I23" s="34" t="str">
        <x:v>2026-07-30</x:v>
      </x:c>
    </x:row>
    <x:row r="24" ht="26.399999618530273" hidden="0" customHeight="1">
      <x:c r="A24" s="34" t="n">
        <x:v>23</x:v>
      </x:c>
      <x:c r="B24" s="34" t="n">
        <x:v>2022</x:v>
      </x:c>
      <x:c r="C24" s="34" t="str">
        <x:v>Haro</x:v>
      </x:c>
      <x:c r="D24" s="34" t="str">
        <x:v>La Bastille V2 Matthias Dandois signature</x:v>
      </x:c>
      <x:c r="E24" s="34" t="str">
        <x:v>https://www.reddit.com/user/bmxmuseum/?after=dDNfMW5xYjl5OA%3D%3D&amp;sort=new</x:v>
      </x:c>
      <x:c r="F24" s="34" t="str">
        <x:v>OFFICIAL-SOCIAL-TITLE</x:v>
      </x:c>
      <x:c r="G24" s="34" t="str"/>
      <x:c r="H24" s="34" t="str">
        <x:v>INDEX-ONLY</x:v>
      </x:c>
      <x:c r="I24" s="34" t="str">
        <x:v>2026-07-30</x:v>
      </x:c>
    </x:row>
    <x:row r="25" ht="26.399999618530273" hidden="0" customHeight="1">
      <x:c r="A25" s="34" t="n">
        <x:v>24</x:v>
      </x:c>
      <x:c r="B25" s="34"/>
      <x:c r="C25" s="34" t="str">
        <x:v>VRP</x:v>
      </x:c>
      <x:c r="D25" s="34" t="str">
        <x:v>26 Quad</x:v>
      </x:c>
      <x:c r="E25" s="34" t="str">
        <x:v>https://www.reddit.com/user/bmxmuseum/?after=dDNfMWY0eTJ0bg%3D%3D&amp;sort=new</x:v>
      </x:c>
      <x:c r="F25" s="34" t="str">
        <x:v>OFFICIAL-SOCIAL-TITLE</x:v>
      </x:c>
      <x:c r="G25" s="34" t="str">
        <x:v>Relationship to SE Quadangle styling requires careful wording.</x:v>
      </x:c>
      <x:c r="H25" s="34" t="str">
        <x:v>INDEX-ONLY</x:v>
      </x:c>
      <x:c r="I25" s="34" t="str">
        <x:v>2026-07-30</x:v>
      </x:c>
    </x:row>
    <x:row r="26" ht="26.399999618530273" hidden="0" customHeight="1">
      <x:c r="A26" s="34" t="n">
        <x:v>25</x:v>
      </x:c>
      <x:c r="B26" s="34" t="n">
        <x:v>1982</x:v>
      </x:c>
      <x:c r="C26" s="34" t="str">
        <x:v>Hutch</x:v>
      </x:c>
      <x:c r="D26" s="34" t="str">
        <x:v>XL-24</x:v>
      </x:c>
      <x:c r="E26" s="34" t="str">
        <x:v>https://www.reddit.com/user/bmxmuseum/?after=dDNfMWY0eTJ0bg%3D%3D&amp;sort=new</x:v>
      </x:c>
      <x:c r="F26" s="34" t="str">
        <x:v>OFFICIAL-SOCIAL-TITLE</x:v>
      </x:c>
      <x:c r="G26" s="34" t="str"/>
      <x:c r="H26" s="34" t="str">
        <x:v>INDEX-ONLY</x:v>
      </x:c>
      <x:c r="I26" s="34" t="str">
        <x:v>2026-07-30</x:v>
      </x:c>
    </x:row>
    <x:row r="27" ht="26.399999618530273" hidden="0" customHeight="1">
      <x:c r="A27" s="34" t="n">
        <x:v>26</x:v>
      </x:c>
      <x:c r="B27" s="34" t="n">
        <x:v>1981</x:v>
      </x:c>
      <x:c r="C27" s="34" t="str">
        <x:v>Mongoose</x:v>
      </x:c>
      <x:c r="D27" s="34" t="str">
        <x:v>Team Mongoose</x:v>
      </x:c>
      <x:c r="E27" s="34" t="str">
        <x:v>https://www.reddit.com/user/bmxmuseum/?after=dDNfMWY0eTJ0bg%3D%3D&amp;sort=new</x:v>
      </x:c>
      <x:c r="F27" s="34" t="str">
        <x:v>OFFICIAL-SOCIAL-TITLE</x:v>
      </x:c>
      <x:c r="G27" s="34" t="str">
        <x:v>Survivor claim pending.</x:v>
      </x:c>
      <x:c r="H27" s="34" t="str">
        <x:v>INDEX-ONLY</x:v>
      </x:c>
      <x:c r="I27" s="34" t="str">
        <x:v>2026-07-30</x:v>
      </x:c>
    </x:row>
    <x:row r="28" ht="26.399999618530273" hidden="0" customHeight="1">
      <x:c r="A28" s="34" t="n">
        <x:v>27</x:v>
      </x:c>
      <x:c r="B28" s="34" t="n">
        <x:v>1984</x:v>
      </x:c>
      <x:c r="C28" s="34" t="str">
        <x:v>Redline</x:v>
      </x:c>
      <x:c r="D28" s="34" t="str">
        <x:v>RL-20 Prostyler</x:v>
      </x:c>
      <x:c r="E28" s="34" t="str">
        <x:v>https://www.reddit.com/user/bmxmuseum/?after=dDNfMWY0eTJ0bg%3D%3D&amp;sort=new</x:v>
      </x:c>
      <x:c r="F28" s="34" t="str">
        <x:v>OFFICIAL-SOCIAL-TITLE</x:v>
      </x:c>
      <x:c r="G28" s="34" t="str"/>
      <x:c r="H28" s="34" t="str">
        <x:v>INDEX-ONLY</x:v>
      </x:c>
      <x:c r="I28" s="34" t="str">
        <x:v>2026-07-30</x:v>
      </x:c>
    </x:row>
    <x:row r="29" ht="26.399999618530273" hidden="0" customHeight="1">
      <x:c r="A29" s="34" t="n">
        <x:v>28</x:v>
      </x:c>
      <x:c r="B29" s="34" t="n">
        <x:v>1983</x:v>
      </x:c>
      <x:c r="C29" s="34" t="str">
        <x:v>Patterson Racing</x:v>
      </x:c>
      <x:c r="D29" s="34" t="str">
        <x:v>PR-240</x:v>
      </x:c>
      <x:c r="E29" s="34" t="str">
        <x:v>https://www.reddit.com/user/bmxmuseum/?after=dDNfMWY0eTJ0bg%3D%3D&amp;sort=new</x:v>
      </x:c>
      <x:c r="F29" s="34" t="str">
        <x:v>OFFICIAL-SOCIAL-TITLE</x:v>
      </x:c>
      <x:c r="G29" s="34" t="str"/>
      <x:c r="H29" s="34" t="str">
        <x:v>INDEX-ONLY</x:v>
      </x:c>
      <x:c r="I29" s="34" t="str">
        <x:v>2026-07-30</x:v>
      </x:c>
    </x:row>
    <x:row r="30" ht="26.399999618530273" hidden="0" customHeight="1">
      <x:c r="A30" s="34" t="n">
        <x:v>29</x:v>
      </x:c>
      <x:c r="B30" s="34" t="n">
        <x:v>1980</x:v>
      </x:c>
      <x:c r="C30" s="34" t="str">
        <x:v>Race Inc.</x:v>
      </x:c>
      <x:c r="D30" s="34" t="str">
        <x:v>RM-2</x:v>
      </x:c>
      <x:c r="E30" s="34" t="str">
        <x:v>https://www.reddit.com/user/bmxmuseum/?after=dDNfMWY0eTJ0bg%3D%3D&amp;sort=new</x:v>
      </x:c>
      <x:c r="F30" s="34" t="str">
        <x:v>OFFICIAL-SOCIAL-TITLE</x:v>
      </x:c>
      <x:c r="G30" s="34" t="str"/>
      <x:c r="H30" s="34" t="str">
        <x:v>INDEX-ONLY</x:v>
      </x:c>
      <x:c r="I30" s="34" t="str">
        <x:v>2026-07-30</x:v>
      </x:c>
    </x:row>
    <x:row r="31" ht="26.399999618530273" hidden="0" customHeight="1">
      <x:c r="A31" s="34" t="n">
        <x:v>30</x:v>
      </x:c>
      <x:c r="B31" s="34" t="n">
        <x:v>1993</x:v>
      </x:c>
      <x:c r="C31" s="34" t="str">
        <x:v>S&amp;M</x:v>
      </x:c>
      <x:c r="D31" s="34" t="str">
        <x:v>Dirtbike</x:v>
      </x:c>
      <x:c r="E31" s="34" t="str">
        <x:v>https://www.reddit.com/user/bmxmuseum/?after=dDNfMWY0eTJ0bg%3D%3D&amp;sort=new</x:v>
      </x:c>
      <x:c r="F31" s="34" t="str">
        <x:v>OFFICIAL-SOCIAL-TITLE</x:v>
      </x:c>
      <x:c r="G31" s="34" t="str">
        <x:v>Potential separate record from 1992 lead.</x:v>
      </x:c>
      <x:c r="H31" s="34" t="str">
        <x:v>INDEX-ONLY</x:v>
      </x:c>
      <x:c r="I31" s="34" t="str">
        <x:v>2026-07-30</x:v>
      </x:c>
    </x:row>
    <x:row r="32" ht="26.399999618530273" hidden="0" customHeight="1">
      <x:c r="A32" s="34" t="n">
        <x:v>31</x:v>
      </x:c>
      <x:c r="B32" s="34" t="n">
        <x:v>2023</x:v>
      </x:c>
      <x:c r="C32" s="34" t="str">
        <x:v>Carver</x:v>
      </x:c>
      <x:c r="D32" s="34" t="str">
        <x:v>Titanium Road Missile</x:v>
      </x:c>
      <x:c r="E32" s="34" t="str">
        <x:v>https://www.reddit.com/user/bmxmuseum/?after=dDNfMWY0eTJ0bg%3D%3D&amp;sort=new</x:v>
      </x:c>
      <x:c r="F32" s="34" t="str">
        <x:v>OFFICIAL-SOCIAL-TITLE</x:v>
      </x:c>
      <x:c r="G32" s="34" t="str"/>
      <x:c r="H32" s="34" t="str">
        <x:v>INDEX-ONLY</x:v>
      </x:c>
      <x:c r="I32" s="34" t="str">
        <x:v>2026-07-30</x:v>
      </x:c>
    </x:row>
    <x:row r="33" ht="26.399999618530273" hidden="0" customHeight="1">
      <x:c r="A33" s="34" t="n">
        <x:v>32</x:v>
      </x:c>
      <x:c r="B33" s="34" t="n">
        <x:v>2023</x:v>
      </x:c>
      <x:c r="C33" s="34" t="str">
        <x:v>GHP</x:v>
      </x:c>
      <x:c r="D33" s="34" t="str">
        <x:v>GregLiz Hill 29er</x:v>
      </x:c>
      <x:c r="E33" s="34" t="str">
        <x:v>https://www.reddit.com/user/bmxmuseum/?after=dDNfMWY0eTJ0bg%3D%3D&amp;sort=new</x:v>
      </x:c>
      <x:c r="F33" s="34" t="str">
        <x:v>OFFICIAL-SOCIAL-TITLE</x:v>
      </x:c>
      <x:c r="G33" s="34" t="str">
        <x:v>Submitted naming should be checked against builder/brand terminology.</x:v>
      </x:c>
      <x:c r="H33" s="34" t="str">
        <x:v>INDEX-ONLY</x:v>
      </x:c>
      <x:c r="I33" s="34" t="str">
        <x:v>2026-07-30</x:v>
      </x:c>
    </x:row>
    <x:row r="34" ht="26.399999618530273" hidden="0" customHeight="1">
      <x:c r="A34" s="34" t="n">
        <x:v>33</x:v>
      </x:c>
      <x:c r="B34" s="34" t="n">
        <x:v>1980</x:v>
      </x:c>
      <x:c r="C34" s="34" t="str">
        <x:v>Mongoose</x:v>
      </x:c>
      <x:c r="D34" s="34" t="str">
        <x:v>Team Mongoose</x:v>
      </x:c>
      <x:c r="E34" s="34" t="str">
        <x:v>https://www.reddit.com/user/bmxmuseum/?after=dDNfMWY0eTJ0bg%3D%3D&amp;sort=new</x:v>
      </x:c>
      <x:c r="F34" s="34" t="str">
        <x:v>OFFICIAL-SOCIAL-TITLE</x:v>
      </x:c>
      <x:c r="G34" s="34" t="str">
        <x:v>Distinct year from 1981 lead.</x:v>
      </x:c>
      <x:c r="H34" s="34" t="str">
        <x:v>INDEX-ONLY</x:v>
      </x:c>
      <x:c r="I34" s="34" t="str">
        <x:v>2026-07-30</x:v>
      </x:c>
    </x:row>
    <x:row r="35" ht="26.399999618530273" hidden="0" customHeight="1">
      <x:c r="A35" s="34" t="n">
        <x:v>34</x:v>
      </x:c>
      <x:c r="B35" s="34" t="n">
        <x:v>1985</x:v>
      </x:c>
      <x:c r="C35" s="34" t="str">
        <x:v>PTR</x:v>
      </x:c>
      <x:c r="D35" s="34" t="str">
        <x:v>Trickstyler</x:v>
      </x:c>
      <x:c r="E35" s="34" t="str">
        <x:v>https://www.reddit.com/user/bmxmuseum/?after=dDNfMWY0eTJ0bg%3D%3D&amp;sort=new</x:v>
      </x:c>
      <x:c r="F35" s="34" t="str">
        <x:v>OFFICIAL-SOCIAL-TITLE</x:v>
      </x:c>
      <x:c r="G35" s="34" t="str">
        <x:v>Official post associates it with Germany; company/manufacturing origin pending.</x:v>
      </x:c>
      <x:c r="H35" s="34" t="str">
        <x:v>INDEX-ONLY</x:v>
      </x:c>
      <x:c r="I35" s="34" t="str">
        <x:v>2026-07-30</x:v>
      </x:c>
    </x:row>
    <x:row r="36" ht="26.399999618530273" hidden="0" customHeight="1">
      <x:c r="A36" s="34" t="n">
        <x:v>35</x:v>
      </x:c>
      <x:c r="B36" s="34"/>
      <x:c r="C36" s="34" t="str">
        <x:v>Phil Wood</x:v>
      </x:c>
      <x:c r="D36" s="34" t="str">
        <x:v>BMX frame</x:v>
      </x:c>
      <x:c r="E36" s="34" t="str">
        <x:v>https://www.reddit.com/user/bmxmuseum/?after=dDNfMWY0eTJ0bg%3D%3D&amp;sort=new</x:v>
      </x:c>
      <x:c r="F36" s="34" t="str">
        <x:v>OFFICIAL-SOCIAL-TITLE</x:v>
      </x:c>
      <x:c r="G36" s="34" t="str">
        <x:v>Potential one-off frame; provenance priority.</x:v>
      </x:c>
      <x:c r="H36" s="34" t="str">
        <x:v>INDEX-ONLY</x:v>
      </x:c>
      <x:c r="I36" s="34" t="str">
        <x:v>2026-07-30</x:v>
      </x:c>
    </x:row>
    <x:row r="37" ht="26.399999618530273" hidden="0" customHeight="1">
      <x:c r="A37" s="34" t="n">
        <x:v>36</x:v>
      </x:c>
      <x:c r="B37" s="34" t="n">
        <x:v>1988</x:v>
      </x:c>
      <x:c r="C37" s="34" t="str">
        <x:v>Haro</x:v>
      </x:c>
      <x:c r="D37" s="34" t="str">
        <x:v>Invert</x:v>
      </x:c>
      <x:c r="E37" s="34" t="str">
        <x:v>https://www.reddit.com/user/bmxmuseum/?after=dDNfMTBkdmozNg%3D%3D&amp;sort=new</x:v>
      </x:c>
      <x:c r="F37" s="34" t="str">
        <x:v>OFFICIAL-SOCIAL-TITLE</x:v>
      </x:c>
      <x:c r="G37" s="34" t="str"/>
      <x:c r="H37" s="34" t="str">
        <x:v>INDEX-ONLY</x:v>
      </x:c>
      <x:c r="I37" s="34" t="str">
        <x:v>2026-07-30</x:v>
      </x:c>
    </x:row>
    <x:row r="38" ht="26.399999618530273" hidden="0" customHeight="1">
      <x:c r="A38" s="34" t="n">
        <x:v>37</x:v>
      </x:c>
      <x:c r="B38" s="34"/>
      <x:c r="C38" s="34" t="str">
        <x:v>GT Bicycles</x:v>
      </x:c>
      <x:c r="D38" s="34" t="str">
        <x:v>Pro frame/fork/bar/seatpost kit</x:v>
      </x:c>
      <x:c r="E38" s="34" t="str">
        <x:v>https://www.reddit.com/user/bmxmuseum/?after=dDNfMTBkdmozNg%3D%3D&amp;sort=new</x:v>
      </x:c>
      <x:c r="F38" s="34" t="str">
        <x:v>OFFICIAL-SOCIAL-TITLE</x:v>
      </x:c>
      <x:c r="G38" s="34" t="str">
        <x:v>Year/model unresolved.</x:v>
      </x:c>
      <x:c r="H38" s="34" t="str">
        <x:v>INDEX-ONLY</x:v>
      </x:c>
      <x:c r="I38" s="34" t="str">
        <x:v>2026-07-30</x:v>
      </x:c>
    </x:row>
    <x:row r="39" ht="26.399999618530273" hidden="0" customHeight="1">
      <x:c r="A39" s="34" t="n">
        <x:v>38</x:v>
      </x:c>
      <x:c r="B39" s="34" t="n">
        <x:v>1984</x:v>
      </x:c>
      <x:c r="C39" s="34" t="str">
        <x:v>Astron Racing</x:v>
      </x:c>
      <x:c r="D39" s="34" t="str">
        <x:v>BMX bicycle</x:v>
      </x:c>
      <x:c r="E39" s="34" t="str">
        <x:v>https://www.reddit.com/user/bmxmuseum/?after=dDNfMTBkdmozNg%3D%3D&amp;sort=new</x:v>
      </x:c>
      <x:c r="F39" s="34" t="str">
        <x:v>OFFICIAL-SOCIAL-TITLE</x:v>
      </x:c>
      <x:c r="G39" s="34" t="str"/>
      <x:c r="H39" s="34" t="str">
        <x:v>INDEX-ONLY</x:v>
      </x:c>
      <x:c r="I39" s="34" t="str">
        <x:v>2026-07-30</x:v>
      </x:c>
    </x:row>
    <x:row r="40" ht="26.399999618530273" hidden="0" customHeight="1">
      <x:c r="A40" s="34" t="n">
        <x:v>39</x:v>
      </x:c>
      <x:c r="B40" s="34" t="n">
        <x:v>2021</x:v>
      </x:c>
      <x:c r="C40" s="34" t="str">
        <x:v>Hoffman</x:v>
      </x:c>
      <x:c r="D40" s="34" t="str">
        <x:v>Big Daddy</x:v>
      </x:c>
      <x:c r="E40" s="34" t="str">
        <x:v>https://www.reddit.com/user/bmxmuseum/?after=dDNfMTBkdmozNg%3D%3D&amp;sort=new</x:v>
      </x:c>
      <x:c r="F40" s="34" t="str">
        <x:v>OFFICIAL-SOCIAL-TITLE</x:v>
      </x:c>
      <x:c r="G40" s="34" t="str"/>
      <x:c r="H40" s="34" t="str">
        <x:v>INDEX-ONLY</x:v>
      </x:c>
      <x:c r="I40" s="34" t="str">
        <x:v>2026-07-30</x:v>
      </x:c>
    </x:row>
    <x:row r="41" ht="26.399999618530273" hidden="0" customHeight="1">
      <x:c r="A41" s="34" t="n">
        <x:v>40</x:v>
      </x:c>
      <x:c r="B41" s="34" t="n">
        <x:v>2014</x:v>
      </x:c>
      <x:c r="C41" s="34" t="str">
        <x:v>GT Bicycles</x:v>
      </x:c>
      <x:c r="D41" s="34" t="str">
        <x:v>Pro Series 24</x:v>
      </x:c>
      <x:c r="E41" s="34" t="str">
        <x:v>https://www.reddit.com/user/bmxmuseum/?after=dDNfMTBkdmozNg%3D%3D&amp;sort=new</x:v>
      </x:c>
      <x:c r="F41" s="34" t="str">
        <x:v>OFFICIAL-SOCIAL-TITLE</x:v>
      </x:c>
      <x:c r="G41" s="34" t="str"/>
      <x:c r="H41" s="34" t="str">
        <x:v>INDEX-ONLY</x:v>
      </x:c>
      <x:c r="I41" s="34" t="str">
        <x:v>2026-07-30</x:v>
      </x:c>
    </x:row>
    <x:row r="42" ht="26.399999618530273" hidden="0" customHeight="1">
      <x:c r="A42" s="34" t="n">
        <x:v>41</x:v>
      </x:c>
      <x:c r="B42" s="34" t="n">
        <x:v>1997</x:v>
      </x:c>
      <x:c r="C42" s="34" t="str">
        <x:v>GT Bicycles</x:v>
      </x:c>
      <x:c r="D42" s="34" t="str">
        <x:v>Speed Series Team XL</x:v>
      </x:c>
      <x:c r="E42" s="34" t="str">
        <x:v>https://www.reddit.com/user/bmxmuseum/?after=dDNfMTBkdmozNg%3D%3D&amp;sort=new</x:v>
      </x:c>
      <x:c r="F42" s="34" t="str">
        <x:v>OFFICIAL-SOCIAL-TITLE</x:v>
      </x:c>
      <x:c r="G42" s="34" t="str">
        <x:v>CPSC recall family independently verified.</x:v>
      </x:c>
      <x:c r="H42" s="34" t="str">
        <x:v>INDEX-ONLY</x:v>
      </x:c>
      <x:c r="I42" s="34" t="str">
        <x:v>2026-07-30</x:v>
      </x:c>
    </x:row>
    <x:row r="43" ht="26.399999618530273" hidden="0" customHeight="1">
      <x:c r="A43" s="34" t="n">
        <x:v>42</x:v>
      </x:c>
      <x:c r="B43" s="34" t="n">
        <x:v>2022</x:v>
      </x:c>
      <x:c r="C43" s="34" t="str">
        <x:v>XACD</x:v>
      </x:c>
      <x:c r="D43" s="34" t="str">
        <x:v>Custom Titanium</x:v>
      </x:c>
      <x:c r="E43" s="34" t="str">
        <x:v>https://www.reddit.com/user/bmxmuseum/?after=dDNfMTBkdmozNg%3D%3D&amp;sort=new</x:v>
      </x:c>
      <x:c r="F43" s="34" t="str">
        <x:v>OFFICIAL-SOCIAL-TITLE</x:v>
      </x:c>
      <x:c r="G43" s="34" t="str">
        <x:v>Custom build.</x:v>
      </x:c>
      <x:c r="H43" s="34" t="str">
        <x:v>INDEX-ONLY</x:v>
      </x:c>
      <x:c r="I43" s="34" t="str">
        <x:v>2026-07-30</x:v>
      </x:c>
    </x:row>
    <x:row r="44" ht="26.399999618530273" hidden="0" customHeight="1">
      <x:c r="A44" s="34" t="n">
        <x:v>43</x:v>
      </x:c>
      <x:c r="B44" s="34" t="n">
        <x:v>2022</x:v>
      </x:c>
      <x:c r="C44" s="34" t="str">
        <x:v>Ekcentrix</x:v>
      </x:c>
      <x:c r="D44" s="34" t="str">
        <x:v>TRX2</x:v>
      </x:c>
      <x:c r="E44" s="34" t="str">
        <x:v>https://www.reddit.com/user/bmxmuseum/?after=dDNfMTBkdmozNg%3D%3D&amp;sort=new</x:v>
      </x:c>
      <x:c r="F44" s="34" t="str">
        <x:v>OFFICIAL-SOCIAL-TITLE</x:v>
      </x:c>
      <x:c r="G44" s="34" t="str"/>
      <x:c r="H44" s="34" t="str">
        <x:v>INDEX-ONLY</x:v>
      </x:c>
      <x:c r="I44" s="34" t="str">
        <x:v>2026-07-30</x:v>
      </x:c>
    </x:row>
    <x:row r="45" ht="26.399999618530273" hidden="0" customHeight="1">
      <x:c r="A45" s="34" t="n">
        <x:v>44</x:v>
      </x:c>
      <x:c r="B45" s="34" t="n">
        <x:v>1998</x:v>
      </x:c>
      <x:c r="C45" s="34" t="str">
        <x:v>Profile Racing</x:v>
      </x:c>
      <x:c r="D45" s="34" t="str">
        <x:v>PR Cruiser 24</x:v>
      </x:c>
      <x:c r="E45" s="34" t="str">
        <x:v>https://www.reddit.com/user/bmxmuseum/?after=dDNfMTBkdmozNg%3D%3D&amp;sort=new</x:v>
      </x:c>
      <x:c r="F45" s="34" t="str">
        <x:v>OFFICIAL-SOCIAL-TITLE</x:v>
      </x:c>
      <x:c r="G45" s="34" t="str"/>
      <x:c r="H45" s="34" t="str">
        <x:v>INDEX-ONLY</x:v>
      </x:c>
      <x:c r="I45" s="34" t="str">
        <x:v>2026-07-30</x:v>
      </x:c>
    </x:row>
    <x:row r="46" ht="26.399999618530273" hidden="0" customHeight="1">
      <x:c r="A46" s="34" t="n">
        <x:v>45</x:v>
      </x:c>
      <x:c r="B46" s="34" t="n">
        <x:v>1975</x:v>
      </x:c>
      <x:c r="C46" s="34" t="str">
        <x:v>Huffy</x:v>
      </x:c>
      <x:c r="D46" s="34" t="str">
        <x:v>Thunder Road</x:v>
      </x:c>
      <x:c r="E46" s="34" t="str">
        <x:v>https://www.reddit.com/user/bmxmuseum/?after=dDNfMTBkdmozNg%3D%3D&amp;sort=new</x:v>
      </x:c>
      <x:c r="F46" s="34" t="str">
        <x:v>OFFICIAL-SOCIAL-TITLE</x:v>
      </x:c>
      <x:c r="G46" s="34" t="str">
        <x:v>Early-BMX classification lead.</x:v>
      </x:c>
      <x:c r="H46" s="34" t="str">
        <x:v>INDEX-ONLY</x:v>
      </x:c>
      <x:c r="I46" s="34" t="str">
        <x:v>2026-07-30</x:v>
      </x:c>
    </x:row>
    <x:row r="47" ht="26.399999618530273" hidden="0" customHeight="1">
      <x:c r="A47" s="34" t="n">
        <x:v>46</x:v>
      </x:c>
      <x:c r="B47" s="34" t="n">
        <x:v>2021</x:v>
      </x:c>
      <x:c r="C47" s="34" t="str">
        <x:v>Jayhawk</x:v>
      </x:c>
      <x:c r="D47" s="34" t="str">
        <x:v>26</x:v>
      </x:c>
      <x:c r="E47" s="34" t="str">
        <x:v>https://www.reddit.com/user/bmxmuseum/?after=dDNfMTBkdmozNg%3D%3D&amp;sort=new</x:v>
      </x:c>
      <x:c r="F47" s="34" t="str">
        <x:v>OFFICIAL-SOCIAL-TITLE</x:v>
      </x:c>
      <x:c r="G47" s="34" t="str">
        <x:v>Custom build characterization in post.</x:v>
      </x:c>
      <x:c r="H47" s="34" t="str">
        <x:v>INDEX-ONLY</x:v>
      </x:c>
      <x:c r="I47" s="34" t="str">
        <x:v>2026-07-30</x:v>
      </x:c>
    </x:row>
    <x:row r="48" ht="26.399999618530273" hidden="0" customHeight="1">
      <x:c r="A48" s="34" t="n">
        <x:v>47</x:v>
      </x:c>
      <x:c r="B48" s="34" t="n">
        <x:v>1983</x:v>
      </x:c>
      <x:c r="C48" s="34" t="str">
        <x:v>SE Racing</x:v>
      </x:c>
      <x:c r="D48" s="34" t="str">
        <x:v>Quadangle</x:v>
      </x:c>
      <x:c r="E48" s="34" t="str">
        <x:v>https://www.reddit.com/user/bmxmuseum/?after=dDNfMTBkdmozNg%3D%3D&amp;sort=new</x:v>
      </x:c>
      <x:c r="F48" s="34" t="str">
        <x:v>OFFICIAL-SOCIAL-TITLE</x:v>
      </x:c>
      <x:c r="G48" s="34" t="str">
        <x:v>May or may not be record 135922; do not merge without ID.</x:v>
      </x:c>
      <x:c r="H48" s="34" t="str">
        <x:v>INDEX-ONLY</x:v>
      </x:c>
      <x:c r="I48" s="34" t="str">
        <x:v>2026-07-30</x:v>
      </x:c>
    </x:row>
    <x:row r="49" ht="26.399999618530273" hidden="0" customHeight="1">
      <x:c r="A49" s="34" t="n">
        <x:v>48</x:v>
      </x:c>
      <x:c r="B49" s="34" t="n">
        <x:v>1995</x:v>
      </x:c>
      <x:c r="C49" s="34" t="str">
        <x:v>S&amp;M</x:v>
      </x:c>
      <x:c r="D49" s="34" t="str">
        <x:v>Heavy As F**k</x:v>
      </x:c>
      <x:c r="E49" s="34" t="str">
        <x:v>https://www.reddit.com/user/bmxmuseum/?after=dDNfMTBkdmozNg%3D%3D&amp;sort=new</x:v>
      </x:c>
      <x:c r="F49" s="34" t="str">
        <x:v>OFFICIAL-SOCIAL-TITLE</x:v>
      </x:c>
      <x:c r="G49" s="34" t="str">
        <x:v>Preserve model styling; verify official punctuation.</x:v>
      </x:c>
      <x:c r="H49" s="34" t="str">
        <x:v>INDEX-ONLY</x:v>
      </x:c>
      <x:c r="I49" s="34" t="str">
        <x:v>2026-07-30</x:v>
      </x:c>
    </x:row>
    <x:row r="50" ht="26.399999618530273" hidden="0" customHeight="1">
      <x:c r="A50" s="34" t="n">
        <x:v>49</x:v>
      </x:c>
      <x:c r="B50" s="34" t="n">
        <x:v>1985</x:v>
      </x:c>
      <x:c r="C50" s="34" t="str">
        <x:v>Kuwahara</x:v>
      </x:c>
      <x:c r="D50" s="34" t="str">
        <x:v>Bravo</x:v>
      </x:c>
      <x:c r="E50" s="34" t="str">
        <x:v>https://www.reddit.com/user/bmxmuseum/?after=dDNfMTBkdmozNg%3D%3D&amp;sort=new</x:v>
      </x:c>
      <x:c r="F50" s="34" t="str">
        <x:v>OFFICIAL-SOCIAL-TITLE</x:v>
      </x:c>
      <x:c r="G50" s="34" t="str">
        <x:v>Detailed component list came from an external owner post; do not treat as universal factory spec.</x:v>
      </x:c>
      <x:c r="H50" s="34" t="str">
        <x:v>INDEX-ONLY</x:v>
      </x:c>
      <x:c r="I50" s="34" t="str">
        <x:v>2026-07-30</x:v>
      </x:c>
    </x:row>
    <x:row r="51" ht="26.399999618530273" hidden="0" customHeight="1">
      <x:c r="A51" s="34" t="n">
        <x:v>50</x:v>
      </x:c>
      <x:c r="B51" s="34" t="n">
        <x:v>2017</x:v>
      </x:c>
      <x:c r="C51" s="34" t="str">
        <x:v>Standard</x:v>
      </x:c>
      <x:c r="D51" s="34" t="str">
        <x:v>Pitboss</x:v>
      </x:c>
      <x:c r="E51" s="34" t="str">
        <x:v>https://www.reddit.com/user/bmxmuseum/?after=dDNfMTBkdmozNg%3D%3D&amp;sort=new</x:v>
      </x:c>
      <x:c r="F51" s="34" t="str">
        <x:v>OFFICIAL-SOCIAL-TITLE</x:v>
      </x:c>
      <x:c r="G51" s="34" t="str"/>
      <x:c r="H51" s="34" t="str">
        <x:v>INDEX-ONLY</x:v>
      </x:c>
      <x:c r="I51" s="34" t="str">
        <x:v>2026-07-30</x:v>
      </x:c>
    </x:row>
    <x:row r="52" ht="26.399999618530273" hidden="0" customHeight="1">
      <x:c r="A52" s="34" t="n">
        <x:v>51</x:v>
      </x:c>
      <x:c r="B52" s="34" t="n">
        <x:v>1985</x:v>
      </x:c>
      <x:c r="C52" s="34" t="str">
        <x:v>GHP</x:v>
      </x:c>
      <x:c r="D52" s="34" t="str">
        <x:v>Pro II</x:v>
      </x:c>
      <x:c r="E52" s="34" t="str">
        <x:v>https://www.reddit.com/user/bmxmuseum/?after=dDNfMTBkdmozNg%3D%3D&amp;sort=new</x:v>
      </x:c>
      <x:c r="F52" s="34" t="str">
        <x:v>OFFICIAL-SOCIAL-TITLE</x:v>
      </x:c>
      <x:c r="G52" s="34" t="str">
        <x:v>Greg Hill signature association requires primary verification.</x:v>
      </x:c>
      <x:c r="H52" s="34" t="str">
        <x:v>INDEX-ONLY</x:v>
      </x:c>
      <x:c r="I52" s="34" t="str">
        <x:v>2026-07-30</x:v>
      </x:c>
    </x:row>
    <x:row r="53" ht="26.399999618530273" hidden="0" customHeight="1">
      <x:c r="A53" s="34" t="n">
        <x:v>52</x:v>
      </x:c>
      <x:c r="B53" s="34" t="n">
        <x:v>2022</x:v>
      </x:c>
      <x:c r="C53" s="34" t="str">
        <x:v>Thrashzone</x:v>
      </x:c>
      <x:c r="D53" s="34" t="str">
        <x:v>Mental Challenger</x:v>
      </x:c>
      <x:c r="E53" s="34" t="str">
        <x:v>https://www.reddit.com/user/bmxmuseum/?after=dDNfMTBkdmozNg%3D%3D&amp;sort=new</x:v>
      </x:c>
      <x:c r="F53" s="34" t="str">
        <x:v>OFFICIAL-SOCIAL-TITLE</x:v>
      </x:c>
      <x:c r="G53" s="34" t="str">
        <x:v>Custom race bike.</x:v>
      </x:c>
      <x:c r="H53" s="34" t="str">
        <x:v>INDEX-ONLY</x:v>
      </x:c>
      <x:c r="I53" s="34" t="str">
        <x:v>2026-07-30</x:v>
      </x:c>
    </x:row>
    <x:row r="54" ht="26.399999618530273" hidden="0" customHeight="1">
      <x:c r="A54" s="34" t="n">
        <x:v>53</x:v>
      </x:c>
      <x:c r="B54" s="34" t="n">
        <x:v>1984</x:v>
      </x:c>
      <x:c r="C54" s="34" t="str">
        <x:v>JMC Racing</x:v>
      </x:c>
      <x:c r="D54" s="34" t="str">
        <x:v>Andy Patterson</x:v>
      </x:c>
      <x:c r="E54" s="34" t="str">
        <x:v>https://www.reddit.com/user/bmxmuseum/?after=dDNfd2hzczZr&amp;sort=new</x:v>
      </x:c>
      <x:c r="F54" s="34" t="str">
        <x:v>OFFICIAL-SOCIAL-TITLE</x:v>
      </x:c>
      <x:c r="G54" s="34" t="str">
        <x:v>Period BMX Action material independently supports the model line.</x:v>
      </x:c>
      <x:c r="H54" s="34" t="str">
        <x:v>INDEX-ONLY</x:v>
      </x:c>
      <x:c r="I54" s="34" t="str">
        <x:v>2026-07-30</x:v>
      </x:c>
    </x:row>
    <x:row r="55" ht="26.399999618530273" hidden="0" customHeight="1">
      <x:c r="A55" s="34" t="n">
        <x:v>54</x:v>
      </x:c>
      <x:c r="B55" s="34" t="n">
        <x:v>1980</x:v>
      </x:c>
      <x:c r="C55" s="34" t="str">
        <x:v>Kuwahara</x:v>
      </x:c>
      <x:c r="D55" s="34" t="str">
        <x:v>KZ-1</x:v>
      </x:c>
      <x:c r="E55" s="34" t="str">
        <x:v>https://www.reddit.com/user/bmxmuseum/?after=dDNfd2hzczZr&amp;sort=new</x:v>
      </x:c>
      <x:c r="F55" s="34" t="str">
        <x:v>OFFICIAL-SOCIAL-TITLE</x:v>
      </x:c>
      <x:c r="G55" s="34" t="str">
        <x:v>All-original claim pending.</x:v>
      </x:c>
      <x:c r="H55" s="34" t="str">
        <x:v>INDEX-ONLY</x:v>
      </x:c>
      <x:c r="I55" s="34" t="str">
        <x:v>2026-07-30</x:v>
      </x:c>
    </x:row>
    <x:row r="56" ht="26.399999618530273" hidden="0" customHeight="1">
      <x:c r="A56" s="34" t="n">
        <x:v>55</x:v>
      </x:c>
      <x:c r="B56" s="34" t="n">
        <x:v>1996</x:v>
      </x:c>
      <x:c r="C56" s="34" t="str">
        <x:v>Profile Racing</x:v>
      </x:c>
      <x:c r="D56" s="34" t="str">
        <x:v>X-File</x:v>
      </x:c>
      <x:c r="E56" s="34" t="str">
        <x:v>https://www.reddit.com/user/bmxmuseum/?after=dDNfd2hzczZr&amp;sort=new</x:v>
      </x:c>
      <x:c r="F56" s="34" t="str">
        <x:v>OFFICIAL-SOCIAL-TITLE</x:v>
      </x:c>
      <x:c r="G56" s="34" t="str"/>
      <x:c r="H56" s="34" t="str">
        <x:v>INDEX-ONLY</x:v>
      </x:c>
      <x:c r="I56" s="34" t="str">
        <x:v>2026-07-30</x:v>
      </x:c>
    </x:row>
    <x:row r="57" ht="26.399999618530273" hidden="0" customHeight="1">
      <x:c r="A57" s="34" t="n">
        <x:v>56</x:v>
      </x:c>
      <x:c r="B57" s="34" t="n">
        <x:v>1980</x:v>
      </x:c>
      <x:c r="C57" s="34" t="str">
        <x:v>SE Racing</x:v>
      </x:c>
      <x:c r="D57" s="34" t="str">
        <x:v>OM Flyer Reynolds-steel version</x:v>
      </x:c>
      <x:c r="E57" s="34" t="str">
        <x:v>https://www.reddit.com/user/bmxmuseum/?after=dDNfd2hzczZr&amp;sort=new</x:v>
      </x:c>
      <x:c r="F57" s="34" t="str">
        <x:v>OFFICIAL-SOCIAL-TITLE</x:v>
      </x:c>
      <x:c r="G57" s="34" t="str">
        <x:v>Material claim requires catalog/serial corroboration.</x:v>
      </x:c>
      <x:c r="H57" s="34" t="str">
        <x:v>INDEX-ONLY</x:v>
      </x:c>
      <x:c r="I57" s="34" t="str">
        <x:v>2026-07-30</x:v>
      </x:c>
    </x:row>
    <x:row r="58" ht="26.399999618530273" hidden="0" customHeight="1">
      <x:c r="A58" s="34" t="n">
        <x:v>57</x:v>
      </x:c>
      <x:c r="B58" s="34" t="n">
        <x:v>1998</x:v>
      </x:c>
      <x:c r="C58" s="34" t="str">
        <x:v>S&amp;M</x:v>
      </x:c>
      <x:c r="D58" s="34" t="str">
        <x:v>Challenger</x:v>
      </x:c>
      <x:c r="E58" s="34" t="str">
        <x:v>https://www.reddit.com/user/bmxmuseum/?after=dDNfd2hzczZr&amp;sort=new</x:v>
      </x:c>
      <x:c r="F58" s="34" t="str">
        <x:v>OFFICIAL-SOCIAL-TITLE</x:v>
      </x:c>
      <x:c r="G58" s="34" t="str"/>
      <x:c r="H58" s="34" t="str">
        <x:v>INDEX-ONLY</x:v>
      </x:c>
      <x:c r="I58" s="34" t="str">
        <x:v>2026-07-30</x:v>
      </x:c>
    </x:row>
    <x:row r="59" ht="26.399999618530273" hidden="0" customHeight="1">
      <x:c r="A59" s="34" t="n">
        <x:v>58</x:v>
      </x:c>
      <x:c r="B59" s="34" t="n">
        <x:v>1983</x:v>
      </x:c>
      <x:c r="C59" s="34" t="str">
        <x:v>Thruster</x:v>
      </x:c>
      <x:c r="D59" s="34" t="str">
        <x:v>Tri-Power XL</x:v>
      </x:c>
      <x:c r="E59" s="34" t="str">
        <x:v>https://www.reddit.com/user/bmxmuseum/?after=dDNfd2hzczZr&amp;sort=new</x:v>
      </x:c>
      <x:c r="F59" s="34" t="str">
        <x:v>OFFICIAL-SOCIAL-TITLE</x:v>
      </x:c>
      <x:c r="G59" s="34" t="str"/>
      <x:c r="H59" s="34" t="str">
        <x:v>INDEX-ONLY</x:v>
      </x:c>
      <x:c r="I59" s="34" t="str">
        <x:v>2026-07-30</x:v>
      </x:c>
    </x:row>
    <x:row r="60" ht="26.399999618530273" hidden="0" customHeight="1">
      <x:c r="A60" s="34" t="n">
        <x:v>59</x:v>
      </x:c>
      <x:c r="B60" s="34" t="n">
        <x:v>1983</x:v>
      </x:c>
      <x:c r="C60" s="34" t="str">
        <x:v>Mercury</x:v>
      </x:c>
      <x:c r="D60" s="34" t="str">
        <x:v>Super-Sting</x:v>
      </x:c>
      <x:c r="E60" s="34" t="str">
        <x:v>https://www.reddit.com/user/bmxmuseum/?after=dDNfd2hzczZr&amp;sort=new</x:v>
      </x:c>
      <x:c r="F60" s="34" t="str">
        <x:v>OFFICIAL-SOCIAL-TITLE</x:v>
      </x:c>
      <x:c r="G60" s="34" t="str">
        <x:v>Post calls it Canadian; brand/manufacturing relationship pending.</x:v>
      </x:c>
      <x:c r="H60" s="34" t="str">
        <x:v>INDEX-ONLY</x:v>
      </x:c>
      <x:c r="I60" s="34" t="str">
        <x:v>2026-07-30</x:v>
      </x:c>
    </x:row>
    <x:row r="61" ht="26.399999618530273" hidden="0" customHeight="1">
      <x:c r="A61" s="34" t="n">
        <x:v>60</x:v>
      </x:c>
      <x:c r="B61" s="34" t="n">
        <x:v>1979</x:v>
      </x:c>
      <x:c r="C61" s="34" t="str">
        <x:v>Batavus</x:v>
      </x:c>
      <x:c r="D61" s="34" t="str">
        <x:v>1st Gen</x:v>
      </x:c>
      <x:c r="E61" s="34" t="str">
        <x:v>https://www.reddit.com/user/bmxmuseum/?after=dDNfd2hzczZr&amp;sort=new</x:v>
      </x:c>
      <x:c r="F61" s="34" t="str">
        <x:v>OFFICIAL-SOCIAL-TITLE</x:v>
      </x:c>
      <x:c r="G61" s="34" t="str">
        <x:v>Dutch brand association likely; exact model name pending.</x:v>
      </x:c>
      <x:c r="H61" s="34" t="str">
        <x:v>INDEX-ONLY</x:v>
      </x:c>
      <x:c r="I61" s="34" t="str">
        <x:v>2026-07-30</x:v>
      </x:c>
    </x:row>
    <x:row r="62">
      <x:c r="A62" s="34"/>
      <x:c r="B62" s="34"/>
      <x:c r="C62" s="34"/>
      <x:c r="D62" s="34"/>
      <x:c r="E62" s="34"/>
      <x:c r="F62" s="34"/>
      <x:c r="G62" s="34"/>
      <x:c r="H62" s="34"/>
      <x:c r="I62" s="34"/>
    </x:row>
    <x:row r="63">
      <x:c r="A63" s="34"/>
      <x:c r="B63" s="34"/>
      <x:c r="C63" s="34"/>
      <x:c r="D63" s="34"/>
      <x:c r="E63" s="34"/>
      <x:c r="F63" s="34"/>
      <x:c r="G63" s="34"/>
      <x:c r="H63" s="34"/>
      <x:c r="I63" s="34"/>
    </x:row>
    <x:row r="64">
      <x:c r="A64" s="34"/>
      <x:c r="B64" s="34"/>
      <x:c r="C64" s="34"/>
      <x:c r="D64" s="34"/>
      <x:c r="E64" s="34"/>
      <x:c r="F64" s="34"/>
      <x:c r="G64" s="34"/>
      <x:c r="H64" s="34"/>
      <x:c r="I64" s="34"/>
    </x:row>
    <x:row r="65">
      <x:c r="A65" s="34"/>
      <x:c r="B65" s="34"/>
      <x:c r="C65" s="34"/>
      <x:c r="D65" s="34"/>
      <x:c r="E65" s="34"/>
      <x:c r="F65" s="34"/>
      <x:c r="G65" s="34"/>
      <x:c r="H65" s="34"/>
      <x:c r="I65" s="34"/>
    </x:row>
    <x:row r="66">
      <x:c r="A66" s="34"/>
      <x:c r="B66" s="34"/>
      <x:c r="C66" s="34"/>
      <x:c r="D66" s="34"/>
      <x:c r="E66" s="34"/>
      <x:c r="F66" s="34"/>
      <x:c r="G66" s="34"/>
      <x:c r="H66" s="34"/>
      <x:c r="I66" s="34"/>
    </x:row>
    <x:row r="67">
      <x:c r="A67" s="34"/>
      <x:c r="B67" s="34"/>
      <x:c r="C67" s="34"/>
      <x:c r="D67" s="34"/>
      <x:c r="E67" s="34"/>
      <x:c r="F67" s="34"/>
      <x:c r="G67" s="34"/>
      <x:c r="H67" s="34"/>
      <x:c r="I67" s="34"/>
    </x:row>
    <x:row r="68">
      <x:c r="A68" s="34"/>
      <x:c r="B68" s="34"/>
      <x:c r="C68" s="34"/>
      <x:c r="D68" s="34"/>
      <x:c r="E68" s="34"/>
      <x:c r="F68" s="34"/>
      <x:c r="G68" s="34"/>
      <x:c r="H68" s="34"/>
      <x:c r="I68" s="34"/>
    </x:row>
    <x:row r="69">
      <x:c r="A69" s="34"/>
      <x:c r="B69" s="34"/>
      <x:c r="C69" s="34"/>
      <x:c r="D69" s="34"/>
      <x:c r="E69" s="34"/>
      <x:c r="F69" s="34"/>
      <x:c r="G69" s="34"/>
      <x:c r="H69" s="34"/>
      <x:c r="I69" s="34"/>
    </x:row>
    <x:row r="70">
      <x:c r="A70" s="34"/>
      <x:c r="B70" s="34"/>
      <x:c r="C70" s="34"/>
      <x:c r="D70" s="34"/>
      <x:c r="E70" s="34"/>
      <x:c r="F70" s="34"/>
      <x:c r="G70" s="34"/>
      <x:c r="H70" s="34"/>
      <x:c r="I70" s="34"/>
    </x:row>
    <x:row r="71">
      <x:c r="A71" s="34"/>
      <x:c r="B71" s="34"/>
      <x:c r="C71" s="34"/>
      <x:c r="D71" s="34"/>
      <x:c r="E71" s="34"/>
      <x:c r="F71" s="34"/>
      <x:c r="G71" s="34"/>
      <x:c r="H71" s="34"/>
      <x:c r="I71" s="34"/>
    </x:row>
    <x:row r="72">
      <x:c r="A72" s="34"/>
      <x:c r="B72" s="34"/>
      <x:c r="C72" s="34"/>
      <x:c r="D72" s="34"/>
      <x:c r="E72" s="34"/>
      <x:c r="F72" s="34"/>
      <x:c r="G72" s="34"/>
      <x:c r="H72" s="34"/>
      <x:c r="I72" s="34"/>
    </x:row>
    <x:row r="73">
      <x:c r="A73" s="34"/>
      <x:c r="B73" s="34"/>
      <x:c r="C73" s="34"/>
      <x:c r="D73" s="34"/>
      <x:c r="E73" s="34"/>
      <x:c r="F73" s="34"/>
      <x:c r="G73" s="34"/>
      <x:c r="H73" s="34"/>
      <x:c r="I73" s="34"/>
    </x:row>
    <x:row r="74">
      <x:c r="A74" s="34"/>
      <x:c r="B74" s="34"/>
      <x:c r="C74" s="34"/>
      <x:c r="D74" s="34"/>
      <x:c r="E74" s="34"/>
      <x:c r="F74" s="34"/>
      <x:c r="G74" s="34"/>
      <x:c r="H74" s="34"/>
      <x:c r="I74" s="34"/>
    </x:row>
    <x:row r="75">
      <x:c r="A75" s="34"/>
      <x:c r="B75" s="34"/>
      <x:c r="C75" s="34"/>
      <x:c r="D75" s="34"/>
      <x:c r="E75" s="34"/>
      <x:c r="F75" s="34"/>
      <x:c r="G75" s="34"/>
      <x:c r="H75" s="34"/>
      <x:c r="I75" s="34"/>
    </x:row>
    <x:row r="76">
      <x:c r="A76" s="34"/>
      <x:c r="B76" s="34"/>
      <x:c r="C76" s="34"/>
      <x:c r="D76" s="34"/>
      <x:c r="E76" s="34"/>
      <x:c r="F76" s="34"/>
      <x:c r="G76" s="34"/>
      <x:c r="H76" s="34"/>
      <x:c r="I76" s="34"/>
    </x:row>
    <x:row r="77">
      <x:c r="A77" s="34"/>
      <x:c r="B77" s="34"/>
      <x:c r="C77" s="34"/>
      <x:c r="D77" s="34"/>
      <x:c r="E77" s="34"/>
      <x:c r="F77" s="34"/>
      <x:c r="G77" s="34"/>
      <x:c r="H77" s="34"/>
      <x:c r="I77" s="34"/>
    </x:row>
    <x:row r="78">
      <x:c r="A78" s="34"/>
      <x:c r="B78" s="34"/>
      <x:c r="C78" s="34"/>
      <x:c r="D78" s="34"/>
      <x:c r="E78" s="34"/>
      <x:c r="F78" s="34"/>
      <x:c r="G78" s="34"/>
      <x:c r="H78" s="34"/>
      <x:c r="I78" s="34"/>
    </x:row>
    <x:row r="79">
      <x:c r="A79" s="34"/>
      <x:c r="B79" s="34"/>
      <x:c r="C79" s="34"/>
      <x:c r="D79" s="34"/>
      <x:c r="E79" s="34"/>
      <x:c r="F79" s="34"/>
      <x:c r="G79" s="34"/>
      <x:c r="H79" s="34"/>
      <x:c r="I79" s="34"/>
    </x:row>
    <x:row r="80">
      <x:c r="A80" s="34"/>
      <x:c r="B80" s="34"/>
      <x:c r="C80" s="34"/>
      <x:c r="D80" s="34"/>
      <x:c r="E80" s="34"/>
      <x:c r="F80" s="34"/>
      <x:c r="G80" s="34"/>
      <x:c r="H80" s="34"/>
      <x:c r="I80" s="34"/>
    </x:row>
    <x:row r="81">
      <x:c r="A81" s="34"/>
      <x:c r="B81" s="34"/>
      <x:c r="C81" s="34"/>
      <x:c r="D81" s="34"/>
      <x:c r="E81" s="34"/>
      <x:c r="F81" s="34"/>
      <x:c r="G81" s="34"/>
      <x:c r="H81" s="34"/>
      <x:c r="I81" s="34"/>
    </x:row>
    <x:row r="82">
      <x:c r="A82" s="34"/>
      <x:c r="B82" s="34"/>
      <x:c r="C82" s="34"/>
      <x:c r="D82" s="34"/>
      <x:c r="E82" s="34"/>
      <x:c r="F82" s="34"/>
      <x:c r="G82" s="34"/>
      <x:c r="H82" s="34"/>
      <x:c r="I82" s="34"/>
    </x:row>
    <x:row r="83">
      <x:c r="A83" s="34"/>
      <x:c r="B83" s="34"/>
      <x:c r="C83" s="34"/>
      <x:c r="D83" s="34"/>
      <x:c r="E83" s="34"/>
      <x:c r="F83" s="34"/>
      <x:c r="G83" s="34"/>
      <x:c r="H83" s="34"/>
      <x:c r="I83" s="34"/>
    </x:row>
    <x:row r="84">
      <x:c r="A84" s="34"/>
      <x:c r="B84" s="34"/>
      <x:c r="C84" s="34"/>
      <x:c r="D84" s="34"/>
      <x:c r="E84" s="34"/>
      <x:c r="F84" s="34"/>
      <x:c r="G84" s="34"/>
      <x:c r="H84" s="34"/>
      <x:c r="I84" s="34"/>
    </x:row>
    <x:row r="85">
      <x:c r="A85" s="34"/>
      <x:c r="B85" s="34"/>
      <x:c r="C85" s="34"/>
      <x:c r="D85" s="34"/>
      <x:c r="E85" s="34"/>
      <x:c r="F85" s="34"/>
      <x:c r="G85" s="34"/>
      <x:c r="H85" s="34"/>
      <x:c r="I85" s="34"/>
    </x:row>
    <x:row r="86">
      <x:c r="A86" s="34"/>
      <x:c r="B86" s="34"/>
      <x:c r="C86" s="34"/>
      <x:c r="D86" s="34"/>
      <x:c r="E86" s="34"/>
      <x:c r="F86" s="34"/>
      <x:c r="G86" s="34"/>
      <x:c r="H86" s="34"/>
      <x:c r="I86" s="34"/>
    </x:row>
    <x:row r="87">
      <x:c r="A87" s="34"/>
      <x:c r="B87" s="34"/>
      <x:c r="C87" s="34"/>
      <x:c r="D87" s="34"/>
      <x:c r="E87" s="34"/>
      <x:c r="F87" s="34"/>
      <x:c r="G87" s="34"/>
      <x:c r="H87" s="34"/>
      <x:c r="I87" s="34"/>
    </x:row>
    <x:row r="88">
      <x:c r="A88" s="34"/>
      <x:c r="B88" s="34"/>
      <x:c r="C88" s="34"/>
      <x:c r="D88" s="34"/>
      <x:c r="E88" s="34"/>
      <x:c r="F88" s="34"/>
      <x:c r="G88" s="34"/>
      <x:c r="H88" s="34"/>
      <x:c r="I88" s="34"/>
    </x:row>
    <x:row r="89">
      <x:c r="A89" s="34"/>
      <x:c r="B89" s="34"/>
      <x:c r="C89" s="34"/>
      <x:c r="D89" s="34"/>
      <x:c r="E89" s="34"/>
      <x:c r="F89" s="34"/>
      <x:c r="G89" s="34"/>
      <x:c r="H89" s="34"/>
      <x:c r="I89" s="34"/>
    </x:row>
    <x:row r="90">
      <x:c r="A90" s="34"/>
      <x:c r="B90" s="34"/>
      <x:c r="C90" s="34"/>
      <x:c r="D90" s="34"/>
      <x:c r="E90" s="34"/>
      <x:c r="F90" s="34"/>
      <x:c r="G90" s="34"/>
      <x:c r="H90" s="34"/>
      <x:c r="I90" s="34"/>
    </x:row>
    <x:row r="91">
      <x:c r="A91" s="34"/>
      <x:c r="B91" s="34"/>
      <x:c r="C91" s="34"/>
      <x:c r="D91" s="34"/>
      <x:c r="E91" s="34"/>
      <x:c r="F91" s="34"/>
      <x:c r="G91" s="34"/>
      <x:c r="H91" s="34"/>
      <x:c r="I91" s="34"/>
    </x:row>
    <x:row r="92">
      <x:c r="A92" s="34"/>
      <x:c r="B92" s="34"/>
      <x:c r="C92" s="34"/>
      <x:c r="D92" s="34"/>
      <x:c r="E92" s="34"/>
      <x:c r="F92" s="34"/>
      <x:c r="G92" s="34"/>
      <x:c r="H92" s="34"/>
      <x:c r="I92" s="34"/>
    </x:row>
    <x:row r="93">
      <x:c r="A93" s="34"/>
      <x:c r="B93" s="34"/>
      <x:c r="C93" s="34"/>
      <x:c r="D93" s="34"/>
      <x:c r="E93" s="34"/>
      <x:c r="F93" s="34"/>
      <x:c r="G93" s="34"/>
      <x:c r="H93" s="34"/>
      <x:c r="I93" s="34"/>
    </x:row>
    <x:row r="94">
      <x:c r="A94" s="34"/>
      <x:c r="B94" s="34"/>
      <x:c r="C94" s="34"/>
      <x:c r="D94" s="34"/>
      <x:c r="E94" s="34"/>
      <x:c r="F94" s="34"/>
      <x:c r="G94" s="34"/>
      <x:c r="H94" s="34"/>
      <x:c r="I94" s="34"/>
    </x:row>
    <x:row r="95">
      <x:c r="A95" s="34"/>
      <x:c r="B95" s="34"/>
      <x:c r="C95" s="34"/>
      <x:c r="D95" s="34"/>
      <x:c r="E95" s="34"/>
      <x:c r="F95" s="34"/>
      <x:c r="G95" s="34"/>
      <x:c r="H95" s="34"/>
      <x:c r="I95" s="34"/>
    </x:row>
    <x:row r="96">
      <x:c r="A96" s="34"/>
      <x:c r="B96" s="34"/>
      <x:c r="C96" s="34"/>
      <x:c r="D96" s="34"/>
      <x:c r="E96" s="34"/>
      <x:c r="F96" s="34"/>
      <x:c r="G96" s="34"/>
      <x:c r="H96" s="34"/>
      <x:c r="I96" s="34"/>
    </x:row>
    <x:row r="97">
      <x:c r="A97" s="34"/>
      <x:c r="B97" s="34"/>
      <x:c r="C97" s="34"/>
      <x:c r="D97" s="34"/>
      <x:c r="E97" s="34"/>
      <x:c r="F97" s="34"/>
      <x:c r="G97" s="34"/>
      <x:c r="H97" s="34"/>
      <x:c r="I97" s="34"/>
    </x:row>
    <x:row r="98">
      <x:c r="A98" s="34"/>
      <x:c r="B98" s="34"/>
      <x:c r="C98" s="34"/>
      <x:c r="D98" s="34"/>
      <x:c r="E98" s="34"/>
      <x:c r="F98" s="34"/>
      <x:c r="G98" s="34"/>
      <x:c r="H98" s="34"/>
      <x:c r="I98" s="34"/>
    </x:row>
    <x:row r="99">
      <x:c r="A99" s="34"/>
      <x:c r="B99" s="34"/>
      <x:c r="C99" s="34"/>
      <x:c r="D99" s="34"/>
      <x:c r="E99" s="34"/>
      <x:c r="F99" s="34"/>
      <x:c r="G99" s="34"/>
      <x:c r="H99" s="34"/>
      <x:c r="I99" s="34"/>
    </x:row>
    <x:row r="100">
      <x:c r="A100" s="34"/>
      <x:c r="B100" s="34"/>
      <x:c r="C100" s="34"/>
      <x:c r="D100" s="34"/>
      <x:c r="E100" s="34"/>
      <x:c r="F100" s="34"/>
      <x:c r="G100" s="34"/>
      <x:c r="H100" s="34"/>
      <x:c r="I100" s="34"/>
    </x:row>
    <x:row r="101">
      <x:c r="A101" s="34"/>
      <x:c r="B101" s="34"/>
      <x:c r="C101" s="34"/>
      <x:c r="D101" s="34"/>
      <x:c r="E101" s="34"/>
      <x:c r="F101" s="34"/>
      <x:c r="G101" s="34"/>
      <x:c r="H101" s="34"/>
      <x:c r="I101" s="34"/>
    </x:row>
    <x:row r="102">
      <x:c r="A102" s="34"/>
      <x:c r="B102" s="34"/>
      <x:c r="C102" s="34"/>
      <x:c r="D102" s="34"/>
      <x:c r="E102" s="34"/>
      <x:c r="F102" s="34"/>
      <x:c r="G102" s="34"/>
      <x:c r="H102" s="34"/>
      <x:c r="I102" s="34"/>
    </x:row>
    <x:row r="103">
      <x:c r="A103" s="34"/>
      <x:c r="B103" s="34"/>
      <x:c r="C103" s="34"/>
      <x:c r="D103" s="34"/>
      <x:c r="E103" s="34"/>
      <x:c r="F103" s="34"/>
      <x:c r="G103" s="34"/>
      <x:c r="H103" s="34"/>
      <x:c r="I103" s="34"/>
    </x:row>
    <x:row r="104">
      <x:c r="A104" s="34"/>
      <x:c r="B104" s="34"/>
      <x:c r="C104" s="34"/>
      <x:c r="D104" s="34"/>
      <x:c r="E104" s="34"/>
      <x:c r="F104" s="34"/>
      <x:c r="G104" s="34"/>
      <x:c r="H104" s="34"/>
      <x:c r="I104" s="34"/>
    </x:row>
    <x:row r="105">
      <x:c r="A105" s="34"/>
      <x:c r="B105" s="34"/>
      <x:c r="C105" s="34"/>
      <x:c r="D105" s="34"/>
      <x:c r="E105" s="34"/>
      <x:c r="F105" s="34"/>
      <x:c r="G105" s="34"/>
      <x:c r="H105" s="34"/>
      <x:c r="I105" s="34"/>
    </x:row>
    <x:row r="106">
      <x:c r="A106" s="34"/>
      <x:c r="B106" s="34"/>
      <x:c r="C106" s="34"/>
      <x:c r="D106" s="34"/>
      <x:c r="E106" s="34"/>
      <x:c r="F106" s="34"/>
      <x:c r="G106" s="34"/>
      <x:c r="H106" s="34"/>
      <x:c r="I106" s="34"/>
    </x:row>
    <x:row r="107">
      <x:c r="A107" s="34"/>
      <x:c r="B107" s="34"/>
      <x:c r="C107" s="34"/>
      <x:c r="D107" s="34"/>
      <x:c r="E107" s="34"/>
      <x:c r="F107" s="34"/>
      <x:c r="G107" s="34"/>
      <x:c r="H107" s="34"/>
      <x:c r="I107" s="34"/>
    </x:row>
    <x:row r="108">
      <x:c r="A108" s="34"/>
      <x:c r="B108" s="34"/>
      <x:c r="C108" s="34"/>
      <x:c r="D108" s="34"/>
      <x:c r="E108" s="34"/>
      <x:c r="F108" s="34"/>
      <x:c r="G108" s="34"/>
      <x:c r="H108" s="34"/>
      <x:c r="I108" s="34"/>
    </x:row>
    <x:row r="109">
      <x:c r="A109" s="34"/>
      <x:c r="B109" s="34"/>
      <x:c r="C109" s="34"/>
      <x:c r="D109" s="34"/>
      <x:c r="E109" s="34"/>
      <x:c r="F109" s="34"/>
      <x:c r="G109" s="34"/>
      <x:c r="H109" s="34"/>
      <x:c r="I109" s="34"/>
    </x:row>
    <x:row r="110">
      <x:c r="A110" s="34"/>
      <x:c r="B110" s="34"/>
      <x:c r="C110" s="34"/>
      <x:c r="D110" s="34"/>
      <x:c r="E110" s="34"/>
      <x:c r="F110" s="34"/>
      <x:c r="G110" s="34"/>
      <x:c r="H110" s="34"/>
      <x:c r="I110" s="34"/>
    </x:row>
    <x:row r="111">
      <x:c r="A111" s="34"/>
      <x:c r="B111" s="34"/>
      <x:c r="C111" s="34"/>
      <x:c r="D111" s="34"/>
      <x:c r="E111" s="34"/>
      <x:c r="F111" s="34"/>
      <x:c r="G111" s="34"/>
      <x:c r="H111" s="34"/>
      <x:c r="I111" s="34"/>
    </x:row>
    <x:row r="112">
      <x:c r="A112" s="34"/>
      <x:c r="B112" s="34"/>
      <x:c r="C112" s="34"/>
      <x:c r="D112" s="34"/>
      <x:c r="E112" s="34"/>
      <x:c r="F112" s="34"/>
      <x:c r="G112" s="34"/>
      <x:c r="H112" s="34"/>
      <x:c r="I112" s="34"/>
    </x:row>
    <x:row r="113">
      <x:c r="A113" s="34"/>
      <x:c r="B113" s="34"/>
      <x:c r="C113" s="34"/>
      <x:c r="D113" s="34"/>
      <x:c r="E113" s="34"/>
      <x:c r="F113" s="34"/>
      <x:c r="G113" s="34"/>
      <x:c r="H113" s="34"/>
      <x:c r="I113" s="34"/>
    </x:row>
    <x:row r="114">
      <x:c r="A114" s="34"/>
      <x:c r="B114" s="34"/>
      <x:c r="C114" s="34"/>
      <x:c r="D114" s="34"/>
      <x:c r="E114" s="34"/>
      <x:c r="F114" s="34"/>
      <x:c r="G114" s="34"/>
      <x:c r="H114" s="34"/>
      <x:c r="I114" s="34"/>
    </x:row>
    <x:row r="115">
      <x:c r="A115" s="34"/>
      <x:c r="B115" s="34"/>
      <x:c r="C115" s="34"/>
      <x:c r="D115" s="34"/>
      <x:c r="E115" s="34"/>
      <x:c r="F115" s="34"/>
      <x:c r="G115" s="34"/>
      <x:c r="H115" s="34"/>
      <x:c r="I115" s="34"/>
    </x:row>
    <x:row r="116">
      <x:c r="A116" s="34"/>
      <x:c r="B116" s="34"/>
      <x:c r="C116" s="34"/>
      <x:c r="D116" s="34"/>
      <x:c r="E116" s="34"/>
      <x:c r="F116" s="34"/>
      <x:c r="G116" s="34"/>
      <x:c r="H116" s="34"/>
      <x:c r="I116" s="34"/>
    </x:row>
    <x:row r="117">
      <x:c r="A117" s="34"/>
      <x:c r="B117" s="34"/>
      <x:c r="C117" s="34"/>
      <x:c r="D117" s="34"/>
      <x:c r="E117" s="34"/>
      <x:c r="F117" s="34"/>
      <x:c r="G117" s="34"/>
      <x:c r="H117" s="34"/>
      <x:c r="I117" s="34"/>
    </x:row>
    <x:row r="118">
      <x:c r="A118" s="34"/>
      <x:c r="B118" s="34"/>
      <x:c r="C118" s="34"/>
      <x:c r="D118" s="34"/>
      <x:c r="E118" s="34"/>
      <x:c r="F118" s="34"/>
      <x:c r="G118" s="34"/>
      <x:c r="H118" s="34"/>
      <x:c r="I118" s="34"/>
    </x:row>
    <x:row r="119">
      <x:c r="A119" s="34"/>
      <x:c r="B119" s="34"/>
      <x:c r="C119" s="34"/>
      <x:c r="D119" s="34"/>
      <x:c r="E119" s="34"/>
      <x:c r="F119" s="34"/>
      <x:c r="G119" s="34"/>
      <x:c r="H119" s="34"/>
      <x:c r="I119" s="34"/>
    </x:row>
    <x:row r="120">
      <x:c r="A120" s="34"/>
      <x:c r="B120" s="34"/>
      <x:c r="C120" s="34"/>
      <x:c r="D120" s="34"/>
      <x:c r="E120" s="34"/>
      <x:c r="F120" s="34"/>
      <x:c r="G120" s="34"/>
      <x:c r="H120" s="34"/>
      <x:c r="I120" s="34"/>
    </x:row>
    <x:row r="121">
      <x:c r="A121" s="34"/>
      <x:c r="B121" s="34"/>
      <x:c r="C121" s="34"/>
      <x:c r="D121" s="34"/>
      <x:c r="E121" s="34"/>
      <x:c r="F121" s="34"/>
      <x:c r="G121" s="34"/>
      <x:c r="H121" s="34"/>
      <x:c r="I121" s="34"/>
    </x:row>
    <x:row r="122">
      <x:c r="A122" s="34"/>
      <x:c r="B122" s="34"/>
      <x:c r="C122" s="34"/>
      <x:c r="D122" s="34"/>
      <x:c r="E122" s="34"/>
      <x:c r="F122" s="34"/>
      <x:c r="G122" s="34"/>
      <x:c r="H122" s="34"/>
      <x:c r="I122" s="34"/>
    </x:row>
    <x:row r="123">
      <x:c r="A123" s="34"/>
      <x:c r="B123" s="34"/>
      <x:c r="C123" s="34"/>
      <x:c r="D123" s="34"/>
      <x:c r="E123" s="34"/>
      <x:c r="F123" s="34"/>
      <x:c r="G123" s="34"/>
      <x:c r="H123" s="34"/>
      <x:c r="I123" s="34"/>
    </x:row>
    <x:row r="124">
      <x:c r="A124" s="34"/>
      <x:c r="B124" s="34"/>
      <x:c r="C124" s="34"/>
      <x:c r="D124" s="34"/>
      <x:c r="E124" s="34"/>
      <x:c r="F124" s="34"/>
      <x:c r="G124" s="34"/>
      <x:c r="H124" s="34"/>
      <x:c r="I124" s="34"/>
    </x:row>
    <x:row r="125">
      <x:c r="A125" s="34"/>
      <x:c r="B125" s="34"/>
      <x:c r="C125" s="34"/>
      <x:c r="D125" s="34"/>
      <x:c r="E125" s="34"/>
      <x:c r="F125" s="34"/>
      <x:c r="G125" s="34"/>
      <x:c r="H125" s="34"/>
      <x:c r="I125" s="34"/>
    </x:row>
    <x:row r="126">
      <x:c r="A126" s="34"/>
      <x:c r="B126" s="34"/>
      <x:c r="C126" s="34"/>
      <x:c r="D126" s="34"/>
      <x:c r="E126" s="34"/>
      <x:c r="F126" s="34"/>
      <x:c r="G126" s="34"/>
      <x:c r="H126" s="34"/>
      <x:c r="I126" s="34"/>
    </x:row>
    <x:row r="127">
      <x:c r="A127" s="34"/>
      <x:c r="B127" s="34"/>
      <x:c r="C127" s="34"/>
      <x:c r="D127" s="34"/>
      <x:c r="E127" s="34"/>
      <x:c r="F127" s="34"/>
      <x:c r="G127" s="34"/>
      <x:c r="H127" s="34"/>
      <x:c r="I127" s="34"/>
    </x:row>
    <x:row r="128">
      <x:c r="A128" s="34"/>
      <x:c r="B128" s="34"/>
      <x:c r="C128" s="34"/>
      <x:c r="D128" s="34"/>
      <x:c r="E128" s="34"/>
      <x:c r="F128" s="34"/>
      <x:c r="G128" s="34"/>
      <x:c r="H128" s="34"/>
      <x:c r="I128" s="34"/>
    </x:row>
    <x:row r="129">
      <x:c r="A129" s="34"/>
      <x:c r="B129" s="34"/>
      <x:c r="C129" s="34"/>
      <x:c r="D129" s="34"/>
      <x:c r="E129" s="34"/>
      <x:c r="F129" s="34"/>
      <x:c r="G129" s="34"/>
      <x:c r="H129" s="34"/>
      <x:c r="I129" s="34"/>
    </x:row>
    <x:row r="130">
      <x:c r="A130" s="34"/>
      <x:c r="B130" s="34"/>
      <x:c r="C130" s="34"/>
      <x:c r="D130" s="34"/>
      <x:c r="E130" s="34"/>
      <x:c r="F130" s="34"/>
      <x:c r="G130" s="34"/>
      <x:c r="H130" s="34"/>
      <x:c r="I130" s="34"/>
    </x:row>
    <x:row r="131">
      <x:c r="A131" s="34"/>
      <x:c r="B131" s="34"/>
      <x:c r="C131" s="34"/>
      <x:c r="D131" s="34"/>
      <x:c r="E131" s="34"/>
      <x:c r="F131" s="34"/>
      <x:c r="G131" s="34"/>
      <x:c r="H131" s="34"/>
      <x:c r="I131" s="34"/>
    </x:row>
    <x:row r="132">
      <x:c r="A132" s="34"/>
      <x:c r="B132" s="34"/>
      <x:c r="C132" s="34"/>
      <x:c r="D132" s="34"/>
      <x:c r="E132" s="34"/>
      <x:c r="F132" s="34"/>
      <x:c r="G132" s="34"/>
      <x:c r="H132" s="34"/>
      <x:c r="I132" s="34"/>
    </x:row>
    <x:row r="133">
      <x:c r="A133" s="34"/>
      <x:c r="B133" s="34"/>
      <x:c r="C133" s="34"/>
      <x:c r="D133" s="34"/>
      <x:c r="E133" s="34"/>
      <x:c r="F133" s="34"/>
      <x:c r="G133" s="34"/>
      <x:c r="H133" s="34"/>
      <x:c r="I133" s="34"/>
    </x:row>
    <x:row r="134">
      <x:c r="A134" s="34"/>
      <x:c r="B134" s="34"/>
      <x:c r="C134" s="34"/>
      <x:c r="D134" s="34"/>
      <x:c r="E134" s="34"/>
      <x:c r="F134" s="34"/>
      <x:c r="G134" s="34"/>
      <x:c r="H134" s="34"/>
      <x:c r="I134" s="34"/>
    </x:row>
    <x:row r="135">
      <x:c r="A135" s="34"/>
      <x:c r="B135" s="34"/>
      <x:c r="C135" s="34"/>
      <x:c r="D135" s="34"/>
      <x:c r="E135" s="34"/>
      <x:c r="F135" s="34"/>
      <x:c r="G135" s="34"/>
      <x:c r="H135" s="34"/>
      <x:c r="I135" s="34"/>
    </x:row>
    <x:row r="136">
      <x:c r="A136" s="34"/>
      <x:c r="B136" s="34"/>
      <x:c r="C136" s="34"/>
      <x:c r="D136" s="34"/>
      <x:c r="E136" s="34"/>
      <x:c r="F136" s="34"/>
      <x:c r="G136" s="34"/>
      <x:c r="H136" s="34"/>
      <x:c r="I136" s="34"/>
    </x:row>
    <x:row r="137">
      <x:c r="A137" s="34"/>
      <x:c r="B137" s="34"/>
      <x:c r="C137" s="34"/>
      <x:c r="D137" s="34"/>
      <x:c r="E137" s="34"/>
      <x:c r="F137" s="34"/>
      <x:c r="G137" s="34"/>
      <x:c r="H137" s="34"/>
      <x:c r="I137" s="34"/>
    </x:row>
    <x:row r="138">
      <x:c r="A138" s="34"/>
      <x:c r="B138" s="34"/>
      <x:c r="C138" s="34"/>
      <x:c r="D138" s="34"/>
      <x:c r="E138" s="34"/>
      <x:c r="F138" s="34"/>
      <x:c r="G138" s="34"/>
      <x:c r="H138" s="34"/>
      <x:c r="I138" s="34"/>
    </x:row>
    <x:row r="139">
      <x:c r="A139" s="34"/>
      <x:c r="B139" s="34"/>
      <x:c r="C139" s="34"/>
      <x:c r="D139" s="34"/>
      <x:c r="E139" s="34"/>
      <x:c r="F139" s="34"/>
      <x:c r="G139" s="34"/>
      <x:c r="H139" s="34"/>
      <x:c r="I139" s="34"/>
    </x:row>
    <x:row r="140">
      <x:c r="A140" s="34"/>
      <x:c r="B140" s="34"/>
      <x:c r="C140" s="34"/>
      <x:c r="D140" s="34"/>
      <x:c r="E140" s="34"/>
      <x:c r="F140" s="34"/>
      <x:c r="G140" s="34"/>
      <x:c r="H140" s="34"/>
      <x:c r="I140" s="34"/>
    </x:row>
    <x:row r="141">
      <x:c r="A141" s="34"/>
      <x:c r="B141" s="34"/>
      <x:c r="C141" s="34"/>
      <x:c r="D141" s="34"/>
      <x:c r="E141" s="34"/>
      <x:c r="F141" s="34"/>
      <x:c r="G141" s="34"/>
      <x:c r="H141" s="34"/>
      <x:c r="I141" s="34"/>
    </x:row>
    <x:row r="142">
      <x:c r="A142" s="34"/>
      <x:c r="B142" s="34"/>
      <x:c r="C142" s="34"/>
      <x:c r="D142" s="34"/>
      <x:c r="E142" s="34"/>
      <x:c r="F142" s="34"/>
      <x:c r="G142" s="34"/>
      <x:c r="H142" s="34"/>
      <x:c r="I142" s="34"/>
    </x:row>
    <x:row r="143">
      <x:c r="A143" s="34"/>
      <x:c r="B143" s="34"/>
      <x:c r="C143" s="34"/>
      <x:c r="D143" s="34"/>
      <x:c r="E143" s="34"/>
      <x:c r="F143" s="34"/>
      <x:c r="G143" s="34"/>
      <x:c r="H143" s="34"/>
      <x:c r="I143" s="34"/>
    </x:row>
    <x:row r="144">
      <x:c r="A144" s="34"/>
      <x:c r="B144" s="34"/>
      <x:c r="C144" s="34"/>
      <x:c r="D144" s="34"/>
      <x:c r="E144" s="34"/>
      <x:c r="F144" s="34"/>
      <x:c r="G144" s="34"/>
      <x:c r="H144" s="34"/>
      <x:c r="I144" s="34"/>
    </x:row>
    <x:row r="145">
      <x:c r="A145" s="34"/>
      <x:c r="B145" s="34"/>
      <x:c r="C145" s="34"/>
      <x:c r="D145" s="34"/>
      <x:c r="E145" s="34"/>
      <x:c r="F145" s="34"/>
      <x:c r="G145" s="34"/>
      <x:c r="H145" s="34"/>
      <x:c r="I145" s="34"/>
    </x:row>
    <x:row r="146">
      <x:c r="A146" s="34"/>
      <x:c r="B146" s="34"/>
      <x:c r="C146" s="34"/>
      <x:c r="D146" s="34"/>
      <x:c r="E146" s="34"/>
      <x:c r="F146" s="34"/>
      <x:c r="G146" s="34"/>
      <x:c r="H146" s="34"/>
      <x:c r="I146" s="34"/>
    </x:row>
    <x:row r="147">
      <x:c r="A147" s="34"/>
      <x:c r="B147" s="34"/>
      <x:c r="C147" s="34"/>
      <x:c r="D147" s="34"/>
      <x:c r="E147" s="34"/>
      <x:c r="F147" s="34"/>
      <x:c r="G147" s="34"/>
      <x:c r="H147" s="34"/>
      <x:c r="I147" s="34"/>
    </x:row>
    <x:row r="148">
      <x:c r="A148" s="34"/>
      <x:c r="B148" s="34"/>
      <x:c r="C148" s="34"/>
      <x:c r="D148" s="34"/>
      <x:c r="E148" s="34"/>
      <x:c r="F148" s="34"/>
      <x:c r="G148" s="34"/>
      <x:c r="H148" s="34"/>
      <x:c r="I148" s="34"/>
    </x:row>
    <x:row r="149">
      <x:c r="A149" s="34"/>
      <x:c r="B149" s="34"/>
      <x:c r="C149" s="34"/>
      <x:c r="D149" s="34"/>
      <x:c r="E149" s="34"/>
      <x:c r="F149" s="34"/>
      <x:c r="G149" s="34"/>
      <x:c r="H149" s="34"/>
      <x:c r="I149" s="34"/>
    </x:row>
    <x:row r="150">
      <x:c r="A150" s="34"/>
      <x:c r="B150" s="34"/>
      <x:c r="C150" s="34"/>
      <x:c r="D150" s="34"/>
      <x:c r="E150" s="34"/>
      <x:c r="F150" s="34"/>
      <x:c r="G150" s="34"/>
      <x:c r="H150" s="34"/>
      <x:c r="I150" s="34"/>
    </x:row>
    <x:row r="151">
      <x:c r="A151" s="34"/>
      <x:c r="B151" s="34"/>
      <x:c r="C151" s="34"/>
      <x:c r="D151" s="34"/>
      <x:c r="E151" s="34"/>
      <x:c r="F151" s="34"/>
      <x:c r="G151" s="34"/>
      <x:c r="H151" s="34"/>
      <x:c r="I151" s="34"/>
    </x:row>
    <x:row r="152">
      <x:c r="A152" s="34"/>
      <x:c r="B152" s="34"/>
      <x:c r="C152" s="34"/>
      <x:c r="D152" s="34"/>
      <x:c r="E152" s="34"/>
      <x:c r="F152" s="34"/>
      <x:c r="G152" s="34"/>
      <x:c r="H152" s="34"/>
      <x:c r="I152" s="34"/>
    </x:row>
    <x:row r="153">
      <x:c r="A153" s="34"/>
      <x:c r="B153" s="34"/>
      <x:c r="C153" s="34"/>
      <x:c r="D153" s="34"/>
      <x:c r="E153" s="34"/>
      <x:c r="F153" s="34"/>
      <x:c r="G153" s="34"/>
      <x:c r="H153" s="34"/>
      <x:c r="I153" s="34"/>
    </x:row>
    <x:row r="154">
      <x:c r="A154" s="34"/>
      <x:c r="B154" s="34"/>
      <x:c r="C154" s="34"/>
      <x:c r="D154" s="34"/>
      <x:c r="E154" s="34"/>
      <x:c r="F154" s="34"/>
      <x:c r="G154" s="34"/>
      <x:c r="H154" s="34"/>
      <x:c r="I154" s="34"/>
    </x:row>
    <x:row r="155">
      <x:c r="A155" s="34"/>
      <x:c r="B155" s="34"/>
      <x:c r="C155" s="34"/>
      <x:c r="D155" s="34"/>
      <x:c r="E155" s="34"/>
      <x:c r="F155" s="34"/>
      <x:c r="G155" s="34"/>
      <x:c r="H155" s="34"/>
      <x:c r="I155" s="34"/>
    </x:row>
    <x:row r="156">
      <x:c r="A156" s="34"/>
      <x:c r="B156" s="34"/>
      <x:c r="C156" s="34"/>
      <x:c r="D156" s="34"/>
      <x:c r="E156" s="34"/>
      <x:c r="F156" s="34"/>
      <x:c r="G156" s="34"/>
      <x:c r="H156" s="34"/>
      <x:c r="I156" s="34"/>
    </x:row>
    <x:row r="157">
      <x:c r="A157" s="34"/>
      <x:c r="B157" s="34"/>
      <x:c r="C157" s="34"/>
      <x:c r="D157" s="34"/>
      <x:c r="E157" s="34"/>
      <x:c r="F157" s="34"/>
      <x:c r="G157" s="34"/>
      <x:c r="H157" s="34"/>
      <x:c r="I157" s="34"/>
    </x:row>
    <x:row r="158">
      <x:c r="A158" s="34"/>
      <x:c r="B158" s="34"/>
      <x:c r="C158" s="34"/>
      <x:c r="D158" s="34"/>
      <x:c r="E158" s="34"/>
      <x:c r="F158" s="34"/>
      <x:c r="G158" s="34"/>
      <x:c r="H158" s="34"/>
      <x:c r="I158" s="34"/>
    </x:row>
    <x:row r="159">
      <x:c r="A159" s="34"/>
      <x:c r="B159" s="34"/>
      <x:c r="C159" s="34"/>
      <x:c r="D159" s="34"/>
      <x:c r="E159" s="34"/>
      <x:c r="F159" s="34"/>
      <x:c r="G159" s="34"/>
      <x:c r="H159" s="34"/>
      <x:c r="I159" s="34"/>
    </x:row>
    <x:row r="160">
      <x:c r="A160" s="34"/>
      <x:c r="B160" s="34"/>
      <x:c r="C160" s="34"/>
      <x:c r="D160" s="34"/>
      <x:c r="E160" s="34"/>
      <x:c r="F160" s="34"/>
      <x:c r="G160" s="34"/>
      <x:c r="H160" s="34"/>
      <x:c r="I160" s="34"/>
    </x:row>
    <x:row r="161">
      <x:c r="A161" s="34"/>
      <x:c r="B161" s="34"/>
      <x:c r="C161" s="34"/>
      <x:c r="D161" s="34"/>
      <x:c r="E161" s="34"/>
      <x:c r="F161" s="34"/>
      <x:c r="G161" s="34"/>
      <x:c r="H161" s="34"/>
      <x:c r="I161" s="34"/>
    </x:row>
    <x:row r="162">
      <x:c r="A162" s="34"/>
      <x:c r="B162" s="34"/>
      <x:c r="C162" s="34"/>
      <x:c r="D162" s="34"/>
      <x:c r="E162" s="34"/>
      <x:c r="F162" s="34"/>
      <x:c r="G162" s="34"/>
      <x:c r="H162" s="34"/>
      <x:c r="I162" s="34"/>
    </x:row>
    <x:row r="163">
      <x:c r="A163" s="34"/>
      <x:c r="B163" s="34"/>
      <x:c r="C163" s="34"/>
      <x:c r="D163" s="34"/>
      <x:c r="E163" s="34"/>
      <x:c r="F163" s="34"/>
      <x:c r="G163" s="34"/>
      <x:c r="H163" s="34"/>
      <x:c r="I163" s="34"/>
    </x:row>
    <x:row r="164">
      <x:c r="A164" s="34"/>
      <x:c r="B164" s="34"/>
      <x:c r="C164" s="34"/>
      <x:c r="D164" s="34"/>
      <x:c r="E164" s="34"/>
      <x:c r="F164" s="34"/>
      <x:c r="G164" s="34"/>
      <x:c r="H164" s="34"/>
      <x:c r="I164" s="34"/>
    </x:row>
    <x:row r="165">
      <x:c r="A165" s="34"/>
      <x:c r="B165" s="34"/>
      <x:c r="C165" s="34"/>
      <x:c r="D165" s="34"/>
      <x:c r="E165" s="34"/>
      <x:c r="F165" s="34"/>
      <x:c r="G165" s="34"/>
      <x:c r="H165" s="34"/>
      <x:c r="I165" s="34"/>
    </x:row>
    <x:row r="166">
      <x:c r="A166" s="34"/>
      <x:c r="B166" s="34"/>
      <x:c r="C166" s="34"/>
      <x:c r="D166" s="34"/>
      <x:c r="E166" s="34"/>
      <x:c r="F166" s="34"/>
      <x:c r="G166" s="34"/>
      <x:c r="H166" s="34"/>
      <x:c r="I166" s="34"/>
    </x:row>
    <x:row r="167">
      <x:c r="A167" s="34"/>
      <x:c r="B167" s="34"/>
      <x:c r="C167" s="34"/>
      <x:c r="D167" s="34"/>
      <x:c r="E167" s="34"/>
      <x:c r="F167" s="34"/>
      <x:c r="G167" s="34"/>
      <x:c r="H167" s="34"/>
      <x:c r="I167" s="34"/>
    </x:row>
    <x:row r="168">
      <x:c r="A168" s="34"/>
      <x:c r="B168" s="34"/>
      <x:c r="C168" s="34"/>
      <x:c r="D168" s="34"/>
      <x:c r="E168" s="34"/>
      <x:c r="F168" s="34"/>
      <x:c r="G168" s="34"/>
      <x:c r="H168" s="34"/>
      <x:c r="I168" s="34"/>
    </x:row>
    <x:row r="169">
      <x:c r="A169" s="34"/>
      <x:c r="B169" s="34"/>
      <x:c r="C169" s="34"/>
      <x:c r="D169" s="34"/>
      <x:c r="E169" s="34"/>
      <x:c r="F169" s="34"/>
      <x:c r="G169" s="34"/>
      <x:c r="H169" s="34"/>
      <x:c r="I169" s="34"/>
    </x:row>
    <x:row r="170">
      <x:c r="A170" s="34"/>
      <x:c r="B170" s="34"/>
      <x:c r="C170" s="34"/>
      <x:c r="D170" s="34"/>
      <x:c r="E170" s="34"/>
      <x:c r="F170" s="34"/>
      <x:c r="G170" s="34"/>
      <x:c r="H170" s="34"/>
      <x:c r="I170" s="34"/>
    </x:row>
    <x:row r="171">
      <x:c r="A171" s="34"/>
      <x:c r="B171" s="34"/>
      <x:c r="C171" s="34"/>
      <x:c r="D171" s="34"/>
      <x:c r="E171" s="34"/>
      <x:c r="F171" s="34"/>
      <x:c r="G171" s="34"/>
      <x:c r="H171" s="34"/>
      <x:c r="I171" s="34"/>
    </x:row>
    <x:row r="172">
      <x:c r="A172" s="34"/>
      <x:c r="B172" s="34"/>
      <x:c r="C172" s="34"/>
      <x:c r="D172" s="34"/>
      <x:c r="E172" s="34"/>
      <x:c r="F172" s="34"/>
      <x:c r="G172" s="34"/>
      <x:c r="H172" s="34"/>
      <x:c r="I172" s="34"/>
    </x:row>
    <x:row r="173">
      <x:c r="A173" s="34"/>
      <x:c r="B173" s="34"/>
      <x:c r="C173" s="34"/>
      <x:c r="D173" s="34"/>
      <x:c r="E173" s="34"/>
      <x:c r="F173" s="34"/>
      <x:c r="G173" s="34"/>
      <x:c r="H173" s="34"/>
      <x:c r="I173" s="34"/>
    </x:row>
    <x:row r="174">
      <x:c r="A174" s="34"/>
      <x:c r="B174" s="34"/>
      <x:c r="C174" s="34"/>
      <x:c r="D174" s="34"/>
      <x:c r="E174" s="34"/>
      <x:c r="F174" s="34"/>
      <x:c r="G174" s="34"/>
      <x:c r="H174" s="34"/>
      <x:c r="I174" s="34"/>
    </x:row>
    <x:row r="175">
      <x:c r="A175" s="34"/>
      <x:c r="B175" s="34"/>
      <x:c r="C175" s="34"/>
      <x:c r="D175" s="34"/>
      <x:c r="E175" s="34"/>
      <x:c r="F175" s="34"/>
      <x:c r="G175" s="34"/>
      <x:c r="H175" s="34"/>
      <x:c r="I175" s="34"/>
    </x:row>
    <x:row r="176">
      <x:c r="A176" s="34"/>
      <x:c r="B176" s="34"/>
      <x:c r="C176" s="34"/>
      <x:c r="D176" s="34"/>
      <x:c r="E176" s="34"/>
      <x:c r="F176" s="34"/>
      <x:c r="G176" s="34"/>
      <x:c r="H176" s="34"/>
      <x:c r="I176" s="34"/>
    </x:row>
    <x:row r="177">
      <x:c r="A177" s="34"/>
      <x:c r="B177" s="34"/>
      <x:c r="C177" s="34"/>
      <x:c r="D177" s="34"/>
      <x:c r="E177" s="34"/>
      <x:c r="F177" s="34"/>
      <x:c r="G177" s="34"/>
      <x:c r="H177" s="34"/>
      <x:c r="I177" s="34"/>
    </x:row>
    <x:row r="178">
      <x:c r="A178" s="34"/>
      <x:c r="B178" s="34"/>
      <x:c r="C178" s="34"/>
      <x:c r="D178" s="34"/>
      <x:c r="E178" s="34"/>
      <x:c r="F178" s="34"/>
      <x:c r="G178" s="34"/>
      <x:c r="H178" s="34"/>
      <x:c r="I178" s="34"/>
    </x:row>
    <x:row r="179">
      <x:c r="A179" s="34"/>
      <x:c r="B179" s="34"/>
      <x:c r="C179" s="34"/>
      <x:c r="D179" s="34"/>
      <x:c r="E179" s="34"/>
      <x:c r="F179" s="34"/>
      <x:c r="G179" s="34"/>
      <x:c r="H179" s="34"/>
      <x:c r="I179" s="34"/>
    </x:row>
    <x:row r="180">
      <x:c r="A180" s="34"/>
      <x:c r="B180" s="34"/>
      <x:c r="C180" s="34"/>
      <x:c r="D180" s="34"/>
      <x:c r="E180" s="34"/>
      <x:c r="F180" s="34"/>
      <x:c r="G180" s="34"/>
      <x:c r="H180" s="34"/>
      <x:c r="I180" s="34"/>
    </x:row>
    <x:row r="181">
      <x:c r="A181" s="34"/>
      <x:c r="B181" s="34"/>
      <x:c r="C181" s="34"/>
      <x:c r="D181" s="34"/>
      <x:c r="E181" s="34"/>
      <x:c r="F181" s="34"/>
      <x:c r="G181" s="34"/>
      <x:c r="H181" s="34"/>
      <x:c r="I181" s="34"/>
    </x:row>
    <x:row r="182">
      <x:c r="A182" s="34"/>
      <x:c r="B182" s="34"/>
      <x:c r="C182" s="34"/>
      <x:c r="D182" s="34"/>
      <x:c r="E182" s="34"/>
      <x:c r="F182" s="34"/>
      <x:c r="G182" s="34"/>
      <x:c r="H182" s="34"/>
      <x:c r="I182" s="34"/>
    </x:row>
    <x:row r="183">
      <x:c r="A183" s="34"/>
      <x:c r="B183" s="34"/>
      <x:c r="C183" s="34"/>
      <x:c r="D183" s="34"/>
      <x:c r="E183" s="34"/>
      <x:c r="F183" s="34"/>
      <x:c r="G183" s="34"/>
      <x:c r="H183" s="34"/>
      <x:c r="I183" s="34"/>
    </x:row>
    <x:row r="184">
      <x:c r="A184" s="34"/>
      <x:c r="B184" s="34"/>
      <x:c r="C184" s="34"/>
      <x:c r="D184" s="34"/>
      <x:c r="E184" s="34"/>
      <x:c r="F184" s="34"/>
      <x:c r="G184" s="34"/>
      <x:c r="H184" s="34"/>
      <x:c r="I184" s="34"/>
    </x:row>
    <x:row r="185">
      <x:c r="A185" s="34"/>
      <x:c r="B185" s="34"/>
      <x:c r="C185" s="34"/>
      <x:c r="D185" s="34"/>
      <x:c r="E185" s="34"/>
      <x:c r="F185" s="34"/>
      <x:c r="G185" s="34"/>
      <x:c r="H185" s="34"/>
      <x:c r="I185" s="34"/>
    </x:row>
    <x:row r="186">
      <x:c r="A186" s="34"/>
      <x:c r="B186" s="34"/>
      <x:c r="C186" s="34"/>
      <x:c r="D186" s="34"/>
      <x:c r="E186" s="34"/>
      <x:c r="F186" s="34"/>
      <x:c r="G186" s="34"/>
      <x:c r="H186" s="34"/>
      <x:c r="I186" s="34"/>
    </x:row>
    <x:row r="187">
      <x:c r="A187" s="34"/>
      <x:c r="B187" s="34"/>
      <x:c r="C187" s="34"/>
      <x:c r="D187" s="34"/>
      <x:c r="E187" s="34"/>
      <x:c r="F187" s="34"/>
      <x:c r="G187" s="34"/>
      <x:c r="H187" s="34"/>
      <x:c r="I187" s="34"/>
    </x:row>
    <x:row r="188">
      <x:c r="A188" s="34"/>
      <x:c r="B188" s="34"/>
      <x:c r="C188" s="34"/>
      <x:c r="D188" s="34"/>
      <x:c r="E188" s="34"/>
      <x:c r="F188" s="34"/>
      <x:c r="G188" s="34"/>
      <x:c r="H188" s="34"/>
      <x:c r="I188" s="34"/>
    </x:row>
    <x:row r="189">
      <x:c r="A189" s="34"/>
      <x:c r="B189" s="34"/>
      <x:c r="C189" s="34"/>
      <x:c r="D189" s="34"/>
      <x:c r="E189" s="34"/>
      <x:c r="F189" s="34"/>
      <x:c r="G189" s="34"/>
      <x:c r="H189" s="34"/>
      <x:c r="I189" s="34"/>
    </x:row>
    <x:row r="190">
      <x:c r="A190" s="34"/>
      <x:c r="B190" s="34"/>
      <x:c r="C190" s="34"/>
      <x:c r="D190" s="34"/>
      <x:c r="E190" s="34"/>
      <x:c r="F190" s="34"/>
      <x:c r="G190" s="34"/>
      <x:c r="H190" s="34"/>
      <x:c r="I190" s="34"/>
    </x:row>
    <x:row r="191">
      <x:c r="A191" s="34"/>
      <x:c r="B191" s="34"/>
      <x:c r="C191" s="34"/>
      <x:c r="D191" s="34"/>
      <x:c r="E191" s="34"/>
      <x:c r="F191" s="34"/>
      <x:c r="G191" s="34"/>
      <x:c r="H191" s="34"/>
      <x:c r="I191" s="34"/>
    </x:row>
    <x:row r="192">
      <x:c r="A192" s="34"/>
      <x:c r="B192" s="34"/>
      <x:c r="C192" s="34"/>
      <x:c r="D192" s="34"/>
      <x:c r="E192" s="34"/>
      <x:c r="F192" s="34"/>
      <x:c r="G192" s="34"/>
      <x:c r="H192" s="34"/>
      <x:c r="I192" s="34"/>
    </x:row>
    <x:row r="193">
      <x:c r="A193" s="34"/>
      <x:c r="B193" s="34"/>
      <x:c r="C193" s="34"/>
      <x:c r="D193" s="34"/>
      <x:c r="E193" s="34"/>
      <x:c r="F193" s="34"/>
      <x:c r="G193" s="34"/>
      <x:c r="H193" s="34"/>
      <x:c r="I193" s="34"/>
    </x:row>
    <x:row r="194">
      <x:c r="A194" s="34"/>
      <x:c r="B194" s="34"/>
      <x:c r="C194" s="34"/>
      <x:c r="D194" s="34"/>
      <x:c r="E194" s="34"/>
      <x:c r="F194" s="34"/>
      <x:c r="G194" s="34"/>
      <x:c r="H194" s="34"/>
      <x:c r="I194" s="34"/>
    </x:row>
    <x:row r="195">
      <x:c r="A195" s="34"/>
      <x:c r="B195" s="34"/>
      <x:c r="C195" s="34"/>
      <x:c r="D195" s="34"/>
      <x:c r="E195" s="34"/>
      <x:c r="F195" s="34"/>
      <x:c r="G195" s="34"/>
      <x:c r="H195" s="34"/>
      <x:c r="I195" s="34"/>
    </x:row>
    <x:row r="196">
      <x:c r="A196" s="34"/>
      <x:c r="B196" s="34"/>
      <x:c r="C196" s="34"/>
      <x:c r="D196" s="34"/>
      <x:c r="E196" s="34"/>
      <x:c r="F196" s="34"/>
      <x:c r="G196" s="34"/>
      <x:c r="H196" s="34"/>
      <x:c r="I196" s="34"/>
    </x:row>
    <x:row r="197">
      <x:c r="A197" s="34"/>
      <x:c r="B197" s="34"/>
      <x:c r="C197" s="34"/>
      <x:c r="D197" s="34"/>
      <x:c r="E197" s="34"/>
      <x:c r="F197" s="34"/>
      <x:c r="G197" s="34"/>
      <x:c r="H197" s="34"/>
      <x:c r="I197" s="34"/>
    </x:row>
    <x:row r="198">
      <x:c r="A198" s="34"/>
      <x:c r="B198" s="34"/>
      <x:c r="C198" s="34"/>
      <x:c r="D198" s="34"/>
      <x:c r="E198" s="34"/>
      <x:c r="F198" s="34"/>
      <x:c r="G198" s="34"/>
      <x:c r="H198" s="34"/>
      <x:c r="I198" s="34"/>
    </x:row>
    <x:row r="199">
      <x:c r="A199" s="34"/>
      <x:c r="B199" s="34"/>
      <x:c r="C199" s="34"/>
      <x:c r="D199" s="34"/>
      <x:c r="E199" s="34"/>
      <x:c r="F199" s="34"/>
      <x:c r="G199" s="34"/>
      <x:c r="H199" s="34"/>
      <x:c r="I199" s="34"/>
    </x:row>
    <x:row r="200">
      <x:c r="A200" s="34"/>
      <x:c r="B200" s="34"/>
      <x:c r="C200" s="34"/>
      <x:c r="D200" s="34"/>
      <x:c r="E200" s="34"/>
      <x:c r="F200" s="34"/>
      <x:c r="G200" s="34"/>
      <x:c r="H200" s="34"/>
      <x:c r="I200" s="34"/>
    </x:row>
  </x:sheetData>
  <x:pageMargins left="0.7" right="0.7" top="0.75" bottom="0.75" header="0.3" footer="0.3"/>
  <x:tableParts count="1">
    <x:tablePart xmlns:r="http://schemas.openxmlformats.org/officeDocument/2006/relationships" r:id="R3710a45f39cb4839"/>
  </x:tableParts>
</x:worksheet>
</file>

<file path=xl/worksheets/sheet4.xml><?xml version="1.0" encoding="utf-8"?>
<x:worksheet xmlns:x="http://schemas.openxmlformats.org/spreadsheetml/2006/main">
  <x:sheetFormatPr defaultRowHeight="15"/>
  <x:cols>
    <x:col min="1" max="1" width="12" hidden="0" customWidth="1"/>
    <x:col min="2" max="2" width="22" hidden="0" customWidth="1"/>
    <x:col min="3" max="3" width="52" hidden="0" customWidth="1"/>
    <x:col min="4" max="4" width="44" hidden="0" customWidth="1"/>
    <x:col min="5" max="5" width="14" hidden="0" customWidth="1"/>
    <x:col min="6" max="6" width="48" hidden="0" customWidth="1"/>
    <x:col min="7" max="7" width="54" hidden="0" customWidth="1"/>
  </x:cols>
  <x:sheetData>
    <x:row r="1" ht="15" hidden="0" customHeight="1">
      <x:c r="A1" s="32" t="str">
        <x:v>Verification ID</x:v>
      </x:c>
      <x:c r="B1" s="32" t="str">
        <x:v>Subject</x:v>
      </x:c>
      <x:c r="C1" s="32" t="str">
        <x:v>Claim</x:v>
      </x:c>
      <x:c r="D1" s="32" t="str">
        <x:v>Finding</x:v>
      </x:c>
      <x:c r="E1" s="32" t="str">
        <x:v>Confidence</x:v>
      </x:c>
      <x:c r="F1" s="32" t="str">
        <x:v>Verification Source URL</x:v>
      </x:c>
      <x:c r="G1" s="32" t="str">
        <x:v>Limit / Interpretation</x:v>
      </x:c>
    </x:row>
    <x:row r="2" ht="26.399999618530273" hidden="0" customHeight="1">
      <x:c r="A2" s="34" t="str">
        <x:v>V-001</x:v>
      </x:c>
      <x:c r="B2" s="34" t="str">
        <x:v>BMXMuseum scale</x:v>
      </x:c>
      <x:c r="C2" s="34" t="str">
        <x:v>The site reached approximately 90,000 submitted bicycles by June 1, 2026.</x:v>
      </x:c>
      <x:c r="D2" s="34" t="str">
        <x:v>Verified as an official BMXMuseum/GAry Sansom milestone statement</x:v>
      </x:c>
      <x:c r="E2" s="34" t="str">
        <x:v>HIGH</x:v>
      </x:c>
      <x:c r="F2" s="34" t="str">
        <x:v>https://www.instagram.com/p/DZDYKuAGvmT/</x:v>
      </x:c>
      <x:c r="G2" s="34" t="str">
        <x:v>This is a site-submission count, not a count of unique factory models or independently authenticated bicycles.</x:v>
      </x:c>
    </x:row>
    <x:row r="3" ht="26.399999618530273" hidden="0" customHeight="1">
      <x:c r="A3" s="34" t="str">
        <x:v>V-002</x:v>
      </x:c>
      <x:c r="B3" s="34" t="str">
        <x:v>BMXMuseum growth</x:v>
      </x:c>
      <x:c r="C3" s="34" t="str">
        <x:v>The official Reddit feed announced 78,000 bikes on September 1, 2022.</x:v>
      </x:c>
      <x:c r="D3" s="34" t="str">
        <x:v>Verified as an official account statement</x:v>
      </x:c>
      <x:c r="E3" s="34" t="str">
        <x:v>HIGH</x:v>
      </x:c>
      <x:c r="F3" s="34" t="str">
        <x:v>https://www.reddit.com/user/bmxmuseum/?after=dDNfMTBkdmozNg%3D%3D&amp;sort=new</x:v>
      </x:c>
      <x:c r="G3" s="34" t="str">
        <x:v>Useful for growth chronology; not independently audited.</x:v>
      </x:c>
    </x:row>
    <x:row r="4" ht="26.399999618530273" hidden="0" customHeight="1">
      <x:c r="A4" s="34" t="str">
        <x:v>V-003</x:v>
      </x:c>
      <x:c r="B4" s="34" t="str">
        <x:v>GT recall</x:v>
      </x:c>
      <x:c r="C4" s="34" t="str">
        <x:v>1995-1998 GT Speed Series XL/XXL, Speed Series Team and Cruiser frames/bicycles were included in a CPSC recall.</x:v>
      </x:c>
      <x:c r="D4" s="34" t="str">
        <x:v>Verified by U.S. Consumer Product Safety Commission</x:v>
      </x:c>
      <x:c r="E4" s="34" t="str">
        <x:v>HIGH</x:v>
      </x:c>
      <x:c r="F4" s="34" t="str">
        <x:v>https://www.cpsc.gov/Recalls/1998/cpsc-gt-bicycles-announce-recall-of-bicycle-frames</x:v>
      </x:c>
      <x:c r="G4" s="34" t="str">
        <x:v>This supports safety/identification context for the 1997 Team XL lead; serial/model applicability must still be checked per bicycle.</x:v>
      </x:c>
    </x:row>
    <x:row r="5" ht="26.399999618530273" hidden="0" customHeight="1">
      <x:c r="A5" s="34" t="str">
        <x:v>V-004</x:v>
      </x:c>
      <x:c r="B5" s="34" t="str">
        <x:v>JMC Darrell Young chronology</x:v>
      </x:c>
      <x:c r="C5" s="34" t="str">
        <x:v>JMC introduced the Darrell Young Design on October 24, 1983.</x:v>
      </x:c>
      <x:c r="D5" s="34" t="str">
        <x:v>Supported by a detailed JMC history synthesis and period-source references</x:v>
      </x:c>
      <x:c r="E5" s="34" t="str">
        <x:v>MEDIUM-HIGH</x:v>
      </x:c>
      <x:c r="F5" s="34" t="str">
        <x:v>https://legendbikeco.com/pages/jmc-history</x:v>
      </x:c>
      <x:c r="G5" s="34" t="str">
        <x:v>Supports plausibility of a 1984 record; does not authenticate record 119290.</x:v>
      </x:c>
    </x:row>
    <x:row r="6" ht="26.399999618530273" hidden="0" customHeight="1">
      <x:c r="A6" s="34" t="str">
        <x:v>V-005</x:v>
      </x:c>
      <x:c r="B6" s="34" t="str">
        <x:v>JMC Andy Patterson model</x:v>
      </x:c>
      <x:c r="C6" s="34" t="str">
        <x:v>The JMC Andy Patterson frameset existed in the 1984-1985 period.</x:v>
      </x:c>
      <x:c r="D6" s="34" t="str">
        <x:v>Period BMX Action PDF located; page-image verification remains pending</x:v>
      </x:c>
      <x:c r="E6" s="34" t="str">
        <x:v>PENDING</x:v>
      </x:c>
      <x:c r="F6" s="34" t="str">
        <x:v>https://oldschoolmags.com/mags/BMXA_8501.pdf</x:v>
      </x:c>
      <x:c r="G6" s="34" t="str">
        <x:v>The source is cataloged for follow-up, but it is not counted as fully verified because the research browser could not render the large PDF for page-image inspection.</x:v>
      </x:c>
    </x:row>
    <x:row r="7" ht="26.399999618530273" hidden="0" customHeight="1">
      <x:c r="A7" s="34" t="str">
        <x:v>V-006</x:v>
      </x:c>
      <x:c r="B7" s="34" t="str">
        <x:v>Mongoose Supergoose chronology</x:v>
      </x:c>
      <x:c r="C7" s="34" t="str">
        <x:v>Mongoose states the Supergoose first launched in 1979.</x:v>
      </x:c>
      <x:c r="D7" s="34" t="str">
        <x:v>Verified by current official Mongoose heritage material</x:v>
      </x:c>
      <x:c r="E7" s="34" t="str">
        <x:v>HIGH</x:v>
      </x:c>
      <x:c r="F7" s="34" t="str">
        <x:v>https://www.mongoose.com/blogs/news/mongoose-special-edition-classic-bmx-bikes-to-return</x:v>
      </x:c>
      <x:c r="G7" s="34" t="str">
        <x:v>Does not establish year or originality of BMXMuseum record 135623.</x:v>
      </x:c>
    </x:row>
    <x:row r="8" ht="15" hidden="0" customHeight="1">
      <x:c r="A8" s="34" t="str">
        <x:v>V-007</x:v>
      </x:c>
      <x:c r="B8" s="34" t="str">
        <x:v>Mongoose brand origin</x:v>
      </x:c>
      <x:c r="C8" s="34" t="str">
        <x:v>Mongoose traces its origin to Skip Hess's Motomag work in 1974.</x:v>
      </x:c>
      <x:c r="D8" s="34" t="str">
        <x:v>Verified by official Mongoose history</x:v>
      </x:c>
      <x:c r="E8" s="34" t="str">
        <x:v>HIGH</x:v>
      </x:c>
      <x:c r="F8" s="34" t="str">
        <x:v>https://www.mongoose.com/pages/mongoose-legacy</x:v>
      </x:c>
      <x:c r="G8" s="34" t="str">
        <x:v>Brand-history context only.</x:v>
      </x:c>
    </x:row>
    <x:row r="9" ht="26.399999618530273" hidden="0" customHeight="1">
      <x:c r="A9" s="34" t="str">
        <x:v>V-008</x:v>
      </x:c>
      <x:c r="B9" s="34" t="str">
        <x:v>GT historical context</x:v>
      </x:c>
      <x:c r="C9" s="34" t="str">
        <x:v>GT's official history identifies 1981-1986 as a major BMX racing and freestyle era.</x:v>
      </x:c>
      <x:c r="D9" s="34" t="str">
        <x:v>Verified by official GT history</x:v>
      </x:c>
      <x:c r="E9" s="34" t="str">
        <x:v>HIGH</x:v>
      </x:c>
      <x:c r="F9" s="34" t="str">
        <x:v>https://gtbicycles.com/pages/about-us</x:v>
      </x:c>
      <x:c r="G9" s="34" t="str">
        <x:v>Supports broad chronology, not exact specifications for individual records.</x:v>
      </x:c>
    </x:row>
    <x:row r="10" ht="26.399999618530273" hidden="0" customHeight="1">
      <x:c r="A10" s="34" t="str">
        <x:v>V-009</x:v>
      </x:c>
      <x:c r="B10" s="34" t="str">
        <x:v>Haro archive availability</x:v>
      </x:c>
      <x:c r="C10" s="34" t="str">
        <x:v>Haro maintains an official archive with BMX year categories including 1987 and 1999.</x:v>
      </x:c>
      <x:c r="D10" s="34" t="str">
        <x:v>Verified by official Haro archive</x:v>
      </x:c>
      <x:c r="E10" s="34" t="str">
        <x:v>HIGH</x:v>
      </x:c>
      <x:c r="F10" s="34" t="str">
        <x:v>https://archive.harobikes.com/bmx</x:v>
      </x:c>
      <x:c r="G10" s="34" t="str">
        <x:v>Model-level checks for Team Master and Master remain to be completed.</x:v>
      </x:c>
    </x:row>
    <x:row r="11" ht="26.399999618530273" hidden="0" customHeight="1">
      <x:c r="A11" s="34" t="str">
        <x:v>V-010</x:v>
      </x:c>
      <x:c r="B11" s="34" t="str">
        <x:v>Kuwahara Bravo</x:v>
      </x:c>
      <x:c r="C11" s="34" t="str">
        <x:v>A 1985 Kuwahara Bravo model is documented in specialist references.</x:v>
      </x:c>
      <x:c r="D11" s="34" t="str">
        <x:v>Model existence supported; primary catalog verification still desired</x:v>
      </x:c>
      <x:c r="E11" s="34" t="str">
        <x:v>MEDIUM</x:v>
      </x:c>
      <x:c r="F11" s="34" t="str">
        <x:v>https://kuwahara-bmx.com/kuwahara-bravo/</x:v>
      </x:c>
      <x:c r="G11" s="34" t="str">
        <x:v>Do not apply one restored bike's component list to all Bravo examples.</x:v>
      </x:c>
    </x:row>
    <x:row r="12" ht="26.399999618530273" hidden="0" customHeight="1">
      <x:c r="A12" s="34" t="str">
        <x:v>V-011</x:v>
      </x:c>
      <x:c r="B12" s="34" t="str">
        <x:v>BMXMuseum philosophy</x:v>
      </x:c>
      <x:c r="C12" s="34" t="str">
        <x:v>Gary Sansom has described BMXMuseum as accepting all bikes in its database.</x:v>
      </x:c>
      <x:c r="D12" s="34" t="str">
        <x:v>Supported by a published interview/profile</x:v>
      </x:c>
      <x:c r="E12" s="34" t="str">
        <x:v>MEDIUM-HIGH</x:v>
      </x:c>
      <x:c r="F12" s="34" t="str">
        <x:v>https://www.icebike.org/gary-sansom-bmxmuseum-bike-collection/</x:v>
      </x:c>
      <x:c r="G12" s="34" t="str">
        <x:v>Explains why the database includes customs, tributes, restorations and ordinary bikes—not only factory-original museum specimens.</x:v>
      </x:c>
    </x:row>
    <x:row r="13" ht="26.399999618530273" hidden="0" customHeight="1">
      <x:c r="A13" s="34" t="str">
        <x:v>V-012</x:v>
      </x:c>
      <x:c r="B13" s="34" t="str">
        <x:v>Gary Sansom role</x:v>
      </x:c>
      <x:c r="C13" s="34" t="str">
        <x:v>Gary Sansom publicly identifies himself as creator and curator of BMXMuseum.com.</x:v>
      </x:c>
      <x:c r="D13" s="34" t="str">
        <x:v>Verified by his official Instagram profile and published interviews</x:v>
      </x:c>
      <x:c r="E13" s="34" t="str">
        <x:v>HIGH</x:v>
      </x:c>
      <x:c r="F13" s="34" t="str">
        <x:v>https://www.instagram.com/bmxmuseumdotcom/</x:v>
      </x:c>
      <x:c r="G13" s="34" t="str">
        <x:v>Supports treating his linked social posts as first-party discovery evidence about what was added to the site.</x:v>
      </x:c>
    </x:row>
    <x:row r="14">
      <x:c r="A14" s="34"/>
      <x:c r="B14" s="34"/>
      <x:c r="C14" s="34"/>
      <x:c r="D14" s="34"/>
      <x:c r="E14" s="34"/>
      <x:c r="F14" s="34"/>
      <x:c r="G14" s="34"/>
    </x:row>
    <x:row r="15">
      <x:c r="A15" s="34"/>
      <x:c r="B15" s="34"/>
      <x:c r="C15" s="34"/>
      <x:c r="D15" s="34"/>
      <x:c r="E15" s="34"/>
      <x:c r="F15" s="34"/>
      <x:c r="G15" s="34"/>
    </x:row>
    <x:row r="16">
      <x:c r="A16" s="34"/>
      <x:c r="B16" s="34"/>
      <x:c r="C16" s="34"/>
      <x:c r="D16" s="34"/>
      <x:c r="E16" s="34"/>
      <x:c r="F16" s="34"/>
      <x:c r="G16" s="34"/>
    </x:row>
    <x:row r="17">
      <x:c r="A17" s="34"/>
      <x:c r="B17" s="34"/>
      <x:c r="C17" s="34"/>
      <x:c r="D17" s="34"/>
      <x:c r="E17" s="34"/>
      <x:c r="F17" s="34"/>
      <x:c r="G17" s="34"/>
    </x:row>
    <x:row r="18">
      <x:c r="A18" s="34"/>
      <x:c r="B18" s="34"/>
      <x:c r="C18" s="34"/>
      <x:c r="D18" s="34"/>
      <x:c r="E18" s="34"/>
      <x:c r="F18" s="34"/>
      <x:c r="G18" s="34"/>
    </x:row>
    <x:row r="19">
      <x:c r="A19" s="34"/>
      <x:c r="B19" s="34"/>
      <x:c r="C19" s="34"/>
      <x:c r="D19" s="34"/>
      <x:c r="E19" s="34"/>
      <x:c r="F19" s="34"/>
      <x:c r="G19" s="34"/>
    </x:row>
    <x:row r="20">
      <x:c r="A20" s="34"/>
      <x:c r="B20" s="34"/>
      <x:c r="C20" s="34"/>
      <x:c r="D20" s="34"/>
      <x:c r="E20" s="34"/>
      <x:c r="F20" s="34"/>
      <x:c r="G20" s="34"/>
    </x:row>
    <x:row r="21">
      <x:c r="A21" s="34"/>
      <x:c r="B21" s="34"/>
      <x:c r="C21" s="34"/>
      <x:c r="D21" s="34"/>
      <x:c r="E21" s="34"/>
      <x:c r="F21" s="34"/>
      <x:c r="G21" s="34"/>
    </x:row>
    <x:row r="22">
      <x:c r="A22" s="34"/>
      <x:c r="B22" s="34"/>
      <x:c r="C22" s="34"/>
      <x:c r="D22" s="34"/>
      <x:c r="E22" s="34"/>
      <x:c r="F22" s="34"/>
      <x:c r="G22" s="34"/>
    </x:row>
    <x:row r="23">
      <x:c r="A23" s="34"/>
      <x:c r="B23" s="34"/>
      <x:c r="C23" s="34"/>
      <x:c r="D23" s="34"/>
      <x:c r="E23" s="34"/>
      <x:c r="F23" s="34"/>
      <x:c r="G23" s="34"/>
    </x:row>
    <x:row r="24">
      <x:c r="A24" s="34"/>
      <x:c r="B24" s="34"/>
      <x:c r="C24" s="34"/>
      <x:c r="D24" s="34"/>
      <x:c r="E24" s="34"/>
      <x:c r="F24" s="34"/>
      <x:c r="G24" s="34"/>
    </x:row>
    <x:row r="25">
      <x:c r="A25" s="34"/>
      <x:c r="B25" s="34"/>
      <x:c r="C25" s="34"/>
      <x:c r="D25" s="34"/>
      <x:c r="E25" s="34"/>
      <x:c r="F25" s="34"/>
      <x:c r="G25" s="34"/>
    </x:row>
    <x:row r="26">
      <x:c r="A26" s="34"/>
      <x:c r="B26" s="34"/>
      <x:c r="C26" s="34"/>
      <x:c r="D26" s="34"/>
      <x:c r="E26" s="34"/>
      <x:c r="F26" s="34"/>
      <x:c r="G26" s="34"/>
    </x:row>
    <x:row r="27">
      <x:c r="A27" s="34"/>
      <x:c r="B27" s="34"/>
      <x:c r="C27" s="34"/>
      <x:c r="D27" s="34"/>
      <x:c r="E27" s="34"/>
      <x:c r="F27" s="34"/>
      <x:c r="G27" s="34"/>
    </x:row>
    <x:row r="28">
      <x:c r="A28" s="34"/>
      <x:c r="B28" s="34"/>
      <x:c r="C28" s="34"/>
      <x:c r="D28" s="34"/>
      <x:c r="E28" s="34"/>
      <x:c r="F28" s="34"/>
      <x:c r="G28" s="34"/>
    </x:row>
    <x:row r="29">
      <x:c r="A29" s="34"/>
      <x:c r="B29" s="34"/>
      <x:c r="C29" s="34"/>
      <x:c r="D29" s="34"/>
      <x:c r="E29" s="34"/>
      <x:c r="F29" s="34"/>
      <x:c r="G29" s="34"/>
    </x:row>
    <x:row r="30">
      <x:c r="A30" s="34"/>
      <x:c r="B30" s="34"/>
      <x:c r="C30" s="34"/>
      <x:c r="D30" s="34"/>
      <x:c r="E30" s="34"/>
      <x:c r="F30" s="34"/>
      <x:c r="G30" s="34"/>
    </x:row>
    <x:row r="31">
      <x:c r="A31" s="34"/>
      <x:c r="B31" s="34"/>
      <x:c r="C31" s="34"/>
      <x:c r="D31" s="34"/>
      <x:c r="E31" s="34"/>
      <x:c r="F31" s="34"/>
      <x:c r="G31" s="34"/>
    </x:row>
    <x:row r="32">
      <x:c r="A32" s="34"/>
      <x:c r="B32" s="34"/>
      <x:c r="C32" s="34"/>
      <x:c r="D32" s="34"/>
      <x:c r="E32" s="34"/>
      <x:c r="F32" s="34"/>
      <x:c r="G32" s="34"/>
    </x:row>
    <x:row r="33">
      <x:c r="A33" s="34"/>
      <x:c r="B33" s="34"/>
      <x:c r="C33" s="34"/>
      <x:c r="D33" s="34"/>
      <x:c r="E33" s="34"/>
      <x:c r="F33" s="34"/>
      <x:c r="G33" s="34"/>
    </x:row>
    <x:row r="34">
      <x:c r="A34" s="34"/>
      <x:c r="B34" s="34"/>
      <x:c r="C34" s="34"/>
      <x:c r="D34" s="34"/>
      <x:c r="E34" s="34"/>
      <x:c r="F34" s="34"/>
      <x:c r="G34" s="34"/>
    </x:row>
    <x:row r="35">
      <x:c r="A35" s="34"/>
      <x:c r="B35" s="34"/>
      <x:c r="C35" s="34"/>
      <x:c r="D35" s="34"/>
      <x:c r="E35" s="34"/>
      <x:c r="F35" s="34"/>
      <x:c r="G35" s="34"/>
    </x:row>
    <x:row r="36">
      <x:c r="A36" s="34"/>
      <x:c r="B36" s="34"/>
      <x:c r="C36" s="34"/>
      <x:c r="D36" s="34"/>
      <x:c r="E36" s="34"/>
      <x:c r="F36" s="34"/>
      <x:c r="G36" s="34"/>
    </x:row>
    <x:row r="37">
      <x:c r="A37" s="34"/>
      <x:c r="B37" s="34"/>
      <x:c r="C37" s="34"/>
      <x:c r="D37" s="34"/>
      <x:c r="E37" s="34"/>
      <x:c r="F37" s="34"/>
      <x:c r="G37" s="34"/>
    </x:row>
    <x:row r="38">
      <x:c r="A38" s="34"/>
      <x:c r="B38" s="34"/>
      <x:c r="C38" s="34"/>
      <x:c r="D38" s="34"/>
      <x:c r="E38" s="34"/>
      <x:c r="F38" s="34"/>
      <x:c r="G38" s="34"/>
    </x:row>
    <x:row r="39">
      <x:c r="A39" s="34"/>
      <x:c r="B39" s="34"/>
      <x:c r="C39" s="34"/>
      <x:c r="D39" s="34"/>
      <x:c r="E39" s="34"/>
      <x:c r="F39" s="34"/>
      <x:c r="G39" s="34"/>
    </x:row>
    <x:row r="40">
      <x:c r="A40" s="34"/>
      <x:c r="B40" s="34"/>
      <x:c r="C40" s="34"/>
      <x:c r="D40" s="34"/>
      <x:c r="E40" s="34"/>
      <x:c r="F40" s="34"/>
      <x:c r="G40" s="34"/>
    </x:row>
    <x:row r="41">
      <x:c r="A41" s="34"/>
      <x:c r="B41" s="34"/>
      <x:c r="C41" s="34"/>
      <x:c r="D41" s="34"/>
      <x:c r="E41" s="34"/>
      <x:c r="F41" s="34"/>
      <x:c r="G41" s="34"/>
    </x:row>
    <x:row r="42">
      <x:c r="A42" s="34"/>
      <x:c r="B42" s="34"/>
      <x:c r="C42" s="34"/>
      <x:c r="D42" s="34"/>
      <x:c r="E42" s="34"/>
      <x:c r="F42" s="34"/>
      <x:c r="G42" s="34"/>
    </x:row>
    <x:row r="43">
      <x:c r="A43" s="34"/>
      <x:c r="B43" s="34"/>
      <x:c r="C43" s="34"/>
      <x:c r="D43" s="34"/>
      <x:c r="E43" s="34"/>
      <x:c r="F43" s="34"/>
      <x:c r="G43" s="34"/>
    </x:row>
    <x:row r="44">
      <x:c r="A44" s="34"/>
      <x:c r="B44" s="34"/>
      <x:c r="C44" s="34"/>
      <x:c r="D44" s="34"/>
      <x:c r="E44" s="34"/>
      <x:c r="F44" s="34"/>
      <x:c r="G44" s="34"/>
    </x:row>
    <x:row r="45">
      <x:c r="A45" s="34"/>
      <x:c r="B45" s="34"/>
      <x:c r="C45" s="34"/>
      <x:c r="D45" s="34"/>
      <x:c r="E45" s="34"/>
      <x:c r="F45" s="34"/>
      <x:c r="G45" s="34"/>
    </x:row>
    <x:row r="46">
      <x:c r="A46" s="34"/>
      <x:c r="B46" s="34"/>
      <x:c r="C46" s="34"/>
      <x:c r="D46" s="34"/>
      <x:c r="E46" s="34"/>
      <x:c r="F46" s="34"/>
      <x:c r="G46" s="34"/>
    </x:row>
    <x:row r="47">
      <x:c r="A47" s="34"/>
      <x:c r="B47" s="34"/>
      <x:c r="C47" s="34"/>
      <x:c r="D47" s="34"/>
      <x:c r="E47" s="34"/>
      <x:c r="F47" s="34"/>
      <x:c r="G47" s="34"/>
    </x:row>
    <x:row r="48">
      <x:c r="A48" s="34"/>
      <x:c r="B48" s="34"/>
      <x:c r="C48" s="34"/>
      <x:c r="D48" s="34"/>
      <x:c r="E48" s="34"/>
      <x:c r="F48" s="34"/>
      <x:c r="G48" s="34"/>
    </x:row>
    <x:row r="49">
      <x:c r="A49" s="34"/>
      <x:c r="B49" s="34"/>
      <x:c r="C49" s="34"/>
      <x:c r="D49" s="34"/>
      <x:c r="E49" s="34"/>
      <x:c r="F49" s="34"/>
      <x:c r="G49" s="34"/>
    </x:row>
    <x:row r="50">
      <x:c r="A50" s="34"/>
      <x:c r="B50" s="34"/>
      <x:c r="C50" s="34"/>
      <x:c r="D50" s="34"/>
      <x:c r="E50" s="34"/>
      <x:c r="F50" s="34"/>
      <x:c r="G50" s="34"/>
    </x:row>
    <x:row r="51">
      <x:c r="A51" s="34"/>
      <x:c r="B51" s="34"/>
      <x:c r="C51" s="34"/>
      <x:c r="D51" s="34"/>
      <x:c r="E51" s="34"/>
      <x:c r="F51" s="34"/>
      <x:c r="G51" s="34"/>
    </x:row>
    <x:row r="52">
      <x:c r="A52" s="34"/>
      <x:c r="B52" s="34"/>
      <x:c r="C52" s="34"/>
      <x:c r="D52" s="34"/>
      <x:c r="E52" s="34"/>
      <x:c r="F52" s="34"/>
      <x:c r="G52" s="34"/>
    </x:row>
    <x:row r="53">
      <x:c r="A53" s="34"/>
      <x:c r="B53" s="34"/>
      <x:c r="C53" s="34"/>
      <x:c r="D53" s="34"/>
      <x:c r="E53" s="34"/>
      <x:c r="F53" s="34"/>
      <x:c r="G53" s="34"/>
    </x:row>
    <x:row r="54">
      <x:c r="A54" s="34"/>
      <x:c r="B54" s="34"/>
      <x:c r="C54" s="34"/>
      <x:c r="D54" s="34"/>
      <x:c r="E54" s="34"/>
      <x:c r="F54" s="34"/>
      <x:c r="G54" s="34"/>
    </x:row>
    <x:row r="55">
      <x:c r="A55" s="34"/>
      <x:c r="B55" s="34"/>
      <x:c r="C55" s="34"/>
      <x:c r="D55" s="34"/>
      <x:c r="E55" s="34"/>
      <x:c r="F55" s="34"/>
      <x:c r="G55" s="34"/>
    </x:row>
    <x:row r="56">
      <x:c r="A56" s="34"/>
      <x:c r="B56" s="34"/>
      <x:c r="C56" s="34"/>
      <x:c r="D56" s="34"/>
      <x:c r="E56" s="34"/>
      <x:c r="F56" s="34"/>
      <x:c r="G56" s="34"/>
    </x:row>
    <x:row r="57">
      <x:c r="A57" s="34"/>
      <x:c r="B57" s="34"/>
      <x:c r="C57" s="34"/>
      <x:c r="D57" s="34"/>
      <x:c r="E57" s="34"/>
      <x:c r="F57" s="34"/>
      <x:c r="G57" s="34"/>
    </x:row>
    <x:row r="58">
      <x:c r="A58" s="34"/>
      <x:c r="B58" s="34"/>
      <x:c r="C58" s="34"/>
      <x:c r="D58" s="34"/>
      <x:c r="E58" s="34"/>
      <x:c r="F58" s="34"/>
      <x:c r="G58" s="34"/>
    </x:row>
    <x:row r="59">
      <x:c r="A59" s="34"/>
      <x:c r="B59" s="34"/>
      <x:c r="C59" s="34"/>
      <x:c r="D59" s="34"/>
      <x:c r="E59" s="34"/>
      <x:c r="F59" s="34"/>
      <x:c r="G59" s="34"/>
    </x:row>
    <x:row r="60">
      <x:c r="A60" s="34"/>
      <x:c r="B60" s="34"/>
      <x:c r="C60" s="34"/>
      <x:c r="D60" s="34"/>
      <x:c r="E60" s="34"/>
      <x:c r="F60" s="34"/>
      <x:c r="G60" s="34"/>
    </x:row>
    <x:row r="61">
      <x:c r="A61" s="34"/>
      <x:c r="B61" s="34"/>
      <x:c r="C61" s="34"/>
      <x:c r="D61" s="34"/>
      <x:c r="E61" s="34"/>
      <x:c r="F61" s="34"/>
      <x:c r="G61" s="34"/>
    </x:row>
    <x:row r="62">
      <x:c r="A62" s="34"/>
      <x:c r="B62" s="34"/>
      <x:c r="C62" s="34"/>
      <x:c r="D62" s="34"/>
      <x:c r="E62" s="34"/>
      <x:c r="F62" s="34"/>
      <x:c r="G62" s="34"/>
    </x:row>
    <x:row r="63">
      <x:c r="A63" s="34"/>
      <x:c r="B63" s="34"/>
      <x:c r="C63" s="34"/>
      <x:c r="D63" s="34"/>
      <x:c r="E63" s="34"/>
      <x:c r="F63" s="34"/>
      <x:c r="G63" s="34"/>
    </x:row>
    <x:row r="64">
      <x:c r="A64" s="34"/>
      <x:c r="B64" s="34"/>
      <x:c r="C64" s="34"/>
      <x:c r="D64" s="34"/>
      <x:c r="E64" s="34"/>
      <x:c r="F64" s="34"/>
      <x:c r="G64" s="34"/>
    </x:row>
    <x:row r="65">
      <x:c r="A65" s="34"/>
      <x:c r="B65" s="34"/>
      <x:c r="C65" s="34"/>
      <x:c r="D65" s="34"/>
      <x:c r="E65" s="34"/>
      <x:c r="F65" s="34"/>
      <x:c r="G65" s="34"/>
    </x:row>
    <x:row r="66">
      <x:c r="A66" s="34"/>
      <x:c r="B66" s="34"/>
      <x:c r="C66" s="34"/>
      <x:c r="D66" s="34"/>
      <x:c r="E66" s="34"/>
      <x:c r="F66" s="34"/>
      <x:c r="G66" s="34"/>
    </x:row>
    <x:row r="67">
      <x:c r="A67" s="34"/>
      <x:c r="B67" s="34"/>
      <x:c r="C67" s="34"/>
      <x:c r="D67" s="34"/>
      <x:c r="E67" s="34"/>
      <x:c r="F67" s="34"/>
      <x:c r="G67" s="34"/>
    </x:row>
    <x:row r="68">
      <x:c r="A68" s="34"/>
      <x:c r="B68" s="34"/>
      <x:c r="C68" s="34"/>
      <x:c r="D68" s="34"/>
      <x:c r="E68" s="34"/>
      <x:c r="F68" s="34"/>
      <x:c r="G68" s="34"/>
    </x:row>
    <x:row r="69">
      <x:c r="A69" s="34"/>
      <x:c r="B69" s="34"/>
      <x:c r="C69" s="34"/>
      <x:c r="D69" s="34"/>
      <x:c r="E69" s="34"/>
      <x:c r="F69" s="34"/>
      <x:c r="G69" s="34"/>
    </x:row>
    <x:row r="70">
      <x:c r="A70" s="34"/>
      <x:c r="B70" s="34"/>
      <x:c r="C70" s="34"/>
      <x:c r="D70" s="34"/>
      <x:c r="E70" s="34"/>
      <x:c r="F70" s="34"/>
      <x:c r="G70" s="34"/>
    </x:row>
    <x:row r="71">
      <x:c r="A71" s="34"/>
      <x:c r="B71" s="34"/>
      <x:c r="C71" s="34"/>
      <x:c r="D71" s="34"/>
      <x:c r="E71" s="34"/>
      <x:c r="F71" s="34"/>
      <x:c r="G71" s="34"/>
    </x:row>
    <x:row r="72">
      <x:c r="A72" s="34"/>
      <x:c r="B72" s="34"/>
      <x:c r="C72" s="34"/>
      <x:c r="D72" s="34"/>
      <x:c r="E72" s="34"/>
      <x:c r="F72" s="34"/>
      <x:c r="G72" s="34"/>
    </x:row>
    <x:row r="73">
      <x:c r="A73" s="34"/>
      <x:c r="B73" s="34"/>
      <x:c r="C73" s="34"/>
      <x:c r="D73" s="34"/>
      <x:c r="E73" s="34"/>
      <x:c r="F73" s="34"/>
      <x:c r="G73" s="34"/>
    </x:row>
    <x:row r="74">
      <x:c r="A74" s="34"/>
      <x:c r="B74" s="34"/>
      <x:c r="C74" s="34"/>
      <x:c r="D74" s="34"/>
      <x:c r="E74" s="34"/>
      <x:c r="F74" s="34"/>
      <x:c r="G74" s="34"/>
    </x:row>
    <x:row r="75">
      <x:c r="A75" s="34"/>
      <x:c r="B75" s="34"/>
      <x:c r="C75" s="34"/>
      <x:c r="D75" s="34"/>
      <x:c r="E75" s="34"/>
      <x:c r="F75" s="34"/>
      <x:c r="G75" s="34"/>
    </x:row>
    <x:row r="76">
      <x:c r="A76" s="34"/>
      <x:c r="B76" s="34"/>
      <x:c r="C76" s="34"/>
      <x:c r="D76" s="34"/>
      <x:c r="E76" s="34"/>
      <x:c r="F76" s="34"/>
      <x:c r="G76" s="34"/>
    </x:row>
    <x:row r="77">
      <x:c r="A77" s="34"/>
      <x:c r="B77" s="34"/>
      <x:c r="C77" s="34"/>
      <x:c r="D77" s="34"/>
      <x:c r="E77" s="34"/>
      <x:c r="F77" s="34"/>
      <x:c r="G77" s="34"/>
    </x:row>
    <x:row r="78">
      <x:c r="A78" s="34"/>
      <x:c r="B78" s="34"/>
      <x:c r="C78" s="34"/>
      <x:c r="D78" s="34"/>
      <x:c r="E78" s="34"/>
      <x:c r="F78" s="34"/>
      <x:c r="G78" s="34"/>
    </x:row>
    <x:row r="79">
      <x:c r="A79" s="34"/>
      <x:c r="B79" s="34"/>
      <x:c r="C79" s="34"/>
      <x:c r="D79" s="34"/>
      <x:c r="E79" s="34"/>
      <x:c r="F79" s="34"/>
      <x:c r="G79" s="34"/>
    </x:row>
    <x:row r="80">
      <x:c r="A80" s="34"/>
      <x:c r="B80" s="34"/>
      <x:c r="C80" s="34"/>
      <x:c r="D80" s="34"/>
      <x:c r="E80" s="34"/>
      <x:c r="F80" s="34"/>
      <x:c r="G80" s="34"/>
    </x:row>
    <x:row r="81">
      <x:c r="A81" s="34"/>
      <x:c r="B81" s="34"/>
      <x:c r="C81" s="34"/>
      <x:c r="D81" s="34"/>
      <x:c r="E81" s="34"/>
      <x:c r="F81" s="34"/>
      <x:c r="G81" s="34"/>
    </x:row>
    <x:row r="82">
      <x:c r="A82" s="34"/>
      <x:c r="B82" s="34"/>
      <x:c r="C82" s="34"/>
      <x:c r="D82" s="34"/>
      <x:c r="E82" s="34"/>
      <x:c r="F82" s="34"/>
      <x:c r="G82" s="34"/>
    </x:row>
    <x:row r="83">
      <x:c r="A83" s="34"/>
      <x:c r="B83" s="34"/>
      <x:c r="C83" s="34"/>
      <x:c r="D83" s="34"/>
      <x:c r="E83" s="34"/>
      <x:c r="F83" s="34"/>
      <x:c r="G83" s="34"/>
    </x:row>
    <x:row r="84">
      <x:c r="A84" s="34"/>
      <x:c r="B84" s="34"/>
      <x:c r="C84" s="34"/>
      <x:c r="D84" s="34"/>
      <x:c r="E84" s="34"/>
      <x:c r="F84" s="34"/>
      <x:c r="G84" s="34"/>
    </x:row>
    <x:row r="85">
      <x:c r="A85" s="34"/>
      <x:c r="B85" s="34"/>
      <x:c r="C85" s="34"/>
      <x:c r="D85" s="34"/>
      <x:c r="E85" s="34"/>
      <x:c r="F85" s="34"/>
      <x:c r="G85" s="34"/>
    </x:row>
    <x:row r="86">
      <x:c r="A86" s="34"/>
      <x:c r="B86" s="34"/>
      <x:c r="C86" s="34"/>
      <x:c r="D86" s="34"/>
      <x:c r="E86" s="34"/>
      <x:c r="F86" s="34"/>
      <x:c r="G86" s="34"/>
    </x:row>
    <x:row r="87">
      <x:c r="A87" s="34"/>
      <x:c r="B87" s="34"/>
      <x:c r="C87" s="34"/>
      <x:c r="D87" s="34"/>
      <x:c r="E87" s="34"/>
      <x:c r="F87" s="34"/>
      <x:c r="G87" s="34"/>
    </x:row>
    <x:row r="88">
      <x:c r="A88" s="34"/>
      <x:c r="B88" s="34"/>
      <x:c r="C88" s="34"/>
      <x:c r="D88" s="34"/>
      <x:c r="E88" s="34"/>
      <x:c r="F88" s="34"/>
      <x:c r="G88" s="34"/>
    </x:row>
    <x:row r="89">
      <x:c r="A89" s="34"/>
      <x:c r="B89" s="34"/>
      <x:c r="C89" s="34"/>
      <x:c r="D89" s="34"/>
      <x:c r="E89" s="34"/>
      <x:c r="F89" s="34"/>
      <x:c r="G89" s="34"/>
    </x:row>
    <x:row r="90">
      <x:c r="A90" s="34"/>
      <x:c r="B90" s="34"/>
      <x:c r="C90" s="34"/>
      <x:c r="D90" s="34"/>
      <x:c r="E90" s="34"/>
      <x:c r="F90" s="34"/>
      <x:c r="G90" s="34"/>
    </x:row>
    <x:row r="91">
      <x:c r="A91" s="34"/>
      <x:c r="B91" s="34"/>
      <x:c r="C91" s="34"/>
      <x:c r="D91" s="34"/>
      <x:c r="E91" s="34"/>
      <x:c r="F91" s="34"/>
      <x:c r="G91" s="34"/>
    </x:row>
    <x:row r="92">
      <x:c r="A92" s="34"/>
      <x:c r="B92" s="34"/>
      <x:c r="C92" s="34"/>
      <x:c r="D92" s="34"/>
      <x:c r="E92" s="34"/>
      <x:c r="F92" s="34"/>
      <x:c r="G92" s="34"/>
    </x:row>
    <x:row r="93">
      <x:c r="A93" s="34"/>
      <x:c r="B93" s="34"/>
      <x:c r="C93" s="34"/>
      <x:c r="D93" s="34"/>
      <x:c r="E93" s="34"/>
      <x:c r="F93" s="34"/>
      <x:c r="G93" s="34"/>
    </x:row>
    <x:row r="94">
      <x:c r="A94" s="34"/>
      <x:c r="B94" s="34"/>
      <x:c r="C94" s="34"/>
      <x:c r="D94" s="34"/>
      <x:c r="E94" s="34"/>
      <x:c r="F94" s="34"/>
      <x:c r="G94" s="34"/>
    </x:row>
    <x:row r="95">
      <x:c r="A95" s="34"/>
      <x:c r="B95" s="34"/>
      <x:c r="C95" s="34"/>
      <x:c r="D95" s="34"/>
      <x:c r="E95" s="34"/>
      <x:c r="F95" s="34"/>
      <x:c r="G95" s="34"/>
    </x:row>
    <x:row r="96">
      <x:c r="A96" s="34"/>
      <x:c r="B96" s="34"/>
      <x:c r="C96" s="34"/>
      <x:c r="D96" s="34"/>
      <x:c r="E96" s="34"/>
      <x:c r="F96" s="34"/>
      <x:c r="G96" s="34"/>
    </x:row>
    <x:row r="97">
      <x:c r="A97" s="34"/>
      <x:c r="B97" s="34"/>
      <x:c r="C97" s="34"/>
      <x:c r="D97" s="34"/>
      <x:c r="E97" s="34"/>
      <x:c r="F97" s="34"/>
      <x:c r="G97" s="34"/>
    </x:row>
    <x:row r="98">
      <x:c r="A98" s="34"/>
      <x:c r="B98" s="34"/>
      <x:c r="C98" s="34"/>
      <x:c r="D98" s="34"/>
      <x:c r="E98" s="34"/>
      <x:c r="F98" s="34"/>
      <x:c r="G98" s="34"/>
    </x:row>
    <x:row r="99">
      <x:c r="A99" s="34"/>
      <x:c r="B99" s="34"/>
      <x:c r="C99" s="34"/>
      <x:c r="D99" s="34"/>
      <x:c r="E99" s="34"/>
      <x:c r="F99" s="34"/>
      <x:c r="G99" s="34"/>
    </x:row>
    <x:row r="100">
      <x:c r="A100" s="34"/>
      <x:c r="B100" s="34"/>
      <x:c r="C100" s="34"/>
      <x:c r="D100" s="34"/>
      <x:c r="E100" s="34"/>
      <x:c r="F100" s="34"/>
      <x:c r="G100" s="34"/>
    </x:row>
    <x:row r="101">
      <x:c r="A101" s="34"/>
      <x:c r="B101" s="34"/>
      <x:c r="C101" s="34"/>
      <x:c r="D101" s="34"/>
      <x:c r="E101" s="34"/>
      <x:c r="F101" s="34"/>
      <x:c r="G101" s="34"/>
    </x:row>
    <x:row r="102">
      <x:c r="A102" s="34"/>
      <x:c r="B102" s="34"/>
      <x:c r="C102" s="34"/>
      <x:c r="D102" s="34"/>
      <x:c r="E102" s="34"/>
      <x:c r="F102" s="34"/>
      <x:c r="G102" s="34"/>
    </x:row>
    <x:row r="103">
      <x:c r="A103" s="34"/>
      <x:c r="B103" s="34"/>
      <x:c r="C103" s="34"/>
      <x:c r="D103" s="34"/>
      <x:c r="E103" s="34"/>
      <x:c r="F103" s="34"/>
      <x:c r="G103" s="34"/>
    </x:row>
    <x:row r="104">
      <x:c r="A104" s="34"/>
      <x:c r="B104" s="34"/>
      <x:c r="C104" s="34"/>
      <x:c r="D104" s="34"/>
      <x:c r="E104" s="34"/>
      <x:c r="F104" s="34"/>
      <x:c r="G104" s="34"/>
    </x:row>
    <x:row r="105">
      <x:c r="A105" s="34"/>
      <x:c r="B105" s="34"/>
      <x:c r="C105" s="34"/>
      <x:c r="D105" s="34"/>
      <x:c r="E105" s="34"/>
      <x:c r="F105" s="34"/>
      <x:c r="G105" s="34"/>
    </x:row>
    <x:row r="106">
      <x:c r="A106" s="34"/>
      <x:c r="B106" s="34"/>
      <x:c r="C106" s="34"/>
      <x:c r="D106" s="34"/>
      <x:c r="E106" s="34"/>
      <x:c r="F106" s="34"/>
      <x:c r="G106" s="34"/>
    </x:row>
    <x:row r="107">
      <x:c r="A107" s="34"/>
      <x:c r="B107" s="34"/>
      <x:c r="C107" s="34"/>
      <x:c r="D107" s="34"/>
      <x:c r="E107" s="34"/>
      <x:c r="F107" s="34"/>
      <x:c r="G107" s="34"/>
    </x:row>
    <x:row r="108">
      <x:c r="A108" s="34"/>
      <x:c r="B108" s="34"/>
      <x:c r="C108" s="34"/>
      <x:c r="D108" s="34"/>
      <x:c r="E108" s="34"/>
      <x:c r="F108" s="34"/>
      <x:c r="G108" s="34"/>
    </x:row>
    <x:row r="109">
      <x:c r="A109" s="34"/>
      <x:c r="B109" s="34"/>
      <x:c r="C109" s="34"/>
      <x:c r="D109" s="34"/>
      <x:c r="E109" s="34"/>
      <x:c r="F109" s="34"/>
      <x:c r="G109" s="34"/>
    </x:row>
    <x:row r="110">
      <x:c r="A110" s="34"/>
      <x:c r="B110" s="34"/>
      <x:c r="C110" s="34"/>
      <x:c r="D110" s="34"/>
      <x:c r="E110" s="34"/>
      <x:c r="F110" s="34"/>
      <x:c r="G110" s="34"/>
    </x:row>
    <x:row r="111">
      <x:c r="A111" s="34"/>
      <x:c r="B111" s="34"/>
      <x:c r="C111" s="34"/>
      <x:c r="D111" s="34"/>
      <x:c r="E111" s="34"/>
      <x:c r="F111" s="34"/>
      <x:c r="G111" s="34"/>
    </x:row>
    <x:row r="112">
      <x:c r="A112" s="34"/>
      <x:c r="B112" s="34"/>
      <x:c r="C112" s="34"/>
      <x:c r="D112" s="34"/>
      <x:c r="E112" s="34"/>
      <x:c r="F112" s="34"/>
      <x:c r="G112" s="34"/>
    </x:row>
    <x:row r="113">
      <x:c r="A113" s="34"/>
      <x:c r="B113" s="34"/>
      <x:c r="C113" s="34"/>
      <x:c r="D113" s="34"/>
      <x:c r="E113" s="34"/>
      <x:c r="F113" s="34"/>
      <x:c r="G113" s="34"/>
    </x:row>
    <x:row r="114">
      <x:c r="A114" s="34"/>
      <x:c r="B114" s="34"/>
      <x:c r="C114" s="34"/>
      <x:c r="D114" s="34"/>
      <x:c r="E114" s="34"/>
      <x:c r="F114" s="34"/>
      <x:c r="G114" s="34"/>
    </x:row>
    <x:row r="115">
      <x:c r="A115" s="34"/>
      <x:c r="B115" s="34"/>
      <x:c r="C115" s="34"/>
      <x:c r="D115" s="34"/>
      <x:c r="E115" s="34"/>
      <x:c r="F115" s="34"/>
      <x:c r="G115" s="34"/>
    </x:row>
    <x:row r="116">
      <x:c r="A116" s="34"/>
      <x:c r="B116" s="34"/>
      <x:c r="C116" s="34"/>
      <x:c r="D116" s="34"/>
      <x:c r="E116" s="34"/>
      <x:c r="F116" s="34"/>
      <x:c r="G116" s="34"/>
    </x:row>
    <x:row r="117">
      <x:c r="A117" s="34"/>
      <x:c r="B117" s="34"/>
      <x:c r="C117" s="34"/>
      <x:c r="D117" s="34"/>
      <x:c r="E117" s="34"/>
      <x:c r="F117" s="34"/>
      <x:c r="G117" s="34"/>
    </x:row>
    <x:row r="118">
      <x:c r="A118" s="34"/>
      <x:c r="B118" s="34"/>
      <x:c r="C118" s="34"/>
      <x:c r="D118" s="34"/>
      <x:c r="E118" s="34"/>
      <x:c r="F118" s="34"/>
      <x:c r="G118" s="34"/>
    </x:row>
    <x:row r="119">
      <x:c r="A119" s="34"/>
      <x:c r="B119" s="34"/>
      <x:c r="C119" s="34"/>
      <x:c r="D119" s="34"/>
      <x:c r="E119" s="34"/>
      <x:c r="F119" s="34"/>
      <x:c r="G119" s="34"/>
    </x:row>
    <x:row r="120">
      <x:c r="A120" s="34"/>
      <x:c r="B120" s="34"/>
      <x:c r="C120" s="34"/>
      <x:c r="D120" s="34"/>
      <x:c r="E120" s="34"/>
      <x:c r="F120" s="34"/>
      <x:c r="G120" s="34"/>
    </x:row>
    <x:row r="121">
      <x:c r="A121" s="34"/>
      <x:c r="B121" s="34"/>
      <x:c r="C121" s="34"/>
      <x:c r="D121" s="34"/>
      <x:c r="E121" s="34"/>
      <x:c r="F121" s="34"/>
      <x:c r="G121" s="34"/>
    </x:row>
    <x:row r="122">
      <x:c r="A122" s="34"/>
      <x:c r="B122" s="34"/>
      <x:c r="C122" s="34"/>
      <x:c r="D122" s="34"/>
      <x:c r="E122" s="34"/>
      <x:c r="F122" s="34"/>
      <x:c r="G122" s="34"/>
    </x:row>
    <x:row r="123">
      <x:c r="A123" s="34"/>
      <x:c r="B123" s="34"/>
      <x:c r="C123" s="34"/>
      <x:c r="D123" s="34"/>
      <x:c r="E123" s="34"/>
      <x:c r="F123" s="34"/>
      <x:c r="G123" s="34"/>
    </x:row>
    <x:row r="124">
      <x:c r="A124" s="34"/>
      <x:c r="B124" s="34"/>
      <x:c r="C124" s="34"/>
      <x:c r="D124" s="34"/>
      <x:c r="E124" s="34"/>
      <x:c r="F124" s="34"/>
      <x:c r="G124" s="34"/>
    </x:row>
    <x:row r="125">
      <x:c r="A125" s="34"/>
      <x:c r="B125" s="34"/>
      <x:c r="C125" s="34"/>
      <x:c r="D125" s="34"/>
      <x:c r="E125" s="34"/>
      <x:c r="F125" s="34"/>
      <x:c r="G125" s="34"/>
    </x:row>
    <x:row r="126">
      <x:c r="A126" s="34"/>
      <x:c r="B126" s="34"/>
      <x:c r="C126" s="34"/>
      <x:c r="D126" s="34"/>
      <x:c r="E126" s="34"/>
      <x:c r="F126" s="34"/>
      <x:c r="G126" s="34"/>
    </x:row>
    <x:row r="127">
      <x:c r="A127" s="34"/>
      <x:c r="B127" s="34"/>
      <x:c r="C127" s="34"/>
      <x:c r="D127" s="34"/>
      <x:c r="E127" s="34"/>
      <x:c r="F127" s="34"/>
      <x:c r="G127" s="34"/>
    </x:row>
    <x:row r="128">
      <x:c r="A128" s="34"/>
      <x:c r="B128" s="34"/>
      <x:c r="C128" s="34"/>
      <x:c r="D128" s="34"/>
      <x:c r="E128" s="34"/>
      <x:c r="F128" s="34"/>
      <x:c r="G128" s="34"/>
    </x:row>
    <x:row r="129">
      <x:c r="A129" s="34"/>
      <x:c r="B129" s="34"/>
      <x:c r="C129" s="34"/>
      <x:c r="D129" s="34"/>
      <x:c r="E129" s="34"/>
      <x:c r="F129" s="34"/>
      <x:c r="G129" s="34"/>
    </x:row>
    <x:row r="130">
      <x:c r="A130" s="34"/>
      <x:c r="B130" s="34"/>
      <x:c r="C130" s="34"/>
      <x:c r="D130" s="34"/>
      <x:c r="E130" s="34"/>
      <x:c r="F130" s="34"/>
      <x:c r="G130" s="34"/>
    </x:row>
    <x:row r="131">
      <x:c r="A131" s="34"/>
      <x:c r="B131" s="34"/>
      <x:c r="C131" s="34"/>
      <x:c r="D131" s="34"/>
      <x:c r="E131" s="34"/>
      <x:c r="F131" s="34"/>
      <x:c r="G131" s="34"/>
    </x:row>
    <x:row r="132">
      <x:c r="A132" s="34"/>
      <x:c r="B132" s="34"/>
      <x:c r="C132" s="34"/>
      <x:c r="D132" s="34"/>
      <x:c r="E132" s="34"/>
      <x:c r="F132" s="34"/>
      <x:c r="G132" s="34"/>
    </x:row>
    <x:row r="133">
      <x:c r="A133" s="34"/>
      <x:c r="B133" s="34"/>
      <x:c r="C133" s="34"/>
      <x:c r="D133" s="34"/>
      <x:c r="E133" s="34"/>
      <x:c r="F133" s="34"/>
      <x:c r="G133" s="34"/>
    </x:row>
    <x:row r="134">
      <x:c r="A134" s="34"/>
      <x:c r="B134" s="34"/>
      <x:c r="C134" s="34"/>
      <x:c r="D134" s="34"/>
      <x:c r="E134" s="34"/>
      <x:c r="F134" s="34"/>
      <x:c r="G134" s="34"/>
    </x:row>
    <x:row r="135">
      <x:c r="A135" s="34"/>
      <x:c r="B135" s="34"/>
      <x:c r="C135" s="34"/>
      <x:c r="D135" s="34"/>
      <x:c r="E135" s="34"/>
      <x:c r="F135" s="34"/>
      <x:c r="G135" s="34"/>
    </x:row>
    <x:row r="136">
      <x:c r="A136" s="34"/>
      <x:c r="B136" s="34"/>
      <x:c r="C136" s="34"/>
      <x:c r="D136" s="34"/>
      <x:c r="E136" s="34"/>
      <x:c r="F136" s="34"/>
      <x:c r="G136" s="34"/>
    </x:row>
    <x:row r="137">
      <x:c r="A137" s="34"/>
      <x:c r="B137" s="34"/>
      <x:c r="C137" s="34"/>
      <x:c r="D137" s="34"/>
      <x:c r="E137" s="34"/>
      <x:c r="F137" s="34"/>
      <x:c r="G137" s="34"/>
    </x:row>
    <x:row r="138">
      <x:c r="A138" s="34"/>
      <x:c r="B138" s="34"/>
      <x:c r="C138" s="34"/>
      <x:c r="D138" s="34"/>
      <x:c r="E138" s="34"/>
      <x:c r="F138" s="34"/>
      <x:c r="G138" s="34"/>
    </x:row>
    <x:row r="139">
      <x:c r="A139" s="34"/>
      <x:c r="B139" s="34"/>
      <x:c r="C139" s="34"/>
      <x:c r="D139" s="34"/>
      <x:c r="E139" s="34"/>
      <x:c r="F139" s="34"/>
      <x:c r="G139" s="34"/>
    </x:row>
    <x:row r="140">
      <x:c r="A140" s="34"/>
      <x:c r="B140" s="34"/>
      <x:c r="C140" s="34"/>
      <x:c r="D140" s="34"/>
      <x:c r="E140" s="34"/>
      <x:c r="F140" s="34"/>
      <x:c r="G140" s="34"/>
    </x:row>
    <x:row r="141">
      <x:c r="A141" s="34"/>
      <x:c r="B141" s="34"/>
      <x:c r="C141" s="34"/>
      <x:c r="D141" s="34"/>
      <x:c r="E141" s="34"/>
      <x:c r="F141" s="34"/>
      <x:c r="G141" s="34"/>
    </x:row>
    <x:row r="142">
      <x:c r="A142" s="34"/>
      <x:c r="B142" s="34"/>
      <x:c r="C142" s="34"/>
      <x:c r="D142" s="34"/>
      <x:c r="E142" s="34"/>
      <x:c r="F142" s="34"/>
      <x:c r="G142" s="34"/>
    </x:row>
    <x:row r="143">
      <x:c r="A143" s="34"/>
      <x:c r="B143" s="34"/>
      <x:c r="C143" s="34"/>
      <x:c r="D143" s="34"/>
      <x:c r="E143" s="34"/>
      <x:c r="F143" s="34"/>
      <x:c r="G143" s="34"/>
    </x:row>
    <x:row r="144">
      <x:c r="A144" s="34"/>
      <x:c r="B144" s="34"/>
      <x:c r="C144" s="34"/>
      <x:c r="D144" s="34"/>
      <x:c r="E144" s="34"/>
      <x:c r="F144" s="34"/>
      <x:c r="G144" s="34"/>
    </x:row>
    <x:row r="145">
      <x:c r="A145" s="34"/>
      <x:c r="B145" s="34"/>
      <x:c r="C145" s="34"/>
      <x:c r="D145" s="34"/>
      <x:c r="E145" s="34"/>
      <x:c r="F145" s="34"/>
      <x:c r="G145" s="34"/>
    </x:row>
    <x:row r="146">
      <x:c r="A146" s="34"/>
      <x:c r="B146" s="34"/>
      <x:c r="C146" s="34"/>
      <x:c r="D146" s="34"/>
      <x:c r="E146" s="34"/>
      <x:c r="F146" s="34"/>
      <x:c r="G146" s="34"/>
    </x:row>
    <x:row r="147">
      <x:c r="A147" s="34"/>
      <x:c r="B147" s="34"/>
      <x:c r="C147" s="34"/>
      <x:c r="D147" s="34"/>
      <x:c r="E147" s="34"/>
      <x:c r="F147" s="34"/>
      <x:c r="G147" s="34"/>
    </x:row>
    <x:row r="148">
      <x:c r="A148" s="34"/>
      <x:c r="B148" s="34"/>
      <x:c r="C148" s="34"/>
      <x:c r="D148" s="34"/>
      <x:c r="E148" s="34"/>
      <x:c r="F148" s="34"/>
      <x:c r="G148" s="34"/>
    </x:row>
    <x:row r="149">
      <x:c r="A149" s="34"/>
      <x:c r="B149" s="34"/>
      <x:c r="C149" s="34"/>
      <x:c r="D149" s="34"/>
      <x:c r="E149" s="34"/>
      <x:c r="F149" s="34"/>
      <x:c r="G149" s="34"/>
    </x:row>
    <x:row r="150">
      <x:c r="A150" s="34"/>
      <x:c r="B150" s="34"/>
      <x:c r="C150" s="34"/>
      <x:c r="D150" s="34"/>
      <x:c r="E150" s="34"/>
      <x:c r="F150" s="34"/>
      <x:c r="G150" s="34"/>
    </x:row>
    <x:row r="151">
      <x:c r="A151" s="34"/>
      <x:c r="B151" s="34"/>
      <x:c r="C151" s="34"/>
      <x:c r="D151" s="34"/>
      <x:c r="E151" s="34"/>
      <x:c r="F151" s="34"/>
      <x:c r="G151" s="34"/>
    </x:row>
    <x:row r="152">
      <x:c r="A152" s="34"/>
      <x:c r="B152" s="34"/>
      <x:c r="C152" s="34"/>
      <x:c r="D152" s="34"/>
      <x:c r="E152" s="34"/>
      <x:c r="F152" s="34"/>
      <x:c r="G152" s="34"/>
    </x:row>
    <x:row r="153">
      <x:c r="A153" s="34"/>
      <x:c r="B153" s="34"/>
      <x:c r="C153" s="34"/>
      <x:c r="D153" s="34"/>
      <x:c r="E153" s="34"/>
      <x:c r="F153" s="34"/>
      <x:c r="G153" s="34"/>
    </x:row>
    <x:row r="154">
      <x:c r="A154" s="34"/>
      <x:c r="B154" s="34"/>
      <x:c r="C154" s="34"/>
      <x:c r="D154" s="34"/>
      <x:c r="E154" s="34"/>
      <x:c r="F154" s="34"/>
      <x:c r="G154" s="34"/>
    </x:row>
    <x:row r="155">
      <x:c r="A155" s="34"/>
      <x:c r="B155" s="34"/>
      <x:c r="C155" s="34"/>
      <x:c r="D155" s="34"/>
      <x:c r="E155" s="34"/>
      <x:c r="F155" s="34"/>
      <x:c r="G155" s="34"/>
    </x:row>
    <x:row r="156">
      <x:c r="A156" s="34"/>
      <x:c r="B156" s="34"/>
      <x:c r="C156" s="34"/>
      <x:c r="D156" s="34"/>
      <x:c r="E156" s="34"/>
      <x:c r="F156" s="34"/>
      <x:c r="G156" s="34"/>
    </x:row>
    <x:row r="157">
      <x:c r="A157" s="34"/>
      <x:c r="B157" s="34"/>
      <x:c r="C157" s="34"/>
      <x:c r="D157" s="34"/>
      <x:c r="E157" s="34"/>
      <x:c r="F157" s="34"/>
      <x:c r="G157" s="34"/>
    </x:row>
    <x:row r="158">
      <x:c r="A158" s="34"/>
      <x:c r="B158" s="34"/>
      <x:c r="C158" s="34"/>
      <x:c r="D158" s="34"/>
      <x:c r="E158" s="34"/>
      <x:c r="F158" s="34"/>
      <x:c r="G158" s="34"/>
    </x:row>
    <x:row r="159">
      <x:c r="A159" s="34"/>
      <x:c r="B159" s="34"/>
      <x:c r="C159" s="34"/>
      <x:c r="D159" s="34"/>
      <x:c r="E159" s="34"/>
      <x:c r="F159" s="34"/>
      <x:c r="G159" s="34"/>
    </x:row>
    <x:row r="160">
      <x:c r="A160" s="34"/>
      <x:c r="B160" s="34"/>
      <x:c r="C160" s="34"/>
      <x:c r="D160" s="34"/>
      <x:c r="E160" s="34"/>
      <x:c r="F160" s="34"/>
      <x:c r="G160" s="34"/>
    </x:row>
    <x:row r="161">
      <x:c r="A161" s="34"/>
      <x:c r="B161" s="34"/>
      <x:c r="C161" s="34"/>
      <x:c r="D161" s="34"/>
      <x:c r="E161" s="34"/>
      <x:c r="F161" s="34"/>
      <x:c r="G161" s="34"/>
    </x:row>
    <x:row r="162">
      <x:c r="A162" s="34"/>
      <x:c r="B162" s="34"/>
      <x:c r="C162" s="34"/>
      <x:c r="D162" s="34"/>
      <x:c r="E162" s="34"/>
      <x:c r="F162" s="34"/>
      <x:c r="G162" s="34"/>
    </x:row>
    <x:row r="163">
      <x:c r="A163" s="34"/>
      <x:c r="B163" s="34"/>
      <x:c r="C163" s="34"/>
      <x:c r="D163" s="34"/>
      <x:c r="E163" s="34"/>
      <x:c r="F163" s="34"/>
      <x:c r="G163" s="34"/>
    </x:row>
    <x:row r="164">
      <x:c r="A164" s="34"/>
      <x:c r="B164" s="34"/>
      <x:c r="C164" s="34"/>
      <x:c r="D164" s="34"/>
      <x:c r="E164" s="34"/>
      <x:c r="F164" s="34"/>
      <x:c r="G164" s="34"/>
    </x:row>
    <x:row r="165">
      <x:c r="A165" s="34"/>
      <x:c r="B165" s="34"/>
      <x:c r="C165" s="34"/>
      <x:c r="D165" s="34"/>
      <x:c r="E165" s="34"/>
      <x:c r="F165" s="34"/>
      <x:c r="G165" s="34"/>
    </x:row>
    <x:row r="166">
      <x:c r="A166" s="34"/>
      <x:c r="B166" s="34"/>
      <x:c r="C166" s="34"/>
      <x:c r="D166" s="34"/>
      <x:c r="E166" s="34"/>
      <x:c r="F166" s="34"/>
      <x:c r="G166" s="34"/>
    </x:row>
    <x:row r="167">
      <x:c r="A167" s="34"/>
      <x:c r="B167" s="34"/>
      <x:c r="C167" s="34"/>
      <x:c r="D167" s="34"/>
      <x:c r="E167" s="34"/>
      <x:c r="F167" s="34"/>
      <x:c r="G167" s="34"/>
    </x:row>
    <x:row r="168">
      <x:c r="A168" s="34"/>
      <x:c r="B168" s="34"/>
      <x:c r="C168" s="34"/>
      <x:c r="D168" s="34"/>
      <x:c r="E168" s="34"/>
      <x:c r="F168" s="34"/>
      <x:c r="G168" s="34"/>
    </x:row>
    <x:row r="169">
      <x:c r="A169" s="34"/>
      <x:c r="B169" s="34"/>
      <x:c r="C169" s="34"/>
      <x:c r="D169" s="34"/>
      <x:c r="E169" s="34"/>
      <x:c r="F169" s="34"/>
      <x:c r="G169" s="34"/>
    </x:row>
    <x:row r="170">
      <x:c r="A170" s="34"/>
      <x:c r="B170" s="34"/>
      <x:c r="C170" s="34"/>
      <x:c r="D170" s="34"/>
      <x:c r="E170" s="34"/>
      <x:c r="F170" s="34"/>
      <x:c r="G170" s="34"/>
    </x:row>
    <x:row r="171">
      <x:c r="A171" s="34"/>
      <x:c r="B171" s="34"/>
      <x:c r="C171" s="34"/>
      <x:c r="D171" s="34"/>
      <x:c r="E171" s="34"/>
      <x:c r="F171" s="34"/>
      <x:c r="G171" s="34"/>
    </x:row>
    <x:row r="172">
      <x:c r="A172" s="34"/>
      <x:c r="B172" s="34"/>
      <x:c r="C172" s="34"/>
      <x:c r="D172" s="34"/>
      <x:c r="E172" s="34"/>
      <x:c r="F172" s="34"/>
      <x:c r="G172" s="34"/>
    </x:row>
    <x:row r="173">
      <x:c r="A173" s="34"/>
      <x:c r="B173" s="34"/>
      <x:c r="C173" s="34"/>
      <x:c r="D173" s="34"/>
      <x:c r="E173" s="34"/>
      <x:c r="F173" s="34"/>
      <x:c r="G173" s="34"/>
    </x:row>
    <x:row r="174">
      <x:c r="A174" s="34"/>
      <x:c r="B174" s="34"/>
      <x:c r="C174" s="34"/>
      <x:c r="D174" s="34"/>
      <x:c r="E174" s="34"/>
      <x:c r="F174" s="34"/>
      <x:c r="G174" s="34"/>
    </x:row>
    <x:row r="175">
      <x:c r="A175" s="34"/>
      <x:c r="B175" s="34"/>
      <x:c r="C175" s="34"/>
      <x:c r="D175" s="34"/>
      <x:c r="E175" s="34"/>
      <x:c r="F175" s="34"/>
      <x:c r="G175" s="34"/>
    </x:row>
    <x:row r="176">
      <x:c r="A176" s="34"/>
      <x:c r="B176" s="34"/>
      <x:c r="C176" s="34"/>
      <x:c r="D176" s="34"/>
      <x:c r="E176" s="34"/>
      <x:c r="F176" s="34"/>
      <x:c r="G176" s="34"/>
    </x:row>
    <x:row r="177">
      <x:c r="A177" s="34"/>
      <x:c r="B177" s="34"/>
      <x:c r="C177" s="34"/>
      <x:c r="D177" s="34"/>
      <x:c r="E177" s="34"/>
      <x:c r="F177" s="34"/>
      <x:c r="G177" s="34"/>
    </x:row>
    <x:row r="178">
      <x:c r="A178" s="34"/>
      <x:c r="B178" s="34"/>
      <x:c r="C178" s="34"/>
      <x:c r="D178" s="34"/>
      <x:c r="E178" s="34"/>
      <x:c r="F178" s="34"/>
      <x:c r="G178" s="34"/>
    </x:row>
    <x:row r="179">
      <x:c r="A179" s="34"/>
      <x:c r="B179" s="34"/>
      <x:c r="C179" s="34"/>
      <x:c r="D179" s="34"/>
      <x:c r="E179" s="34"/>
      <x:c r="F179" s="34"/>
      <x:c r="G179" s="34"/>
    </x:row>
    <x:row r="180">
      <x:c r="A180" s="34"/>
      <x:c r="B180" s="34"/>
      <x:c r="C180" s="34"/>
      <x:c r="D180" s="34"/>
      <x:c r="E180" s="34"/>
      <x:c r="F180" s="34"/>
      <x:c r="G180" s="34"/>
    </x:row>
    <x:row r="181">
      <x:c r="A181" s="34"/>
      <x:c r="B181" s="34"/>
      <x:c r="C181" s="34"/>
      <x:c r="D181" s="34"/>
      <x:c r="E181" s="34"/>
      <x:c r="F181" s="34"/>
      <x:c r="G181" s="34"/>
    </x:row>
    <x:row r="182">
      <x:c r="A182" s="34"/>
      <x:c r="B182" s="34"/>
      <x:c r="C182" s="34"/>
      <x:c r="D182" s="34"/>
      <x:c r="E182" s="34"/>
      <x:c r="F182" s="34"/>
      <x:c r="G182" s="34"/>
    </x:row>
    <x:row r="183">
      <x:c r="A183" s="34"/>
      <x:c r="B183" s="34"/>
      <x:c r="C183" s="34"/>
      <x:c r="D183" s="34"/>
      <x:c r="E183" s="34"/>
      <x:c r="F183" s="34"/>
      <x:c r="G183" s="34"/>
    </x:row>
    <x:row r="184">
      <x:c r="A184" s="34"/>
      <x:c r="B184" s="34"/>
      <x:c r="C184" s="34"/>
      <x:c r="D184" s="34"/>
      <x:c r="E184" s="34"/>
      <x:c r="F184" s="34"/>
      <x:c r="G184" s="34"/>
    </x:row>
    <x:row r="185">
      <x:c r="A185" s="34"/>
      <x:c r="B185" s="34"/>
      <x:c r="C185" s="34"/>
      <x:c r="D185" s="34"/>
      <x:c r="E185" s="34"/>
      <x:c r="F185" s="34"/>
      <x:c r="G185" s="34"/>
    </x:row>
    <x:row r="186">
      <x:c r="A186" s="34"/>
      <x:c r="B186" s="34"/>
      <x:c r="C186" s="34"/>
      <x:c r="D186" s="34"/>
      <x:c r="E186" s="34"/>
      <x:c r="F186" s="34"/>
      <x:c r="G186" s="34"/>
    </x:row>
    <x:row r="187">
      <x:c r="A187" s="34"/>
      <x:c r="B187" s="34"/>
      <x:c r="C187" s="34"/>
      <x:c r="D187" s="34"/>
      <x:c r="E187" s="34"/>
      <x:c r="F187" s="34"/>
      <x:c r="G187" s="34"/>
    </x:row>
    <x:row r="188">
      <x:c r="A188" s="34"/>
      <x:c r="B188" s="34"/>
      <x:c r="C188" s="34"/>
      <x:c r="D188" s="34"/>
      <x:c r="E188" s="34"/>
      <x:c r="F188" s="34"/>
      <x:c r="G188" s="34"/>
    </x:row>
    <x:row r="189">
      <x:c r="A189" s="34"/>
      <x:c r="B189" s="34"/>
      <x:c r="C189" s="34"/>
      <x:c r="D189" s="34"/>
      <x:c r="E189" s="34"/>
      <x:c r="F189" s="34"/>
      <x:c r="G189" s="34"/>
    </x:row>
    <x:row r="190">
      <x:c r="A190" s="34"/>
      <x:c r="B190" s="34"/>
      <x:c r="C190" s="34"/>
      <x:c r="D190" s="34"/>
      <x:c r="E190" s="34"/>
      <x:c r="F190" s="34"/>
      <x:c r="G190" s="34"/>
    </x:row>
    <x:row r="191">
      <x:c r="A191" s="34"/>
      <x:c r="B191" s="34"/>
      <x:c r="C191" s="34"/>
      <x:c r="D191" s="34"/>
      <x:c r="E191" s="34"/>
      <x:c r="F191" s="34"/>
      <x:c r="G191" s="34"/>
    </x:row>
    <x:row r="192">
      <x:c r="A192" s="34"/>
      <x:c r="B192" s="34"/>
      <x:c r="C192" s="34"/>
      <x:c r="D192" s="34"/>
      <x:c r="E192" s="34"/>
      <x:c r="F192" s="34"/>
      <x:c r="G192" s="34"/>
    </x:row>
    <x:row r="193">
      <x:c r="A193" s="34"/>
      <x:c r="B193" s="34"/>
      <x:c r="C193" s="34"/>
      <x:c r="D193" s="34"/>
      <x:c r="E193" s="34"/>
      <x:c r="F193" s="34"/>
      <x:c r="G193" s="34"/>
    </x:row>
    <x:row r="194">
      <x:c r="A194" s="34"/>
      <x:c r="B194" s="34"/>
      <x:c r="C194" s="34"/>
      <x:c r="D194" s="34"/>
      <x:c r="E194" s="34"/>
      <x:c r="F194" s="34"/>
      <x:c r="G194" s="34"/>
    </x:row>
    <x:row r="195">
      <x:c r="A195" s="34"/>
      <x:c r="B195" s="34"/>
      <x:c r="C195" s="34"/>
      <x:c r="D195" s="34"/>
      <x:c r="E195" s="34"/>
      <x:c r="F195" s="34"/>
      <x:c r="G195" s="34"/>
    </x:row>
    <x:row r="196">
      <x:c r="A196" s="34"/>
      <x:c r="B196" s="34"/>
      <x:c r="C196" s="34"/>
      <x:c r="D196" s="34"/>
      <x:c r="E196" s="34"/>
      <x:c r="F196" s="34"/>
      <x:c r="G196" s="34"/>
    </x:row>
    <x:row r="197">
      <x:c r="A197" s="34"/>
      <x:c r="B197" s="34"/>
      <x:c r="C197" s="34"/>
      <x:c r="D197" s="34"/>
      <x:c r="E197" s="34"/>
      <x:c r="F197" s="34"/>
      <x:c r="G197" s="34"/>
    </x:row>
    <x:row r="198">
      <x:c r="A198" s="34"/>
      <x:c r="B198" s="34"/>
      <x:c r="C198" s="34"/>
      <x:c r="D198" s="34"/>
      <x:c r="E198" s="34"/>
      <x:c r="F198" s="34"/>
      <x:c r="G198" s="34"/>
    </x:row>
    <x:row r="199">
      <x:c r="A199" s="34"/>
      <x:c r="B199" s="34"/>
      <x:c r="C199" s="34"/>
      <x:c r="D199" s="34"/>
      <x:c r="E199" s="34"/>
      <x:c r="F199" s="34"/>
      <x:c r="G199" s="34"/>
    </x:row>
    <x:row r="200">
      <x:c r="A200" s="34"/>
      <x:c r="B200" s="34"/>
      <x:c r="C200" s="34"/>
      <x:c r="D200" s="34"/>
      <x:c r="E200" s="34"/>
      <x:c r="F200" s="34"/>
      <x:c r="G200" s="34"/>
    </x:row>
  </x:sheetData>
  <x:conditionalFormatting sqref="E2:E13">
    <x:cfRule type="expression" dxfId="2" priority="1">
      <x:formula>E2="HIGH"</x:formula>
    </x:cfRule>
    <x:cfRule type="expression" dxfId="3" priority="2">
      <x:formula>E2="MEDIUM"</x:formula>
    </x:cfRule>
    <x:cfRule type="expression" dxfId="4" priority="3">
      <x:formula>E2="PENDING"</x:formula>
    </x:cfRule>
  </x:conditionalFormatting>
  <x:pageMargins left="0.7" right="0.7" top="0.75" bottom="0.75" header="0.3" footer="0.3"/>
  <x:tableParts count="1">
    <x:tablePart xmlns:r="http://schemas.openxmlformats.org/officeDocument/2006/relationships" r:id="R6982db2638db4e62"/>
  </x:tableParts>
</x:worksheet>
</file>

<file path=xl/worksheets/sheet5.xml><?xml version="1.0" encoding="utf-8"?>
<x:worksheet xmlns:x="http://schemas.openxmlformats.org/spreadsheetml/2006/main">
  <x:sheetFormatPr defaultRowHeight="15"/>
  <x:cols>
    <x:col min="1" max="1" width="28" hidden="0" customWidth="1"/>
    <x:col min="2" max="2" width="104" hidden="0" customWidth="1"/>
  </x:cols>
  <x:sheetData>
    <x:row r="1" ht="19.200000762939453" hidden="0" customHeight="1">
      <x:c r="A1" s="5" t="str">
        <x:v>Method, Rights, Safety and Confidence Rules</x:v>
      </x:c>
      <x:c r="B1" s="5"/>
      <x:c r="C1" s="5"/>
      <x:c r="D1" s="5"/>
      <x:c r="E1" s="5"/>
      <x:c r="F1" s="5"/>
    </x:row>
    <x:row r="2"/>
    <x:row r="3" ht="15" hidden="0" customHeight="1">
      <x:c r="A3" s="32" t="str">
        <x:v>Field / Code</x:v>
      </x:c>
      <x:c r="B3" s="32" t="str">
        <x:v>Definition</x:v>
      </x:c>
    </x:row>
    <x:row r="4" ht="26.399999618530273" hidden="0" customHeight="1">
      <x:c r="A4" s="34" t="str">
        <x:v>Project scope</x:v>
      </x:c>
      <x:c r="B4" s="34" t="str">
        <x:v>All publicly discoverable BMXMuseum bikes, brands, parts, reference material, forum history, people, dates and record relationships—not international material only.</x:v>
      </x:c>
    </x:row>
    <x:row r="5" ht="15" hidden="0" customHeight="1">
      <x:c r="A5" s="34" t="str">
        <x:v>A1</x:v>
      </x:c>
      <x:c r="B5" s="34" t="str">
        <x:v>Exact BMXMuseum record ID and submitted identity exposed by a first-party BMXMuseum/GAry Sansom public account.</x:v>
      </x:c>
    </x:row>
    <x:row r="6" ht="15" hidden="0" customHeight="1">
      <x:c r="A6" s="34" t="str">
        <x:v>A2</x:v>
      </x:c>
      <x:c r="B6" s="34" t="str">
        <x:v>Exact record ID and identity exposed by a credible external public source or identification discussion.</x:v>
      </x:c>
    </x:row>
    <x:row r="7" ht="15" hidden="0" customHeight="1">
      <x:c r="A7" s="34" t="str">
        <x:v>A3</x:v>
      </x:c>
      <x:c r="B7" s="34" t="str">
        <x:v>Exact ID found, but model/year/title remains ambiguous.</x:v>
      </x:c>
    </x:row>
    <x:row r="8" ht="15" hidden="0" customHeight="1">
      <x:c r="A8" s="34" t="str">
        <x:v>OFFICIAL-SOCIAL-EXACT</x:v>
      </x:c>
      <x:c r="B8" s="34" t="str">
        <x:v>First-party social post links an exact BMXMuseum record.</x:v>
      </x:c>
    </x:row>
    <x:row r="9" ht="15" hidden="0" customHeight="1">
      <x:c r="A9" s="34" t="str">
        <x:v>OFFICIAL-SOCIAL-TITLE</x:v>
      </x:c>
      <x:c r="B9" s="34" t="str">
        <x:v>First-party social post exposes a bike title but no exact record ID.</x:v>
      </x:c>
    </x:row>
    <x:row r="10" ht="15" hidden="0" customHeight="1">
      <x:c r="A10" s="34" t="str">
        <x:v>EXTERNAL-DIRECT-LINK</x:v>
      </x:c>
      <x:c r="B10" s="34" t="str">
        <x:v>External public page links directly to a BMXMuseum record.</x:v>
      </x:c>
    </x:row>
    <x:row r="11" ht="15" hidden="0" customHeight="1">
      <x:c r="A11" s="34" t="str">
        <x:v>EXTERNAL-IDENTIFICATION</x:v>
      </x:c>
      <x:c r="B11" s="34" t="str">
        <x:v>External discussion uses one or more BMXMuseum records as comparison evidence.</x:v>
      </x:c>
    </x:row>
    <x:row r="12" ht="15" hidden="0" customHeight="1">
      <x:c r="A12" s="34" t="str">
        <x:v>INDEX-ONLY</x:v>
      </x:c>
      <x:c r="B12" s="34" t="str">
        <x:v>Store metadata, URL, factual paraphrase, provenance and verification notes; no blanket republication permission.</x:v>
      </x:c>
    </x:row>
    <x:row r="13" ht="15" hidden="0" customHeight="1">
      <x:c r="A13" s="34" t="str">
        <x:v>RESTRICTED</x:v>
      </x:c>
      <x:c r="B13" s="34" t="str">
        <x:v>Do not collect, copy or republish without permission or a separate rights determination.</x:v>
      </x:c>
    </x:row>
    <x:row r="14" ht="15" hidden="0" customHeight="1">
      <x:c r="A14" s="34" t="str">
        <x:v>No bypass</x:v>
      </x:c>
      <x:c r="B14" s="34" t="str">
        <x:v>Do not defeat robots controls, rate limits, logins, CAPTCHAs, blocks or other technical restrictions.</x:v>
      </x:c>
    </x:row>
    <x:row r="15" ht="15" hidden="0" customHeight="1">
      <x:c r="A15" s="34" t="str">
        <x:v>No personal-data harvesting</x:v>
      </x:c>
      <x:c r="B15" s="34" t="str">
        <x:v>Do not build member dossiers or collect email, address, private-message, transaction-history or unnecessary profile data.</x:v>
      </x:c>
    </x:row>
    <x:row r="16" ht="26.399999618530273" hidden="0" customHeight="1">
      <x:c r="A16" s="34" t="str">
        <x:v>No image copying</x:v>
      </x:c>
      <x:c r="B16" s="34" t="str">
        <x:v>Record that an image exists and link to its page; do not download or republish it absent permission or other clear rights basis.</x:v>
      </x:c>
    </x:row>
    <x:row r="17" ht="15" hidden="0" customHeight="1">
      <x:c r="A17" s="34"/>
      <x:c r="B17" s="34"/>
    </x:row>
    <x:row r="18" ht="15" hidden="0" customHeight="1">
      <x:c r="A18" s="47" t="str">
        <x:v>Required interpretation rule</x:v>
      </x:c>
      <x:c r="B18" s="47"/>
      <x:c r="C18" s="43"/>
      <x:c r="D18" s="43"/>
      <x:c r="E18" s="43"/>
      <x:c r="F18" s="43"/>
    </x:row>
    <x:row r="19" ht="118.80000305175781" hidden="0" customHeight="1">
      <x:c r="A19" s="34" t="str">
        <x:v>A BMXMuseum submission proves that a public record exists and shows how the bicycle was labeled. It does not by itself prove factory originality, correct model year, manufacturing origin, provenance, rarity, component specification or authenticity. Those must be verified separately.</x:v>
      </x:c>
      <x:c r="B19" s="34"/>
      <x:c r="C19" s="26"/>
      <x:c r="D19" s="26"/>
      <x:c r="E19" s="26"/>
      <x:c r="F19" s="26"/>
    </x:row>
    <x:row r="20" ht="15" hidden="0" customHeight="1">
      <x:c r="A20" s="34"/>
      <x:c r="B20" s="34"/>
      <x:c r="C20" s="26"/>
      <x:c r="D20" s="26"/>
      <x:c r="E20" s="26"/>
      <x:c r="F20" s="26"/>
    </x:row>
    <x:row r="21" ht="15" hidden="0" customHeight="1">
      <x:c r="A21" s="34"/>
      <x:c r="B21" s="34"/>
      <x:c r="C21" s="26"/>
      <x:c r="D21" s="26"/>
      <x:c r="E21" s="26"/>
      <x:c r="F21" s="26"/>
    </x:row>
    <x:row r="22" ht="15" hidden="0" customHeight="1">
      <x:c r="A22" s="34"/>
      <x:c r="B22" s="34"/>
      <x:c r="C22" s="26"/>
      <x:c r="D22" s="26"/>
      <x:c r="E22" s="26"/>
      <x:c r="F22" s="26"/>
    </x:row>
    <x:row r="23" ht="15" hidden="0" customHeight="1">
      <x:c r="A23" s="34"/>
      <x:c r="B23" s="34"/>
    </x:row>
    <x:row r="24" ht="15" hidden="0" customHeight="1">
      <x:c r="A24" s="32" t="str">
        <x:v>Access audit — 2026-07-30</x:v>
      </x:c>
      <x:c r="B24" s="32"/>
      <x:c r="C24" s="20"/>
      <x:c r="D24" s="20"/>
      <x:c r="E24" s="20"/>
      <x:c r="F24" s="20"/>
    </x:row>
    <x:row r="25" ht="15" hidden="0" customHeight="1">
      <x:c r="A25" s="32" t="str">
        <x:v>Check</x:v>
      </x:c>
      <x:c r="B25" s="32" t="str">
        <x:v>Result</x:v>
      </x:c>
    </x:row>
    <x:row r="26" ht="26.399999618530273" hidden="0" customHeight="1">
      <x:c r="A26" s="34" t="str">
        <x:v>Direct automated retrieval of /bikes</x:v>
      </x:c>
      <x:c r="B26" s="34" t="str">
        <x:v>Blocked by robots controls in the research browser; not bypassed.</x:v>
      </x:c>
    </x:row>
    <x:row r="27" ht="26.399999618530273" hidden="0" customHeight="1">
      <x:c r="A27" s="34" t="str">
        <x:v>Direct automated retrieval of /forums</x:v>
      </x:c>
      <x:c r="B27" s="34" t="str">
        <x:v>Blocked by robots controls in the research browser; not bypassed.</x:v>
      </x:c>
    </x:row>
    <x:row r="28" ht="26.399999618530273" hidden="0" customHeight="1">
      <x:c r="A28" s="34" t="str">
        <x:v>Direct automated retrieval of /reference</x:v>
      </x:c>
      <x:c r="B28" s="34" t="str">
        <x:v>Blocked by robots controls in the research browser; not bypassed.</x:v>
      </x:c>
    </x:row>
    <x:row r="29" ht="26.399999618530273" hidden="0" customHeight="1">
      <x:c r="A29" s="34" t="str">
        <x:v>Public terms/API/open-data license</x:v>
      </x:c>
      <x:c r="B29" s="34" t="str">
        <x:v>No verified public authorization located in this tranche.</x:v>
      </x:c>
    </x:row>
    <x:row r="30" ht="15" hidden="0" customHeight="1">
      <x:c r="A30" s="34" t="str">
        <x:v>Approved route</x:v>
      </x:c>
      <x:c r="B30" s="34" t="str">
        <x:v>Search-indexed metadata, first-party social links, public backlinks and independent verification.</x:v>
      </x:c>
    </x:row>
    <x:row r="32" ht="44" customHeight="1">
      <x:c r="A32" s="62" t="str">
        <x:v>Expanded object model</x:v>
      </x:c>
      <x:c r="B32" s="26" t="str">
        <x:v>BIKE, PERSON, RESULT, EVENT, TRACK, BRAND, ADVERTISEMENT/CATALOG, REFERENCE, THREAD and RELATIONSHIP.</x:v>
      </x:c>
    </x:row>
    <x:row r="33" ht="44" customHeight="1">
      <x:c r="A33" s="62" t="str">
        <x:v>Rider safeguard</x:v>
      </x:c>
      <x:c r="B33" s="26" t="str">
        <x:v>A BMXMuseum rider profile, forum montage or submitted biography is a research lead. Results, dates, teams and titles are verified independently.</x:v>
      </x:c>
    </x:row>
    <x:row r="34" ht="44" customHeight="1">
      <x:c r="A34" s="62" t="str">
        <x:v>Result safeguard</x:v>
      </x:c>
      <x:c r="B34" s="26" t="str">
        <x:v>Self-reported rankings remain labeled self-reported until a points list, sanctioning-body record or period publication confirms them.</x:v>
      </x:c>
    </x:row>
    <x:row r="35" ht="44" customHeight="1">
      <x:c r="A35" s="62" t="str">
        <x:v>Track safeguard</x:v>
      </x:c>
      <x:c r="B35" s="26" t="str">
        <x:v>A city or recollection is not converted into a named track. Operators, locations, active years and event dates are separate fields.</x:v>
      </x:c>
    </x:row>
    <x:row r="36" ht="44" customHeight="1">
      <x:c r="A36" s="62" t="str">
        <x:v>Brand safeguard</x:v>
      </x:c>
      <x:c r="B36" s="26" t="str">
        <x:v>Submitted bikes do not prove corporate origin, manufacturing country, ownership history or factory specifications.</x:v>
      </x:c>
    </x:row>
    <x:row r="37" ht="44" customHeight="1">
      <x:c r="A37" s="62" t="str">
        <x:v>Advertisement safeguard</x:v>
      </x:c>
      <x:c r="B37" s="26" t="str">
        <x:v>Index title, publication, issue, page, date, brand, rider and product. Do not copy or republish scans without a rights basis.</x:v>
      </x:c>
    </x:row>
    <x:row r="38" ht="44" customHeight="1">
      <x:c r="A38" s="62" t="str">
        <x:v>Relationship safeguard</x:v>
      </x:c>
      <x:c r="B38" s="26" t="str">
        <x:v>Every connection carries its own evidence and confidence; one verified node does not automatically verify all connected claims.</x:v>
      </x:c>
    </x:row>
    <x:row r="39" ht="44" customHeight="1">
      <x:c r="A39" s="62" t="str">
        <x:v>Personal-data rule</x:v>
      </x:c>
      <x:c r="B39" s="26" t="str">
        <x:v>Do not harvest member directories, contact information, private messages, addresses or transaction dossiers.</x:v>
      </x:c>
    </x:row>
    <x:row r="40" ht="44" customHeight="1">
      <x:c r="A40" s="62" t="str">
        <x:v>Commercial-data rule</x:v>
      </x:c>
      <x:c r="B40" s="26" t="str">
        <x:v>Marketplace records may support provenance or historical pricing only; do not build seller profiles.</x:v>
      </x:c>
    </x:row>
    <x:row r="41" ht="44" customHeight="1">
      <x:c r="A41" s="62" t="str">
        <x:v>Image rule</x:v>
      </x:c>
      <x:c r="B41" s="26" t="str">
        <x:v>Images may be noted as present and described at a high level. Do not download or republish them through this pilot.</x:v>
      </x:c>
    </x:row>
    <x:row r="42" ht="44" customHeight="1">
      <x:c r="A42" s="62" t="str">
        <x:v>Current status</x:v>
      </x:c>
      <x:c r="B42" s="26" t="str">
        <x:v>The expanded sheets are an initial evidence-backed tranche, not a complete BMXMuseum extraction.</x:v>
      </x:c>
    </x:row>
    <x:row r="44" ht="44" customHeight="1">
      <x:c r="A44" s="122" t="str">
        <x:v>v0.3 cluster rule</x:v>
      </x:c>
      <x:c r="B44" s="26" t="str">
        <x:v>Deep clusters combine BMXMuseum object identity with independent period, official, first-person and collection evidence.</x:v>
      </x:c>
    </x:row>
    <x:row r="45" ht="44" customHeight="1">
      <x:c r="A45" s="122" t="str">
        <x:v>Historical brand styling</x:v>
      </x:c>
      <x:c r="B45" s="26" t="str">
        <x:v>Use “Diamond Back” for period material and exact historical titles; “Diamondback” may be retained for modern corporate or normalized search fields.</x:v>
      </x:c>
    </x:row>
    <x:row r="46" ht="44" customHeight="1">
      <x:c r="A46" s="122" t="str">
        <x:v>Prototype rule</x:v>
      </x:c>
      <x:c r="B46" s="26" t="str">
        <x:v>A period statement that a prototype was planned, a provenance association, and authentication of a surviving object are separate claims.</x:v>
      </x:c>
    </x:row>
    <x:row r="47" ht="44" customHeight="1">
      <x:c r="A47" s="122" t="str">
        <x:v>Period-source rule</x:v>
      </x:c>
      <x:c r="B47" s="26" t="str">
        <x:v>Page images must be inspected before extracting visual, component, advertisement or specification evidence from a PDF.</x:v>
      </x:c>
    </x:row>
    <x:row r="48" ht="44" customHeight="1">
      <x:c r="A48" s="122" t="str">
        <x:v>Oral-history rule</x:v>
      </x:c>
      <x:c r="B48" s="26" t="str">
        <x:v>Preserve who said what, when, and any known dispute; do not erase disagreement or present memory as an unqualified fact.</x:v>
      </x:c>
    </x:row>
    <x:row r="49" ht="44" customHeight="1">
      <x:c r="A49" s="122" t="str">
        <x:v>Crosswalk rule</x:v>
      </x:c>
      <x:c r="B49" s="26" t="str">
        <x:v>A BMXMuseum record can be an exact object, comparable example, model reference or discovery lead. Record the relationship type explicitly.</x:v>
      </x:c>
    </x:row>
    <x:row r="50" ht="44" customHeight="1">
      <x:c r="A50" s="122" t="str">
        <x:v>Current version</x:v>
      </x:c>
      <x:c r="B50" s="26" t="str">
        <x:v>v0.3 — Harry Leary–Diamond Back priority cluster, dated 2026-07-30.</x:v>
      </x:c>
    </x:row>
    <x:row r="52" ht="45" customHeight="1">
      <x:c r="A52" s="191" t="str">
        <x:v>v0.4 scan scope</x:v>
      </x:c>
      <x:c r="B52" s="26" t="str">
        <x:v>Radical Rick, Team USA, Boss, JAD, Auburn, ELF, Kastan, Formula One/F-1/F1 and Felicia Stancil.</x:v>
      </x:c>
    </x:row>
    <x:row r="53" ht="45" customHeight="1">
      <x:c r="A53" s="191" t="str">
        <x:v>Public-indexing rule</x:v>
      </x:c>
      <x:c r="B53" s="26" t="str">
        <x:v>Only information exposed through public search, public backlinks, first-party sources, official sources or period publications was recorded.</x:v>
      </x:c>
    </x:row>
    <x:row r="54" ht="45" customHeight="1">
      <x:c r="A54" s="191" t="str">
        <x:v>Exact-ID rule</x:v>
      </x:c>
      <x:c r="B54" s="26" t="str">
        <x:v>An exact BMXMuseum ID requires an exposed canonical record link. A model title without an ID remains title-only.</x:v>
      </x:c>
    </x:row>
    <x:row r="55" ht="45" customHeight="1">
      <x:c r="A55" s="191" t="str">
        <x:v>Zero-result rule</x:v>
      </x:c>
      <x:c r="B55" s="26" t="str">
        <x:v>Failure to recover an ID means open research; it never establishes that BMXMuseum lacks the subject.</x:v>
      </x:c>
    </x:row>
    <x:row r="56" ht="45" customHeight="1">
      <x:c r="A56" s="191" t="str">
        <x:v>Submitted-bike rule</x:v>
      </x:c>
      <x:c r="B56" s="26" t="str">
        <x:v>A BMXMuseum record documents a submitted example, not automatic factory originality or provenance.</x:v>
      </x:c>
    </x:row>
    <x:row r="57" ht="45" customHeight="1">
      <x:c r="A57" s="191" t="str">
        <x:v>Artifact rule</x:v>
      </x:c>
      <x:c r="B57" s="26" t="str">
        <x:v>Official race results can verify an athlete's achievement but do not authenticate a surviving bicycle.</x:v>
      </x:c>
    </x:row>
    <x:row r="58" ht="45" customHeight="1">
      <x:c r="A58" s="191" t="str">
        <x:v>Alias rule</x:v>
      </x:c>
      <x:c r="B58" s="26" t="str">
        <x:v>Formula One/F-1/F1, Boss, ELF, Team USA and Sherman require explicit BMX context to prevent false positives.</x:v>
      </x:c>
    </x:row>
    <x:row r="59" ht="45" customHeight="1">
      <x:c r="A59" s="191" t="str">
        <x:v>Rights rule</x:v>
      </x:c>
      <x:c r="B59" s="26" t="str">
        <x:v>Images, advertisements, catalogs and comic pages remain index-only unless a separate rights basis exists.</x:v>
      </x:c>
    </x:row>
    <x:row r="60" ht="45" customHeight="1">
      <x:c r="A60" s="191" t="str">
        <x:v>Permission pathway</x:v>
      </x:c>
      <x:c r="B60" s="26" t="str">
        <x:v>The next escalation should be a bounded request for authorized metadata access or export, not circumvention.</x:v>
      </x:c>
    </x:row>
    <x:row r="61">
      <x:c r="A61" s="331" t="str">
        <x:v>v0.5 integration status</x:v>
      </x:c>
      <x:c r="B61" s="332" t="str">
        <x:v>Merged the v0.4 priority-cluster workbook with the v0.3 price-sheet/flyer branch and added the JMC/reference-recovery pass without deleting either line of work.</x:v>
      </x:c>
    </x:row>
    <x:row r="62">
      <x:c r="A62" s="331" t="str">
        <x:v>Exact-reference recovery rule</x:v>
      </x:c>
      <x:c r="B62" s="332" t="str">
        <x:v>Record an exact BMXMuseum ID only from a publicly exposed canonical link. A title, image filename or secondary mention is not enough.</x:v>
      </x:c>
    </x:row>
    <x:row r="63">
      <x:c r="A63" s="331" t="str">
        <x:v>Unresolved-ID rule</x:v>
      </x:c>
      <x:c r="B63" s="332" t="str">
        <x:v>Failure to recover a canonical ID remains an open question and is never used to claim that BMXMuseum lacks the object.</x:v>
      </x:c>
    </x:row>
    <x:row r="64">
      <x:c r="A64" s="331" t="str">
        <x:v>JMC/BMXA rights note</x:v>
      </x:c>
      <x:c r="B64" s="332" t="str">
        <x:v>The JMC historical archive states that Bicycle Motocross Action images are courtesy of Bob Osborn and require his written permission to copy or reproduce.</x:v>
      </x:c>
    </x:row>
    <x:row r="65">
      <x:c r="A65" s="331" t="str">
        <x:v>Period-ad claim rule</x:v>
      </x:c>
      <x:c r="B65" s="332" t="str">
        <x:v>Specific advertising claims may be paraphrased and attributed when exposed by a first-party historical archive; the complete advertisement text and image remain index-only.</x:v>
      </x:c>
    </x:row>
    <x:row r="66">
      <x:c r="A66" s="333" t="str">
        <x:v>v0.5 ephemera result</x:v>
      </x:c>
      <x:c r="B66" s="334" t="str">
        <x:v>Four price-sheet records, two flyer records, six JMC ephemera objects, six reference-recovery targets, sixteen master advertisement/ephemera records and nineteen relationships. No scans copied.</x:v>
      </x:c>
    </x:row>
    <x:row r="67">
      <x:c r="A67" s="425" t="str">
        <x:v>v0.6 GT/Dyno rule</x:v>
      </x:c>
      <x:c r="B67" s="429" t="str">
        <x:v>Retailer advertisements and catalog price pages are separate source types. A period retailer price is not relabeled as manufacturer MSRP.</x:v>
      </x:c>
    </x:row>
    <x:row r="68">
      <x:c r="A68" s="425" t="str">
        <x:v>Price normalization rule</x:v>
      </x:c>
      <x:c r="B68" s="429" t="str">
        <x:v>Store numeric value, displayed string, currency evidence, seller/market context and price basis separately.</x:v>
      </x:c>
    </x:row>
    <x:row r="69">
      <x:c r="A69" s="425" t="str">
        <x:v>Unknown-model rule</x:v>
      </x:c>
      <x:c r="B69" s="429" t="str">
        <x:v>A visible price does not justify identifying an adjacent or pictured bicycle without page context.</x:v>
      </x:c>
    </x:row>
    <x:row r="70">
      <x:c r="A70" s="425" t="str">
        <x:v>v0.7 Haro rule</x:v>
      </x:c>
      <x:c r="B70" s="429" t="str">
        <x:v>Official archive evidence verifies catalog existence; enthusiast catalog reconstructions remain attributed and must be compared against the official document.</x:v>
      </x:c>
    </x:row>
    <x:row r="71">
      <x:c r="A71" s="425" t="str">
        <x:v>Ashtabula rule</x:v>
      </x:c>
      <x:c r="B71" s="429" t="str">
        <x:v>Reference 5027 is exact through exposed canonical links; date and page-level specifications keep separate confidence.</x:v>
      </x:c>
    </x:row>
    <x:row r="72">
      <x:c r="A72" s="425" t="str">
        <x:v>PDF visual rule</x:v>
      </x:c>
      <x:c r="B72" s="429" t="str">
        <x:v>Page-image evidence was inspected before using Mongoose catalog visuals; the scans were not copied into the workbook.</x:v>
      </x:c>
    </x:row>
    <x:row r="73">
      <x:c r="A73" s="425" t="str">
        <x:v>v0.8 brand rule</x:v>
      </x:c>
      <x:c r="B73" s="429" t="str">
        <x:v>Manufacturer history, specialist archive, period catalog, distributor list and retailer advertisement are distinct evidence roles.</x:v>
      </x:c>
    </x:row>
    <x:row r="74">
      <x:c r="A74" s="425" t="str">
        <x:v>Historical currency rule</x:v>
      </x:c>
      <x:c r="B74" s="429" t="str">
        <x:v>Australian, British and U.S. price observations retain currency/geography evidence and are never pooled without normalization.</x:v>
      </x:c>
    </x:row>
    <x:row r="75">
      <x:c r="A75" s="425" t="str">
        <x:v>v0.9 flyer rule</x:v>
      </x:c>
      <x:c r="B75" s="429" t="str">
        <x:v>Event flyers, registration coupons, contest forms, mailers, dealer advertisements and tour notices remain distinct object types.</x:v>
      </x:c>
    </x:row>
    <x:row r="76">
      <x:c r="A76" s="425" t="str">
        <x:v>Flyer privacy rule</x:v>
      </x:c>
      <x:c r="B76" s="429" t="str">
        <x:v>Do not preserve unnecessary personal street addresses from period notices; retain only historically necessary contact roles and public event data.</x:v>
      </x:c>
    </x:row>
    <x:row r="77" ht="48" customHeight="1">
      <x:c r="A77" s="508" t="str">
        <x:v>v1.2 release</x:v>
      </x:c>
      <x:c r="B77" s="442" t="str">
        <x:v>Added a complete physical-evidence roadmap and continued nonphysical research into DIRTWERX, GHP, JMC and GT/Dyno.</x:v>
      </x:c>
    </x:row>
    <x:row r="78" ht="48" customHeight="1">
      <x:c r="A78" s="508" t="str">
        <x:v>Parallel-work rule</x:v>
      </x:c>
      <x:c r="B78" s="442" t="str">
        <x:v>Physical evidence capture may improve artifact grades, but it does not block source recovery, indexing, verification or permission work.</x:v>
      </x:c>
    </x:row>
    <x:row r="79" ht="48" customHeight="1">
      <x:c r="A79" s="508" t="str">
        <x:v>Physical grade rule</x:v>
      </x:c>
      <x:c r="B79" s="442" t="str">
        <x:v>No grade changes from a roadmap task alone. The file, photograph, measurement or document must exist and be entered into the evidence register.</x:v>
      </x:c>
    </x:row>
    <x:row r="80" ht="48" customHeight="1">
      <x:c r="A80" s="508" t="str">
        <x:v>No-disassembly rule</x:v>
      </x:c>
      <x:c r="B80" s="442" t="str">
        <x:v>Do not disassemble or alter an artifact solely to expose evidence unless the action is safe, necessary and documented.</x:v>
      </x:c>
    </x:row>
    <x:row r="81" ht="48" customHeight="1">
      <x:c r="A81" s="508" t="str">
        <x:v>Textile rule</x:v>
      </x:c>
      <x:c r="B81" s="442" t="str">
        <x:v>Textiles are photographed supported and unwashed; wearer attribution requires provenance beyond design and size.</x:v>
      </x:c>
    </x:row>
    <x:row r="82" ht="48" customHeight="1">
      <x:c r="A82" s="508" t="str">
        <x:v>Document rule</x:v>
      </x:c>
      <x:c r="B82" s="442" t="str">
        <x:v>Capture every page and preserve postal/imprint evidence; redact private data only in public derivatives.</x:v>
      </x:c>
    </x:row>
    <x:row r="83" ht="48" customHeight="1">
      <x:c r="A83" s="495" t="str">
        <x:v>DIRTWERX rule</x:v>
      </x:c>
      <x:c r="B83" s="26" t="str">
        <x:v>Founder recollections control attributed company history; model, serial and prototype claims require artifact and period evidence.</x:v>
      </x:c>
    </x:row>
    <x:row r="84" ht="48" customHeight="1">
      <x:c r="A84" s="495" t="str">
        <x:v>GHP rule</x:v>
      </x:c>
      <x:c r="B84" s="26" t="str">
        <x:v>Brand representation, personal wear/use and exact product-model identity remain separate claims.</x:v>
      </x:c>
    </x:row>
    <x:row r="85" ht="48" customHeight="1">
      <x:c r="A85" s="495" t="str">
        <x:v>JMC rule</x:v>
      </x:c>
      <x:c r="B85" s="26" t="str">
        <x:v>First-person production guidance is high-value but retains its stated unresolved transitions and must be applied model-by-model.</x:v>
      </x:c>
    </x:row>
    <x:row r="86" ht="48" customHeight="1">
      <x:c r="A86" s="495" t="str">
        <x:v>GT/Dyno rule</x:v>
      </x:c>
      <x:c r="B86" s="26" t="str">
        <x:v>Official/founder history controls corporate chronology; catalogs and individual-frame evidence control model-year specifications.</x:v>
      </x:c>
    </x:row>
    <x:row r="87" ht="48" customHeight="1">
      <x:c r="A87" s="535" t="str">
        <x:v>v1.3 release</x:v>
      </x:c>
      <x:c r="B87" s="26" t="str">
        <x:v>Prepared a BMXMuseum permission package, metadata specification, safeguards, contact verification and continued exact-ID recovery.</x:v>
      </x:c>
    </x:row>
    <x:row r="88" ht="48" customHeight="1">
      <x:c r="A88" s="535" t="str">
        <x:v>Preferred permission route</x:v>
      </x:c>
      <x:c r="B88" s="26" t="str">
        <x:v>A BMXMuseum-supplied metadata export is preferred over any crawler.</x:v>
      </x:c>
    </x:row>
    <x:row r="89" ht="48" customHeight="1">
      <x:c r="A89" s="535" t="str">
        <x:v>Alternate permission route</x:v>
      </x:c>
      <x:c r="B89" s="26" t="str">
        <x:v>A named, single-connection, one-request-per-five-seconds crawl/API may be used only if explicitly authorized.</x:v>
      </x:c>
    </x:row>
    <x:row r="90" ht="48" customHeight="1">
      <x:c r="A90" s="535" t="str">
        <x:v>Pilot cap</x:v>
      </x:c>
      <x:c r="B90" s="26" t="str">
        <x:v>Thirty days or 1,000 records, followed by review before expansion.</x:v>
      </x:c>
    </x:row>
    <x:row r="91" ht="48" customHeight="1">
      <x:c r="A91" s="535" t="str">
        <x:v>Explicit exclusions</x:v>
      </x:c>
      <x:c r="B91" s="26" t="str">
        <x:v>No images, descriptions, forum bodies, profiles, contacts, private messages, classifieds or transaction dossiers.</x:v>
      </x:c>
    </x:row>
    <x:row r="92" ht="48" customHeight="1">
      <x:c r="A92" s="535" t="str">
        <x:v>No-mirror rule</x:v>
      </x:c>
      <x:c r="B92" s="26" t="str">
        <x:v>Public output is a derived factual research register with attribution and canonical links, never a substitute for BMXMuseum.</x:v>
      </x:c>
    </x:row>
    <x:row r="93" ht="48" customHeight="1">
      <x:c r="A93" s="535" t="str">
        <x:v>Correction control</x:v>
      </x:c>
      <x:c r="B93" s="26" t="str">
        <x:v>BMXMuseum may request a pause, scope reduction, correction or removal of derived entries.</x:v>
      </x:c>
    </x:row>
    <x:row r="94" ht="48" customHeight="1">
      <x:c r="A94" s="535" t="str">
        <x:v>Contact caution</x:v>
      </x:c>
      <x:c r="B94" s="26" t="str">
        <x:v>bmxmuseum@gmail.com is a candidate address from a secondary directory and must be verified before sending.</x:v>
      </x:c>
    </x:row>
    <x:row r="95" ht="48" customHeight="1">
      <x:c r="A95" s="535" t="str">
        <x:v>New recovery</x:v>
      </x:c>
      <x:c r="B95" s="26" t="str">
        <x:v>Added GHP 134275, Dyno 70676, Dyno forums 429280/528632/538921, and GT references 7358/7360.</x:v>
      </x:c>
    </x:row>
    <x:row r="96" ht="48" customHeight="1">
      <x:c r="A96" s="535" t="str">
        <x:v>DIRTWERX gap</x:v>
      </x:c>
      <x:c r="B96" s="26" t="str">
        <x:v>No exact BMXMuseum ID recovered in this pass; remains a priority for permission-based metadata access.</x:v>
      </x:c>
    </x:row>
    <x:row r="97" ht="48" customHeight="1">
      <x:c r="A97" s="554" t="str">
        <x:v>v1.4 release</x:v>
      </x:c>
      <x:c r="B97" s="26" t="str">
        <x:v>Built a deep DIRTWERX and GHP dossier with company/product/team chronology, claim-level evidence, corrections, relationships and artifact crosswalks.</x:v>
      </x:c>
    </x:row>
    <x:row r="98" ht="48" customHeight="1">
      <x:c r="A98" s="554" t="str">
        <x:v>Current permission policy</x:v>
      </x:c>
      <x:c r="B98" s="26" t="str">
        <x:v>Use only sources available without special permission. The v1.3 permission package is archived and dormant.</x:v>
      </x:c>
    </x:row>
    <x:row r="99" ht="48" customHeight="1">
      <x:c r="A99" s="554" t="str">
        <x:v>No-contact status</x:v>
      </x:c>
      <x:c r="B99" s="26" t="str">
        <x:v>No BMXMuseum request is required or active. Permission may be revisited only for a specific future need.</x:v>
      </x:c>
    </x:row>
    <x:row r="100" ht="48" customHeight="1">
      <x:c r="A100" s="554" t="str">
        <x:v>DIRTWERX chronology rule</x:v>
      </x:c>
      <x:c r="B100" s="26" t="str">
        <x:v>Use circa 1995 as formation context and 1996 as founder-attributed practical launch; do not force a single exact founding date.</x:v>
      </x:c>
    </x:row>
    <x:row r="101" ht="48" customHeight="1">
      <x:c r="A101" s="554" t="str">
        <x:v>DIRTWERX product rule</x:v>
      </x:c>
      <x:c r="B101" s="26" t="str">
        <x:v>Leary's 2000 interview is a dated product snapshot, not proof that every feature applied to every year/model/prototype.</x:v>
      </x:c>
    </x:row>
    <x:row r="102" ht="48" customHeight="1">
      <x:c r="A102" s="554" t="str">
        <x:v>DIRTWERX gear rule</x:v>
      </x:c>
      <x:c r="B102" s="26" t="str">
        <x:v>Branding does not establish helmet/jersey manufacturer, date or race use. Reject 1980s DIRTWERX company claims.</x:v>
      </x:c>
    </x:row>
    <x:row r="103" ht="48" customHeight="1">
      <x:c r="A103" s="554" t="str">
        <x:v>GHP chronology rule</x:v>
      </x:c>
      <x:c r="B103" s="26" t="str">
        <x:v>Period evidence supports a 1983 launch. Later revival dates remain secondary until first-party or period sources are recovered.</x:v>
      </x:c>
    </x:row>
    <x:row r="104" ht="48" customHeight="1">
      <x:c r="A104" s="554" t="str">
        <x:v>GHP structure rule</x:v>
      </x:c>
      <x:c r="B104" s="26" t="str">
        <x:v>GHP, CyclePro and West Coast Cycle relationships do not automatically establish ownership or fabrication roles.</x:v>
      </x:c>
    </x:row>
    <x:row r="105" ht="48" customHeight="1">
      <x:c r="A105" s="554" t="str">
        <x:v>Artifact separation rule</x:v>
      </x:c>
      <x:c r="B105" s="26" t="str">
        <x:v>26.0022 and 26.0026 are two separate GHP jerseys with independent evidence records.</x:v>
      </x:c>
    </x:row>
    <x:row r="106" ht="48" customHeight="1">
      <x:c r="A106" s="554" t="str">
        <x:v>Plate rule</x:v>
      </x:c>
      <x:c r="B106" s="26" t="str">
        <x:v>The #15 plate on 26.0045 has no verified rider or event attribution.</x:v>
      </x:c>
    </x:row>
    <x:row r="107" ht="50" customHeight="1">
      <x:c r="A107" s="589" t="str">
        <x:v>v1.5 release</x:v>
      </x:c>
      <x:c r="B107" s="26" t="str">
        <x:v>Added a JMC production/reference dossier with chronology, models, serial rules, firsts, period tests, riders, BMXMuseum objects, ephemera, crosswalks, claims, corrections and open questions.</x:v>
      </x:c>
    </x:row>
    <x:row r="108" ht="50" customHeight="1">
      <x:c r="A108" s="589" t="str">
        <x:v>JMC phase rule</x:v>
      </x:c>
      <x:c r="B108" s="26" t="str">
        <x:v>1969 business origin, 1974 BMX involvement, 1975 shop team, 1976 prototypes and 1977 production are separate phases.</x:v>
      </x:c>
    </x:row>
    <x:row r="109" ht="50" customHeight="1">
      <x:c r="A109" s="589" t="str">
        <x:v>JMC serial rule</x:v>
      </x:c>
      <x:c r="B109" s="26" t="str">
        <x:v>No serial prefix or two-digit code is interpreted without model, period, construction and provenance context.</x:v>
      </x:c>
    </x:row>
    <x:row r="110" ht="50" customHeight="1">
      <x:c r="A110" s="589" t="str">
        <x:v>JMC certification rule</x:v>
      </x:c>
      <x:c r="B110" s="26" t="str">
        <x:v>Future candidate frames require serial, JMC stamp behind top tube, bottom bracket and complete-frame photographs, following current official practice.</x:v>
      </x:c>
    </x:row>
    <x:row r="111" ht="50" customHeight="1">
      <x:c r="A111" s="589" t="str">
        <x:v>JMC survivor rule</x:v>
      </x:c>
      <x:c r="B111" s="26" t="str">
        <x:v>Known-survivor records are comparison leads, not production totals or complete censuses.</x:v>
      </x:c>
    </x:row>
    <x:row r="112" ht="50" customHeight="1">
      <x:c r="A112" s="589" t="str">
        <x:v>JMC test rule</x:v>
      </x:c>
      <x:c r="B112" s="26" t="str">
        <x:v>Period magazine measurements apply to the tested object/configuration, not every factory or submitted build.</x:v>
      </x:c>
    </x:row>
    <x:row r="113" ht="50" customHeight="1">
      <x:c r="A113" s="589" t="str">
        <x:v>JMC firsts rule</x:v>
      </x:c>
      <x:c r="B113" s="26" t="str">
        <x:v>Prototype, first production, first team, first development group and first retail sale remain separate categories.</x:v>
      </x:c>
    </x:row>
    <x:row r="114" ht="50" customHeight="1">
      <x:c r="A114" s="589" t="str">
        <x:v>JMC BMXMuseum rule</x:v>
      </x:c>
      <x:c r="B114" s="26" t="str">
        <x:v>Exact public title/year metadata identifies a submitted record but does not authenticate serial, originality or components.</x:v>
      </x:c>
    </x:row>
    <x:row r="115" ht="50" customHeight="1">
      <x:c r="A115" s="589" t="str">
        <x:v>JMC rights rule</x:v>
      </x:c>
      <x:c r="B115" s="26" t="str">
        <x:v>JMC/BMXA imagery is not reproduced; bibliographic metadata and factual paraphrase only.</x:v>
      </x:c>
    </x:row>
    <x:row r="116" ht="50" customHeight="1">
      <x:c r="A116" s="589" t="str">
        <x:v>JMC tribute rule</x:v>
      </x:c>
      <x:c r="B116" s="26" t="str">
        <x:v>The 2022 Team USA JMC/Darrell Young design is modern commemorative evidence, not period factory-team apparel.</x:v>
      </x:c>
    </x:row>
    <x:row r="117" ht="50" customHeight="1">
      <x:c r="A117" s="589" t="str">
        <x:v>Permission status</x:v>
      </x:c>
      <x:c r="B117" s="26" t="str">
        <x:v>Permission request remains archived and dormant; v1.5 uses public permission-free sources only.</x:v>
      </x:c>
    </x:row>
    <x:row r="118" ht="50" customHeight="1">
      <x:c r="A118" s="589" t="str">
        <x:v>Next controlled phase</x:v>
      </x:c>
      <x:c r="B118" s="26" t="str">
        <x:v>v1.6 GT/Dyno catalog-controlled model register and exact-reference recovery.</x:v>
      </x:c>
    </x:row>
    <x:row r="119" ht="50" customHeight="1">
      <x:c r="A119" s="610" t="str">
        <x:v>v1.6 release</x:v>
      </x:c>
      <x:c r="B119" s="26" t="str">
        <x:v>Added GT/Dyno chronology, separate model registers, catalog matrix, factory/serial rules, people/teams, period sources, BMXMuseum objects, Lititz crosswalk, claims, corrections, relationships and open questions.</x:v>
      </x:c>
    </x:row>
    <x:row r="120" ht="50" customHeight="1">
      <x:c r="A120" s="610" t="str">
        <x:v>GT origin rule</x:v>
      </x:c>
      <x:c r="B120" s="26" t="str">
        <x:v>1972 is the first GT frame date, not automatically the legal company or complete-bike date.</x:v>
      </x:c>
    </x:row>
    <x:row r="121" ht="50" customHeight="1">
      <x:c r="A121" s="610" t="str">
        <x:v>Dyno origin rule</x:v>
      </x:c>
      <x:c r="B121" s="26" t="str">
        <x:v>Dyno's 1982 origin is soft goods/accessories; bicycle production follows the 1985 GT acquisition.</x:v>
      </x:c>
    </x:row>
    <x:row r="122" ht="50" customHeight="1">
      <x:c r="A122" s="610" t="str">
        <x:v>Performer rule</x:v>
      </x:c>
      <x:c r="B122" s="26" t="str">
        <x:v>The 1983 Performer is a GT model designed by Bob Morales and Eddie Fiola before the Dyno acquisition.</x:v>
      </x:c>
    </x:row>
    <x:row r="123" ht="50" customHeight="1">
      <x:c r="A123" s="610" t="str">
        <x:v>Design-credit rule</x:v>
      </x:c>
      <x:c r="B123" s="26" t="str">
        <x:v>Bob Morales credit is model-specific after the documented 1985–1986 acquisition/design period.</x:v>
      </x:c>
    </x:row>
    <x:row r="124" ht="50" customHeight="1">
      <x:c r="A124" s="610" t="str">
        <x:v>Brand-separation rule</x:v>
      </x:c>
      <x:c r="B124" s="26" t="str">
        <x:v>GT and Dyno remain separate product/knowledge nodes despite shared ownership and components.</x:v>
      </x:c>
    </x:row>
    <x:row r="125" ht="50" customHeight="1">
      <x:c r="A125" s="610" t="str">
        <x:v>Catalog-control rule</x:v>
      </x:c>
      <x:c r="B125" s="26" t="str">
        <x:v>Every specification must include model year, market/source, frame material and page/model source.</x:v>
      </x:c>
    </x:row>
    <x:row r="126" ht="50" customHeight="1">
      <x:c r="A126" s="610" t="str">
        <x:v>Serial rule</x:v>
      </x:c>
      <x:c r="B126" s="26" t="str">
        <x:v>Factory prefix and year-specific catalog evidence control serial decoding; universal GT/Dyno formulas are prohibited.</x:v>
      </x:c>
    </x:row>
    <x:row r="127" ht="50" customHeight="1">
      <x:c r="A127" s="610" t="str">
        <x:v>Catalog-absence rule</x:v>
      </x:c>
      <x:c r="B127" s="26" t="str">
        <x:v>An omitted model is an evidence gap, not proof of nonproduction.</x:v>
      </x:c>
    </x:row>
    <x:row r="128" ht="50" customHeight="1">
      <x:c r="A128" s="610" t="str">
        <x:v>Price rule</x:v>
      </x:c>
      <x:c r="B128" s="26" t="str">
        <x:v>Period retailer prices are not MSRP unless the source explicitly labels them.</x:v>
      </x:c>
    </x:row>
    <x:row r="129" ht="50" customHeight="1">
      <x:c r="A129" s="610" t="str">
        <x:v>BMXMuseum rule</x:v>
      </x:c>
      <x:c r="B129" s="26" t="str">
        <x:v>Exact IDs preserve submitted metadata and comparison relationships only; no originality or completeness claim.</x:v>
      </x:c>
    </x:row>
    <x:row r="130" ht="50" customHeight="1">
      <x:c r="A130" s="610" t="str">
        <x:v>Air Show rule</x:v>
      </x:c>
      <x:c r="B130" s="26" t="str">
        <x:v>GT Show, GT Showtime and GT Bicycle Air Show are separate entities.</x:v>
      </x:c>
    </x:row>
    <x:row r="131" ht="50" customHeight="1">
      <x:c r="A131" s="610" t="str">
        <x:v>Modern heritage rule</x:v>
      </x:c>
      <x:c r="B131" s="26" t="str">
        <x:v>Current Dyno Pro Compe products are modern heritage objects, not original old-school examples.</x:v>
      </x:c>
    </x:row>
    <x:row r="132" ht="50" customHeight="1">
      <x:c r="A132" s="610" t="str">
        <x:v>Next controlled phase</x:v>
      </x:c>
      <x:c r="B132" s="26" t="str">
        <x:v>v1.7 — catalogs, advertisements, flyers and price-sheet source expansion across additional brands.</x:v>
      </x:c>
    </x:row>
    <x:row r="133" ht="50" customHeight="1">
      <x:c r="A133" s="631" t="str">
        <x:v>v1.7 release</x:v>
      </x:c>
      <x:c r="B133" s="26" t="str">
        <x:v>Added broad catalog, advertisement, flyer, price-sheet, rights, exact-object and Lititz-crosswalk coverage for Haro, Mongoose, Redline, Hutch, Auburn, ELF, SE Racing and Ashtabula.</x:v>
      </x:c>
    </x:row>
    <x:row r="134" ht="50" customHeight="1">
      <x:c r="A134" s="631" t="str">
        <x:v>Catalog-count rule</x:v>
      </x:c>
      <x:c r="B134" s="26" t="str">
        <x:v>Model counts describe catalog entries, not production totals or surviving populations.</x:v>
      </x:c>
    </x:row>
    <x:row r="135" ht="50" customHeight="1">
      <x:c r="A135" s="631" t="str">
        <x:v>Archive-rights rule</x:v>
      </x:c>
      <x:c r="B135" s="26" t="str">
        <x:v>Official or specialist hosting confirms source provenance but not unrestricted republication rights.</x:v>
      </x:c>
    </x:row>
    <x:row r="136" ht="50" customHeight="1">
      <x:c r="A136" s="631" t="str">
        <x:v>Reconstruction rule</x:v>
      </x:c>
      <x:c r="B136" s="26" t="str">
        <x:v>Catalog reconstructions are secondary sources and must be labeled and compared with original/official documents.</x:v>
      </x:c>
    </x:row>
    <x:row r="137" ht="50" customHeight="1">
      <x:c r="A137" s="631" t="str">
        <x:v>Price-basis rule</x:v>
      </x:c>
      <x:c r="B137" s="26" t="str">
        <x:v>Manufacturer MSRP, distributor list, retailer advertisement, mailer fee and current retail remain separate.</x:v>
      </x:c>
    </x:row>
    <x:row r="138" ht="50" customHeight="1">
      <x:c r="A138" s="631" t="str">
        <x:v>Mailer rule</x:v>
      </x:c>
      <x:c r="B138" s="26" t="str">
        <x:v>Catalog and sticker-pack fees are promotional/distribution costs, not product prices.</x:v>
      </x:c>
    </x:row>
    <x:row r="139" ht="50" customHeight="1">
      <x:c r="A139" s="631" t="str">
        <x:v>Reissue rule</x:v>
      </x:c>
      <x:c r="B139" s="26" t="str">
        <x:v>Modern heritage products and current store prices do not authenticate original-period products.</x:v>
      </x:c>
    </x:row>
    <x:row r="140" ht="50" customHeight="1">
      <x:c r="A140" s="631" t="str">
        <x:v>Catalog-gap rule</x:v>
      </x:c>
      <x:c r="B140" s="26" t="str">
        <x:v>Missing catalog coverage is recorded as a source gap, never evidence of nonproduction.</x:v>
      </x:c>
    </x:row>
    <x:row r="141" ht="50" customHeight="1">
      <x:c r="A141" s="631" t="str">
        <x:v>Advertisement-date rule</x:v>
      </x:c>
      <x:c r="B141" s="26" t="str">
        <x:v>Publication date, availability date and inferred model year remain separate.</x:v>
      </x:c>
    </x:row>
    <x:row r="142" ht="50" customHeight="1">
      <x:c r="A142" s="631" t="str">
        <x:v>Comment rule</x:v>
      </x:c>
      <x:c r="B142" s="26" t="str">
        <x:v>Community comments, asking prices and informal valuations are excluded from controlled historical price observations.</x:v>
      </x:c>
    </x:row>
    <x:row r="143" ht="50" customHeight="1">
      <x:c r="A143" s="631" t="str">
        <x:v>Physical-publication rule</x:v>
      </x:c>
      <x:c r="B143" s="26" t="str">
        <x:v>A brand history cannot date an unidentified physical catalog; artifact-level imprint/postal/interior evidence controls the conclusion.</x:v>
      </x:c>
    </x:row>
    <x:row r="144" ht="50" customHeight="1">
      <x:c r="A144" s="631" t="str">
        <x:v>Auburn source rule</x:v>
      </x:c>
      <x:c r="B144" s="26" t="str">
        <x:v>Todd Huffman's archive is high-value first-person evidence; interpretations, recollections and period objects remain individually qualified.</x:v>
      </x:c>
    </x:row>
    <x:row r="145" ht="50" customHeight="1">
      <x:c r="A145" s="631" t="str">
        <x:v>ELF source rule</x:v>
      </x:c>
      <x:c r="B145" s="26" t="str">
        <x:v>Current first-party Doublecross history does not identify the year/edition of Lititz artifact 26.0006.</x:v>
      </x:c>
    </x:row>
    <x:row r="146" ht="50" customHeight="1">
      <x:c r="A146" s="631" t="str">
        <x:v>SE gap rule</x:v>
      </x:c>
      <x:c r="B146" s="26" t="str">
        <x:v>Modern heritage pages cannot fill missing old-school catalogs.</x:v>
      </x:c>
    </x:row>
    <x:row r="147" ht="50" customHeight="1">
      <x:c r="A147" s="631" t="str">
        <x:v>Permission status</x:v>
      </x:c>
      <x:c r="B147" s="26" t="str">
        <x:v>Permission package remains archived and dormant; v1.7 uses only public permission-free routes.</x:v>
      </x:c>
    </x:row>
    <x:row r="148" ht="50" customHeight="1">
      <x:c r="A148" s="631" t="str">
        <x:v>Next controlled phase</x:v>
      </x:c>
      <x:c r="B148" s="26" t="str">
        <x:v>Consolidate a public-release schema and then continue brand/source recovery from the v1.7 priority queue.</x:v>
      </x:c>
    </x:row>
    <x:row r="149" ht="52" customHeight="1">
      <x:c r="A149" s="653" t="str">
        <x:v>v1.8 release</x:v>
      </x:c>
      <x:c r="B149" s="26" t="str">
        <x:v>Added public record types, field dictionary, page sections, claim/source/relationship cards, publication gates, URL/SEO/accessibility controls, JSON-LD mapping, build queue, sample records, recovery findings and recovery queue.</x:v>
      </x:c>
    </x:row>
    <x:row r="150" ht="52" customHeight="1">
      <x:c r="A150" s="653" t="str">
        <x:v>Public-page rule</x:v>
      </x:c>
      <x:c r="B150" s="26" t="str">
        <x:v>A reader must be able to inspect the claim, status, evidence summary, sources, limitation and revision on the page itself.</x:v>
      </x:c>
    </x:row>
    <x:row r="151" ht="52" customHeight="1">
      <x:c r="A151" s="653" t="str">
        <x:v>Qualified-page rule</x:v>
      </x:c>
      <x:c r="B151" s="26" t="str">
        <x:v>READY-QUALIFIED pages may be indexed when uncertainty is explicit and source/rights gates are clear.</x:v>
      </x:c>
    </x:row>
    <x:row r="152" ht="52" customHeight="1">
      <x:c r="A152" s="653" t="str">
        <x:v>Claim-card rule</x:v>
      </x:c>
      <x:c r="B152" s="26" t="str">
        <x:v>One proposition per claim card; compound claims are split when evidence or status differs.</x:v>
      </x:c>
    </x:row>
    <x:row r="153" ht="52" customHeight="1">
      <x:c r="A153" s="653" t="str">
        <x:v>Boundary rule</x:v>
      </x:c>
      <x:c r="B153" s="26" t="str">
        <x:v>Submitted metadata, rarity and achievement-to-object claims require a visible 'what this does not prove' statement.</x:v>
      </x:c>
    </x:row>
    <x:row r="154" ht="52" customHeight="1">
      <x:c r="A154" s="653" t="str">
        <x:v>Source-card rule</x:v>
      </x:c>
      <x:c r="B154" s="26" t="str">
        <x:v>Every source exposes creator, date, class, contribution, limitation, rights code and canonical link.</x:v>
      </x:c>
    </x:row>
    <x:row r="155" ht="52" customHeight="1">
      <x:c r="A155" s="653" t="str">
        <x:v>Relationship rule</x:v>
      </x:c>
      <x:c r="B155" s="26" t="str">
        <x:v>Controlled predicates, date scope and qualifications are preserved as first-class records.</x:v>
      </x:c>
    </x:row>
    <x:row r="156" ht="52" customHeight="1">
      <x:c r="A156" s="653" t="str">
        <x:v>Stable-ID rule</x:v>
      </x:c>
      <x:c r="B156" s="26" t="str">
        <x:v>Record and claim IDs remain stable when titles or slugs change.</x:v>
      </x:c>
    </x:row>
    <x:row r="157" ht="52" customHeight="1">
      <x:c r="A157" s="653" t="str">
        <x:v>Redirect rule</x:v>
      </x:c>
      <x:c r="B157" s="26" t="str">
        <x:v>Slug changes require redirects; retired/merged records preserve public history.</x:v>
      </x:c>
    </x:row>
    <x:row r="158" ht="52" customHeight="1">
      <x:c r="A158" s="653" t="str">
        <x:v>Indexing rule</x:v>
      </x:c>
      <x:c r="B158" s="26" t="str">
        <x:v>Only READY and READY-QUALIFIED records receive index,follow.</x:v>
      </x:c>
    </x:row>
    <x:row r="159" ht="52" customHeight="1">
      <x:c r="A159" s="653" t="str">
        <x:v>Accessibility rule</x:v>
      </x:c>
      <x:c r="B159" s="26" t="str">
        <x:v>One H1, logical headings, descriptive links, visible status text, keyboard access and observable alt text are blocking requirements.</x:v>
      </x:c>
    </x:row>
    <x:row r="160" ht="52" customHeight="1">
      <x:c r="A160" s="653" t="str">
        <x:v>JSON-LD rule</x:v>
      </x:c>
      <x:c r="B160" s="26" t="str">
        <x:v>Structured data may only express claims visible and supported on the public page.</x:v>
      </x:c>
    </x:row>
    <x:row r="161" ht="52" customHeight="1">
      <x:c r="A161" s="653" t="str">
        <x:v>Prototype-media rule</x:v>
      </x:c>
      <x:c r="B161" s="26" t="str">
        <x:v>The public prototype contains no copied BMXMuseum, catalog, advertisement or magazine images.</x:v>
      </x:c>
    </x:row>
    <x:row r="162" ht="52" customHeight="1">
      <x:c r="A162" s="653" t="str">
        <x:v>Recovery rule</x:v>
      </x:c>
      <x:c r="B162" s="26" t="str">
        <x:v>A title, search image or filename is not converted into a numeric external ID without a public canonical backlink.</x:v>
      </x:c>
    </x:row>
    <x:row r="163" ht="52" customHeight="1">
      <x:c r="A163" s="653" t="str">
        <x:v>Redline update</x:v>
      </x:c>
      <x:c r="B163" s="26" t="str">
        <x:v>The first advertisement is tied to the first December 1976 issue of Bicycle Motocross Action; page number remains open.</x:v>
      </x:c>
    </x:row>
    <x:row r="164" ht="52" customHeight="1">
      <x:c r="A164" s="653" t="str">
        <x:v>Mongoose update</x:v>
      </x:c>
      <x:c r="B164" s="26" t="str">
        <x:v>Sixteen catalog editions and a 1977 manual are confirmed; price-sheet holdings remain unindexed.</x:v>
      </x:c>
    </x:row>
    <x:row r="165" ht="52" customHeight="1">
      <x:c r="A165" s="653" t="str">
        <x:v>Permission status</x:v>
      </x:c>
      <x:c r="B165" s="26" t="str">
        <x:v>Permission package remains archived and dormant; v1.8 remains permission-free.</x:v>
      </x:c>
    </x:row>
    <x:row r="166" ht="52" customHeight="1">
      <x:c r="A166" s="653" t="str">
        <x:v>Next controlled phase</x:v>
      </x:c>
      <x:c r="B166" s="26" t="str">
        <x:v>Convert approved records into production GitHub Pages templates and continue P0 source recovery.</x:v>
      </x:c>
    </x:row>
  </x:sheetData>
  <x:mergeCells>
    <x:mergeCell ref="A1:F1"/>
    <x:mergeCell ref="A18:F18"/>
    <x:mergeCell ref="A19:F22"/>
    <x:mergeCell ref="A24:F24"/>
  </x:mergeCells>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22" hidden="0" customWidth="1"/>
    <x:col min="3" max="3" width="25" hidden="0" customWidth="1"/>
    <x:col min="4" max="4" width="24" hidden="0" customWidth="1"/>
    <x:col min="5" max="5" width="38" hidden="0" customWidth="1"/>
    <x:col min="6" max="6" width="46" hidden="0" customWidth="1"/>
    <x:col min="7" max="7" width="50" hidden="0" customWidth="1"/>
    <x:col min="8" max="8" width="25" hidden="0" customWidth="1"/>
    <x:col min="9" max="9" width="24" hidden="0" customWidth="1"/>
    <x:col min="10" max="10" width="30" hidden="0" customWidth="1"/>
    <x:col min="11" max="11" width="42" hidden="0" customWidth="1"/>
    <x:col min="12" max="12" width="42" hidden="0" customWidth="1"/>
    <x:col min="13" max="13" width="14" hidden="0" customWidth="1"/>
    <x:col min="14" max="14" width="12" hidden="0" customWidth="1"/>
  </x:cols>
  <x:sheetData>
    <x:row r="1" ht="28" customHeight="1">
      <x:c r="A1" s="52" t="str">
        <x:v>People &amp; Riders — BMXMuseum Knowledge Layer</x:v>
      </x:c>
      <x:c r="B1" s="52"/>
      <x:c r="C1" s="52"/>
      <x:c r="D1" s="52"/>
      <x:c r="E1" s="52"/>
      <x:c r="F1" s="52"/>
      <x:c r="G1" s="52"/>
      <x:c r="H1" s="52"/>
      <x:c r="I1" s="52"/>
      <x:c r="J1" s="52"/>
      <x:c r="K1" s="52"/>
      <x:c r="L1" s="52"/>
      <x:c r="M1" s="52"/>
      <x:c r="N1" s="52"/>
    </x:row>
    <x:row r="2" ht="28" customHeight="1">
      <x:c r="A2" s="57" t="str">
        <x:v>A person entry records public claims, roles and relationships. It is not treated as a complete biography until independently verified.</x:v>
      </x:c>
      <x:c r="B2" s="57"/>
      <x:c r="C2" s="57"/>
      <x:c r="D2" s="57"/>
      <x:c r="E2" s="57"/>
      <x:c r="F2" s="57"/>
      <x:c r="G2" s="57"/>
      <x:c r="H2" s="57"/>
      <x:c r="I2" s="57"/>
      <x:c r="J2" s="57"/>
      <x:c r="K2" s="57"/>
      <x:c r="L2" s="57"/>
      <x:c r="M2" s="57"/>
      <x:c r="N2" s="57"/>
    </x:row>
    <x:row r="4">
      <x:c r="A4" s="62" t="str">
        <x:v>Object ID</x:v>
      </x:c>
      <x:c r="B4" s="62" t="str">
        <x:v>Person</x:v>
      </x:c>
      <x:c r="C4" s="62" t="str">
        <x:v>Role / Discipline</x:v>
      </x:c>
      <x:c r="D4" s="62" t="str">
        <x:v>BMXMuseum Object</x:v>
      </x:c>
      <x:c r="E4" s="62" t="str">
        <x:v>BMXMuseum Connection</x:v>
      </x:c>
      <x:c r="F4" s="62" t="str">
        <x:v>Claim / Research Lead</x:v>
      </x:c>
      <x:c r="G4" s="62" t="str">
        <x:v>Independent Verification / Qualification</x:v>
      </x:c>
      <x:c r="H4" s="62" t="str">
        <x:v>Evidence Class</x:v>
      </x:c>
      <x:c r="I4" s="62" t="str">
        <x:v>Confidence</x:v>
      </x:c>
      <x:c r="J4" s="62" t="str">
        <x:v>Research Status</x:v>
      </x:c>
      <x:c r="K4" s="62" t="str">
        <x:v>Discovery Source URL</x:v>
      </x:c>
      <x:c r="L4" s="62" t="str">
        <x:v>Verification URL</x:v>
      </x:c>
      <x:c r="M4" s="62" t="str">
        <x:v>Rights Code</x:v>
      </x:c>
      <x:c r="N4" s="62" t="str">
        <x:v>Accessed</x:v>
      </x:c>
    </x:row>
    <x:row r="5" ht="72" customHeight="1">
      <x:c r="A5" s="26" t="str">
        <x:v>BM-PERSON-0001</x:v>
      </x:c>
      <x:c r="B5" s="26" t="str">
        <x:v>Gary Sansom</x:v>
      </x:c>
      <x:c r="C5" s="26" t="str">
        <x:v>BMX racer; collector; BMXMuseum founder</x:v>
      </x:c>
      <x:c r="D5" s="26" t="str">
        <x:v>BMXMuseum.com / first-person interview</x:v>
      </x:c>
      <x:c r="E5" s="26" t="str">
        <x:v>Founder and operator; interview describes his own racing and preservation work.</x:v>
      </x:c>
      <x:c r="F5" s="26" t="str">
        <x:v>Self-reported: began racing in 1978; progressed through ABA beginner, novice and expert; said he ranked among the top 200 experts in 1982; named Boise, Aptos, Watsonville and Gilroy among places he raced.</x:v>
      </x:c>
      <x:c r="G5" s="26" t="str">
        <x:v>Strong first-person evidence for Sansom's recollection. The 1982 rank and individual race results have not yet been independently audited.</x:v>
      </x:c>
      <x:c r="H5" s="26" t="str">
        <x:v>FIRST-PERSON-INTERVIEW</x:v>
      </x:c>
      <x:c r="I5" s="26" t="str">
        <x:v>HIGH for self-report; MEDIUM for independent verification</x:v>
      </x:c>
      <x:c r="J5" s="26" t="str">
        <x:v>Open — split biography, rankings, bikes and track relationships into separate verified objects.</x:v>
      </x:c>
      <x:c r="K5" s="26" t="str">
        <x:v>https://www.icebike.org/gary-sansom-bmxmuseum-bike-collection/</x:v>
      </x:c>
      <x:c r="L5" s="26" t="str">
        <x:v>https://www.icebike.org/gary-sansom-bmxmuseum-bike-collection/</x:v>
      </x:c>
      <x:c r="M5" s="26" t="str">
        <x:v>INDEX-ONLY</x:v>
      </x:c>
      <x:c r="N5" s="26" t="str">
        <x:v>2026-07-30</x:v>
      </x:c>
    </x:row>
    <x:row r="6" ht="72" customHeight="1">
      <x:c r="A6" s="26" t="str">
        <x:v>BM-PERSON-0002</x:v>
      </x:c>
      <x:c r="B6" s="26" t="str">
        <x:v>Jeff "Battling" Bottema</x:v>
      </x:c>
      <x:c r="C6" s="26" t="str">
        <x:v>BMX racer; product innovator</x:v>
      </x:c>
      <x:c r="D6" s="26" t="str">
        <x:v>Reference 7363</x:v>
      </x:c>
      <x:c r="E6" s="26" t="str">
        <x:v>A public structured-data citation identifies BMXMuseum reference 7363 as a Jeff Bottema profile.</x:v>
      </x:c>
      <x:c r="F6" s="26" t="str">
        <x:v>Potential rider biography and Bottema fork history source.</x:v>
      </x:c>
      <x:c r="G6" s="26" t="str">
        <x:v>USA BMX independently documents the Jeff Bottema/Jeff Watson fork collaboration and its early-1980s influence. Specific statements inside reference 7363 still require direct inspection.</x:v>
      </x:c>
      <x:c r="H6" s="26" t="str">
        <x:v>EXACT-REFERENCE + OFFICIAL-CORROBORATION</x:v>
      </x:c>
      <x:c r="I6" s="26" t="str">
        <x:v>HIGH for reference identity; MEDIUM for uninspected content</x:v>
      </x:c>
      <x:c r="J6" s="26" t="str">
        <x:v>Open — recover permissible metadata and compare with period BMX Action coverage.</x:v>
      </x:c>
      <x:c r="K6" s="26" t="str">
        <x:v>https://bmxmuseum.com/reference/7363</x:v>
      </x:c>
      <x:c r="L6" s="26" t="str">
        <x:v>https://www.usabmx.com/news-and-media/6/2024-06-17/BMX-Hall-of-Fame---Class-of-2024?id=2026</x:v>
      </x:c>
      <x:c r="M6" s="26" t="str">
        <x:v>INDEX-ONLY</x:v>
      </x:c>
      <x:c r="N6" s="26" t="str">
        <x:v>2026-07-30</x:v>
      </x:c>
    </x:row>
    <x:row r="7" ht="72" customHeight="1">
      <x:c r="A7" s="26" t="str">
        <x:v>BM-PERSON-0003</x:v>
      </x:c>
      <x:c r="B7" s="26" t="str">
        <x:v>Cheri Elliott</x:v>
      </x:c>
      <x:c r="C7" s="26" t="str">
        <x:v>BMX racer; mountain-bike racer</x:v>
      </x:c>
      <x:c r="D7" s="26" t="str">
        <x:v>Forum thread 541224</x:v>
      </x:c>
      <x:c r="E7" s="26" t="str">
        <x:v>Public external links describe BMXMuseum thread 541224 as a BMX-career photo montage.</x:v>
      </x:c>
      <x:c r="F7" s="26" t="str">
        <x:v>The thread is a potential rider-history and photographic-source index.</x:v>
      </x:c>
      <x:c r="G7" s="26" t="str">
        <x:v>USA BMX independently identifies Elliott as the first girl to earn three consecutive ABA National No.1 Girl titles. We do not copy the montage images.</x:v>
      </x:c>
      <x:c r="H7" s="26" t="str">
        <x:v>EXACT-FORUM-ID + OFFICIAL-CORROBORATION</x:v>
      </x:c>
      <x:c r="I7" s="26" t="str">
        <x:v>HIGH for rider record; MEDIUM for uninspected thread</x:v>
      </x:c>
      <x:c r="J7" s="26" t="str">
        <x:v>Open — index image subjects and dates only when lawfully visible; verify results separately.</x:v>
      </x:c>
      <x:c r="K7" s="26" t="str">
        <x:v>https://bmxmuseum.com/forums/viewtopic.php?id=541224</x:v>
      </x:c>
      <x:c r="L7" s="26" t="str">
        <x:v>https://photos.usabmx.com/ABA-BMX/BMXhof/Cheri-Elliott</x:v>
      </x:c>
      <x:c r="M7" s="26" t="str">
        <x:v>INDEX-ONLY</x:v>
      </x:c>
      <x:c r="N7" s="26" t="str">
        <x:v>2026-07-30</x:v>
      </x:c>
    </x:row>
    <x:row r="8" ht="72" customHeight="1">
      <x:c r="A8" s="26" t="str">
        <x:v>BM-PERSON-0004</x:v>
      </x:c>
      <x:c r="B8" s="26" t="str">
        <x:v>Bob Morales</x:v>
      </x:c>
      <x:c r="C8" s="26" t="str">
        <x:v>BMX rider; designer; industry founder</x:v>
      </x:c>
      <x:c r="D8" s="26" t="str">
        <x:v>Reference 7336; bike 72272</x:v>
      </x:c>
      <x:c r="E8" s="26" t="str">
        <x:v>A detailed brand history cites BMXMuseum reference 7336 and Dyno Compe prototype bike 72272 as material posted by Morales.</x:v>
      </x:c>
      <x:c r="F8" s="26" t="str">
        <x:v>Potential first-person evidence for Dyno's origins, prototype chronology and the relationship between Dyno and GT.</x:v>
      </x:c>
      <x:c r="G8" s="26" t="str">
        <x:v>The secondary synthesis explicitly flags unverified rider-roster claims and should not replace primary evidence. The BMXMuseum objects need direct metadata confirmation.</x:v>
      </x:c>
      <x:c r="H8" s="26" t="str">
        <x:v>EXACT-REFERENCE-AND-BIKE-CITATION</x:v>
      </x:c>
      <x:c r="I8" s="26" t="str">
        <x:v>MEDIUM-HIGH</x:v>
      </x:c>
      <x:c r="J8" s="26" t="str">
        <x:v>Priority — connect the person, Dyno brand, prototype bike and catalog evidence.</x:v>
      </x:c>
      <x:c r="K8" s="26" t="str">
        <x:v>https://bmxmuseum.com/reference/7336</x:v>
      </x:c>
      <x:c r="L8" s="26" t="str">
        <x:v>https://legendbikeco.com/pages/dyno-history</x:v>
      </x:c>
      <x:c r="M8" s="26" t="str">
        <x:v>INDEX-ONLY</x:v>
      </x:c>
      <x:c r="N8" s="26" t="str">
        <x:v>2026-07-30</x:v>
      </x:c>
    </x:row>
    <x:row r="9" ht="72" customHeight="1">
      <x:c r="A9" s="26" t="str">
        <x:v>BM-PERSON-0005</x:v>
      </x:c>
      <x:c r="B9" s="26" t="str">
        <x:v>Richard Long</x:v>
      </x:c>
      <x:c r="C9" s="26" t="str">
        <x:v>GT co-founder and industry executive</x:v>
      </x:c>
      <x:c r="D9" s="26" t="str">
        <x:v>Reference 7360</x:v>
      </x:c>
      <x:c r="E9" s="26" t="str">
        <x:v>A researched industry profile cites BMXMuseum reference 7360 as a Richard Long source.</x:v>
      </x:c>
      <x:c r="F9" s="26" t="str">
        <x:v>Potential biographical and GT corporate-history evidence.</x:v>
      </x:c>
      <x:c r="G9" s="26" t="str">
        <x:v>The reference identity is exposed externally; each claim should be checked against GT catalogs, corporate reporting and contemporary news.</x:v>
      </x:c>
      <x:c r="H9" s="26" t="str">
        <x:v>EXACT-REFERENCE-CITATION</x:v>
      </x:c>
      <x:c r="I9" s="26" t="str">
        <x:v>MEDIUM-HIGH</x:v>
      </x:c>
      <x:c r="J9" s="26" t="str">
        <x:v>Open — recover title/date/contributor metadata; verify corporate milestones independently.</x:v>
      </x:c>
      <x:c r="K9" s="26" t="str">
        <x:v>https://bmxmuseum.com/reference/7360</x:v>
      </x:c>
      <x:c r="L9" s="26" t="str">
        <x:v>https://legendbikeco.com/pages/richard-long</x:v>
      </x:c>
      <x:c r="M9" s="26" t="str">
        <x:v>INDEX-ONLY</x:v>
      </x:c>
      <x:c r="N9" s="26" t="str">
        <x:v>2026-07-30</x:v>
      </x:c>
    </x:row>
    <x:row r="10" ht="72" customHeight="1">
      <x:c r="A10" s="26" t="str">
        <x:v>BM-PERSON-0006</x:v>
      </x:c>
      <x:c r="B10" s="26" t="str">
        <x:v>Dave Vanderspek</x:v>
      </x:c>
      <x:c r="C10" s="26" t="str">
        <x:v>BMX freestyle rider</x:v>
      </x:c>
      <x:c r="D10" s="26" t="str">
        <x:v>Reference title exposed; ID unresolved</x:v>
      </x:c>
      <x:c r="E10" s="26" t="str">
        <x:v>Public indexing exposes a BMXMuseum reference titled "Dave Vanderspek."</x:v>
      </x:c>
      <x:c r="F10" s="26" t="str">
        <x:v>Potential rider-profile, photo and freestyle-history object.</x:v>
      </x:c>
      <x:c r="G10" s="26" t="str">
        <x:v>Exact BMXMuseum reference ID and contents remain unresolved. No claims should be adopted until the underlying object is identified.</x:v>
      </x:c>
      <x:c r="H10" s="26" t="str">
        <x:v>INDEXED-TITLE-ONLY</x:v>
      </x:c>
      <x:c r="I10" s="26" t="str">
        <x:v>LOW-MEDIUM</x:v>
      </x:c>
      <x:c r="J10" s="26" t="str">
        <x:v>Lead — locate exact reference ID and corroborate with period sources.</x:v>
      </x:c>
      <x:c r="K10" s="26" t="str">
        <x:v>https://www.pinterest.com/pin/bmxmuseumcom-reference-dave-vanderspek--770537817500272309/</x:v>
      </x:c>
      <x:c r="L10" s="26" t="str"/>
      <x:c r="M10" s="26" t="str">
        <x:v>INDEX-ONLY</x:v>
      </x:c>
      <x:c r="N10" s="26" t="str">
        <x:v>2026-07-30</x:v>
      </x:c>
    </x:row>
  </x:sheetData>
  <x:mergeCells>
    <x:mergeCell ref="A1:N1"/>
    <x:mergeCell ref="A2:N2"/>
  </x:mergeCells>
  <x:pageMargins left="0.7" right="0.7" top="0.75" bottom="0.75" header="0.3" footer="0.3"/>
  <x:tableParts count="1">
    <x:tablePart xmlns:r="http://schemas.openxmlformats.org/officeDocument/2006/relationships" r:id="R97d13ba0a5594b8d"/>
  </x:tableParts>
</x:worksheet>
</file>

<file path=xl/worksheets/sheet7.xml><?xml version="1.0" encoding="utf-8"?>
<x:worksheet xmlns:x="http://schemas.openxmlformats.org/spreadsheetml/2006/main">
  <x:sheetFormatPr defaultRowHeight="15"/>
  <x:cols>
    <x:col min="1" max="1" width="16" hidden="0" customWidth="1"/>
    <x:col min="2" max="2" width="22" hidden="0" customWidth="1"/>
    <x:col min="3" max="3" width="34" hidden="0" customWidth="1"/>
    <x:col min="4" max="4" width="15" hidden="0" customWidth="1"/>
    <x:col min="5" max="5" width="26" hidden="0" customWidth="1"/>
    <x:col min="6" max="6" width="22" hidden="0" customWidth="1"/>
    <x:col min="7" max="7" width="26" hidden="0" customWidth="1"/>
    <x:col min="8" max="8" width="34" hidden="0" customWidth="1"/>
    <x:col min="9" max="9" width="44" hidden="0" customWidth="1"/>
    <x:col min="10" max="10" width="46" hidden="0" customWidth="1"/>
    <x:col min="11" max="11" width="20" hidden="0" customWidth="1"/>
    <x:col min="12" max="12" width="28" hidden="0" customWidth="1"/>
    <x:col min="13" max="13" width="42" hidden="0" customWidth="1"/>
    <x:col min="14" max="14" width="42" hidden="0" customWidth="1"/>
    <x:col min="15" max="15" width="14" hidden="0" customWidth="1"/>
    <x:col min="16" max="16" width="12" hidden="0" customWidth="1"/>
  </x:cols>
  <x:sheetData>
    <x:row r="1" ht="28" customHeight="1">
      <x:c r="A1" s="52" t="str">
        <x:v>Records &amp; Results — Claims, Titles and Race Outcomes</x:v>
      </x:c>
      <x:c r="B1" s="52"/>
      <x:c r="C1" s="52"/>
      <x:c r="D1" s="52"/>
      <x:c r="E1" s="52"/>
      <x:c r="F1" s="52"/>
      <x:c r="G1" s="52"/>
      <x:c r="H1" s="52"/>
      <x:c r="I1" s="52"/>
      <x:c r="J1" s="52"/>
      <x:c r="K1" s="52"/>
      <x:c r="L1" s="52"/>
      <x:c r="M1" s="52"/>
      <x:c r="N1" s="52"/>
      <x:c r="O1" s="52"/>
      <x:c r="P1" s="52"/>
    </x:row>
    <x:row r="2" ht="28" customHeight="1">
      <x:c r="A2" s="57" t="str">
        <x:v>Every result is tied to a named person/team, sanction, class, date and source. Self-reports and official results are kept distinct.</x:v>
      </x:c>
      <x:c r="B2" s="57"/>
      <x:c r="C2" s="57"/>
      <x:c r="D2" s="57"/>
      <x:c r="E2" s="57"/>
      <x:c r="F2" s="57"/>
      <x:c r="G2" s="57"/>
      <x:c r="H2" s="57"/>
      <x:c r="I2" s="57"/>
      <x:c r="J2" s="57"/>
      <x:c r="K2" s="57"/>
      <x:c r="L2" s="57"/>
      <x:c r="M2" s="57"/>
      <x:c r="N2" s="57"/>
      <x:c r="O2" s="57"/>
      <x:c r="P2" s="57"/>
    </x:row>
    <x:row r="4">
      <x:c r="A4" s="62" t="str">
        <x:v>Object ID</x:v>
      </x:c>
      <x:c r="B4" s="62" t="str">
        <x:v>Person / Team</x:v>
      </x:c>
      <x:c r="C4" s="62" t="str">
        <x:v>Record or Result</x:v>
      </x:c>
      <x:c r="D4" s="62" t="str">
        <x:v>Year / Date</x:v>
      </x:c>
      <x:c r="E4" s="62" t="str">
        <x:v>Sanction / Event</x:v>
      </x:c>
      <x:c r="F4" s="62" t="str">
        <x:v>Class / Category</x:v>
      </x:c>
      <x:c r="G4" s="62" t="str">
        <x:v>Track / Location</x:v>
      </x:c>
      <x:c r="H4" s="62" t="str">
        <x:v>BMXMuseum Connection</x:v>
      </x:c>
      <x:c r="I4" s="62" t="str">
        <x:v>Evidence from BMXMuseum Ecosystem</x:v>
      </x:c>
      <x:c r="J4" s="62" t="str">
        <x:v>Independent Verification</x:v>
      </x:c>
      <x:c r="K4" s="62" t="str">
        <x:v>Confidence</x:v>
      </x:c>
      <x:c r="L4" s="62" t="str">
        <x:v>Status</x:v>
      </x:c>
      <x:c r="M4" s="62" t="str">
        <x:v>Discovery Source URL</x:v>
      </x:c>
      <x:c r="N4" s="62" t="str">
        <x:v>Verification URL</x:v>
      </x:c>
      <x:c r="O4" s="62" t="str">
        <x:v>Rights Code</x:v>
      </x:c>
      <x:c r="P4" s="62" t="str">
        <x:v>Accessed</x:v>
      </x:c>
    </x:row>
    <x:row r="5" ht="72" customHeight="1">
      <x:c r="A5" s="26" t="str">
        <x:v>BM-RESULT-0001</x:v>
      </x:c>
      <x:c r="B5" s="26" t="str">
        <x:v>Gary Sansom</x:v>
      </x:c>
      <x:c r="C5" s="26" t="str">
        <x:v>Ranked among the top 200 experts (self-reported)</x:v>
      </x:c>
      <x:c r="D5" s="26" t="str">
        <x:v>1982</x:v>
      </x:c>
      <x:c r="E5" s="26" t="str">
        <x:v>ABA national points system</x:v>
      </x:c>
      <x:c r="F5" s="26" t="str">
        <x:v>Expert</x:v>
      </x:c>
      <x:c r="G5" s="26" t="str">
        <x:v>National ranking; exact district and number unresolved</x:v>
      </x:c>
      <x:c r="H5" s="26" t="str">
        <x:v>Founder interview</x:v>
      </x:c>
      <x:c r="I5" s="26" t="str">
        <x:v>Sansom described the ranking and explained that travel and national attendance affected points.</x:v>
      </x:c>
      <x:c r="J5" s="26" t="str">
        <x:v>No independent year-end points list has yet been located.</x:v>
      </x:c>
      <x:c r="K5" s="26" t="str">
        <x:v>MEDIUM</x:v>
      </x:c>
      <x:c r="L5" s="26" t="str">
        <x:v>Self-reported — verification pending</x:v>
      </x:c>
      <x:c r="M5" s="26" t="str">
        <x:v>https://www.icebike.org/gary-sansom-bmxmuseum-bike-collection/</x:v>
      </x:c>
      <x:c r="N5" s="26" t="str"/>
      <x:c r="O5" s="26" t="str">
        <x:v>INDEX-ONLY</x:v>
      </x:c>
      <x:c r="P5" s="26" t="str">
        <x:v>2026-07-30</x:v>
      </x:c>
    </x:row>
    <x:row r="6" ht="72" customHeight="1">
      <x:c r="A6" s="26" t="str">
        <x:v>BM-RESULT-0002</x:v>
      </x:c>
      <x:c r="B6" s="26" t="str">
        <x:v>Cheri Elliott</x:v>
      </x:c>
      <x:c r="C6" s="26" t="str">
        <x:v>Three consecutive National No.1 Girl titles</x:v>
      </x:c>
      <x:c r="D6" s="26" t="str">
        <x:v>1983–1985</x:v>
      </x:c>
      <x:c r="E6" s="26" t="str">
        <x:v>American Bicycle Association</x:v>
      </x:c>
      <x:c r="F6" s="26" t="str">
        <x:v>Girls</x:v>
      </x:c>
      <x:c r="G6" s="26" t="str">
        <x:v>National</x:v>
      </x:c>
      <x:c r="H6" s="26" t="str">
        <x:v>BMXMuseum forum thread 541224 is linked as a career montage.</x:v>
      </x:c>
      <x:c r="I6" s="26" t="str">
        <x:v>The BMXMuseum thread is a rider-history lead, not the authority for the title.</x:v>
      </x:c>
      <x:c r="J6" s="26" t="str">
        <x:v>USA BMX Hall of Fame archive explicitly identifies Elliott as a three-consecutive-time National No.1 Girl.</x:v>
      </x:c>
      <x:c r="K6" s="26" t="str">
        <x:v>HIGH</x:v>
      </x:c>
      <x:c r="L6" s="26" t="str">
        <x:v>Verified</x:v>
      </x:c>
      <x:c r="M6" s="26" t="str">
        <x:v>https://bmxmuseum.com/forums/viewtopic.php?id=541224</x:v>
      </x:c>
      <x:c r="N6" s="26" t="str">
        <x:v>https://photos.usabmx.com/ABA-BMX/BMXhof/Cheri-Elliott</x:v>
      </x:c>
      <x:c r="O6" s="26" t="str">
        <x:v>INDEX-ONLY</x:v>
      </x:c>
      <x:c r="P6" s="26" t="str">
        <x:v>2026-07-30</x:v>
      </x:c>
    </x:row>
    <x:row r="7" ht="72" customHeight="1">
      <x:c r="A7" s="26" t="str">
        <x:v>BM-RESULT-0003</x:v>
      </x:c>
      <x:c r="B7" s="26" t="str">
        <x:v>Kevin McNeal</x:v>
      </x:c>
      <x:c r="C7" s="26" t="str">
        <x:v>ABA National No.1 Pro</x:v>
      </x:c>
      <x:c r="D7" s="26" t="str">
        <x:v>1981</x:v>
      </x:c>
      <x:c r="E7" s="26" t="str">
        <x:v>American Bicycle Association</x:v>
      </x:c>
      <x:c r="F7" s="26" t="str">
        <x:v>Pro</x:v>
      </x:c>
      <x:c r="G7" s="26" t="str">
        <x:v>National</x:v>
      </x:c>
      <x:c r="H7" s="26" t="str">
        <x:v>BMXMuseum-sourced Torker production/history ecosystem</x:v>
      </x:c>
      <x:c r="I7" s="26" t="str">
        <x:v>Torker history connects McNeal to the MX/Big Bike and early factory program.</x:v>
      </x:c>
      <x:c r="J7" s="26" t="str">
        <x:v>USA BMX independently confirms McNeal's 1981 ABA National No.1 Pro title.</x:v>
      </x:c>
      <x:c r="K7" s="26" t="str">
        <x:v>HIGH</x:v>
      </x:c>
      <x:c r="L7" s="26" t="str">
        <x:v>Verified</x:v>
      </x:c>
      <x:c r="M7" s="26" t="str">
        <x:v>https://torkerracing.com/pages/the-fullerton-era-torker-bmx-history</x:v>
      </x:c>
      <x:c r="N7" s="26" t="str">
        <x:v>https://www.usabmx.com/about/hall-of-fame/812</x:v>
      </x:c>
      <x:c r="O7" s="26" t="str">
        <x:v>INDEX-ONLY</x:v>
      </x:c>
      <x:c r="P7" s="26" t="str">
        <x:v>2026-07-30</x:v>
      </x:c>
    </x:row>
    <x:row r="8" ht="72" customHeight="1">
      <x:c r="A8" s="26" t="str">
        <x:v>BM-RESULT-0004</x:v>
      </x:c>
      <x:c r="B8" s="26" t="str">
        <x:v>Kevin McNeal</x:v>
      </x:c>
      <x:c r="C8" s="26" t="str">
        <x:v>Sustained dominance at Corona BMX; "Corona Kid"</x:v>
      </x:c>
      <x:c r="D8" s="26" t="str">
        <x:v>Late 1970s–early 1980s</x:v>
      </x:c>
      <x:c r="E8" s="26" t="str">
        <x:v>ABA / regional racing</x:v>
      </x:c>
      <x:c r="F8" s="26" t="str">
        <x:v>Pro / expert-era racing</x:v>
      </x:c>
      <x:c r="G8" s="26" t="str">
        <x:v>Corona Raceway, California</x:v>
      </x:c>
      <x:c r="H8" s="26" t="str">
        <x:v>BMXMuseum-related Torker history and community track research</x:v>
      </x:c>
      <x:c r="I8" s="26" t="str">
        <x:v>The ecosystem connects McNeal, Torker and Corona as a rider-brand-track relationship.</x:v>
      </x:c>
      <x:c r="J8" s="26" t="str">
        <x:v>USA BMX states he was practically unbeatable for two straight years on Corona's downhill track.</x:v>
      </x:c>
      <x:c r="K8" s="26" t="str">
        <x:v>HIGH</x:v>
      </x:c>
      <x:c r="L8" s="26" t="str">
        <x:v>Verified at summary level</x:v>
      </x:c>
      <x:c r="M8" s="26" t="str">
        <x:v>https://torkerracing.com/pages/the-fullerton-era-torker-bmx-history</x:v>
      </x:c>
      <x:c r="N8" s="26" t="str">
        <x:v>https://www.usabmx.com/about/hall-of-fame/812</x:v>
      </x:c>
      <x:c r="O8" s="26" t="str">
        <x:v>INDEX-ONLY</x:v>
      </x:c>
      <x:c r="P8" s="26" t="str">
        <x:v>2026-07-30</x:v>
      </x:c>
    </x:row>
    <x:row r="9" ht="72" customHeight="1">
      <x:c r="A9" s="26" t="str">
        <x:v>BM-RESULT-0005</x:v>
      </x:c>
      <x:c r="B9" s="26" t="str">
        <x:v>Clint Miller</x:v>
      </x:c>
      <x:c r="C9" s="26" t="str">
        <x:v>First IBMXF World Pro Champion</x:v>
      </x:c>
      <x:c r="D9" s="26" t="str">
        <x:v>1980</x:v>
      </x:c>
      <x:c r="E9" s="26" t="str">
        <x:v>IBMXF World Championship</x:v>
      </x:c>
      <x:c r="F9" s="26" t="str">
        <x:v>Pro</x:v>
      </x:c>
      <x:c r="G9" s="26" t="str">
        <x:v>International; event venue pending</x:v>
      </x:c>
      <x:c r="H9" s="26" t="str">
        <x:v>BMXMuseum production records are cited as a historical source in Torker's official history.</x:v>
      </x:c>
      <x:c r="I9" s="26" t="str">
        <x:v>Official Torker history identifies Miller as the first IBMXF World Pro Champion on a Torker LP.</x:v>
      </x:c>
      <x:c r="J9" s="26" t="str">
        <x:v>Independent sanctioning-body or period-results verification remains to be added.</x:v>
      </x:c>
      <x:c r="K9" s="26" t="str">
        <x:v>MEDIUM-HIGH</x:v>
      </x:c>
      <x:c r="L9" s="26" t="str">
        <x:v>Brand-source verified; independent event record pending</x:v>
      </x:c>
      <x:c r="M9" s="26" t="str">
        <x:v>https://torkerracing.com/pages/the-fullerton-era-torker-bmx-history</x:v>
      </x:c>
      <x:c r="N9" s="26" t="str"/>
      <x:c r="O9" s="26" t="str">
        <x:v>INDEX-ONLY</x:v>
      </x:c>
      <x:c r="P9" s="26" t="str">
        <x:v>2026-07-30</x:v>
      </x:c>
    </x:row>
    <x:row r="10" ht="72" customHeight="1">
      <x:c r="A10" s="26" t="str">
        <x:v>BM-RESULT-0006</x:v>
      </x:c>
      <x:c r="B10" s="26" t="str">
        <x:v>Torker Factory Team</x:v>
      </x:c>
      <x:c r="C10" s="26" t="str">
        <x:v>National No.1 team</x:v>
      </x:c>
      <x:c r="D10" s="26" t="str">
        <x:v>1979</x:v>
      </x:c>
      <x:c r="E10" s="26" t="str">
        <x:v>National BMX team competition</x:v>
      </x:c>
      <x:c r="F10" s="26" t="str">
        <x:v>Factory team</x:v>
      </x:c>
      <x:c r="G10" s="26" t="str">
        <x:v>United States</x:v>
      </x:c>
      <x:c r="H10" s="26" t="str">
        <x:v>Torker states that BMXMuseum hosts production records compiled over three years.</x:v>
      </x:c>
      <x:c r="I10" s="26" t="str">
        <x:v>The official brand history says Torker won the 1979 National No.1 team title.</x:v>
      </x:c>
      <x:c r="J10" s="26" t="str">
        <x:v>Independent contemporary points/results documentation remains to be located.</x:v>
      </x:c>
      <x:c r="K10" s="26" t="str">
        <x:v>MEDIUM-HIGH</x:v>
      </x:c>
      <x:c r="L10" s="26" t="str">
        <x:v>Brand-source verified; period corroboration pending</x:v>
      </x:c>
      <x:c r="M10" s="26" t="str">
        <x:v>https://torkerracing.com/pages/the-fullerton-era-torker-bmx-history</x:v>
      </x:c>
      <x:c r="N10" s="26" t="str"/>
      <x:c r="O10" s="26" t="str">
        <x:v>INDEX-ONLY</x:v>
      </x:c>
      <x:c r="P10" s="26" t="str">
        <x:v>2026-07-30</x:v>
      </x:c>
    </x:row>
  </x:sheetData>
  <x:mergeCells>
    <x:mergeCell ref="A1:P1"/>
    <x:mergeCell ref="A2:P2"/>
  </x:mergeCells>
  <x:pageMargins left="0.7" right="0.7" top="0.75" bottom="0.75" header="0.3" footer="0.3"/>
  <x:tableParts count="1">
    <x:tablePart xmlns:r="http://schemas.openxmlformats.org/officeDocument/2006/relationships" r:id="Re6f4fd56118d446b"/>
  </x:tableParts>
</x:worksheet>
</file>

<file path=xl/worksheets/sheet8.xml><?xml version="1.0" encoding="utf-8"?>
<x:worksheet xmlns:x="http://schemas.openxmlformats.org/spreadsheetml/2006/main">
  <x:sheetFormatPr defaultRowHeight="15"/>
  <x:cols>
    <x:col min="1" max="1" width="16" hidden="0" customWidth="1"/>
    <x:col min="2" max="2" width="28" hidden="0" customWidth="1"/>
    <x:col min="3" max="3" width="26" hidden="0" customWidth="1"/>
    <x:col min="4" max="4" width="28" hidden="0" customWidth="1"/>
    <x:col min="5" max="5" width="38" hidden="0" customWidth="1"/>
    <x:col min="6" max="6" width="25" hidden="0" customWidth="1"/>
    <x:col min="7" max="7" width="44" hidden="0" customWidth="1"/>
    <x:col min="8" max="8" width="50" hidden="0" customWidth="1"/>
    <x:col min="9" max="9" width="22" hidden="0" customWidth="1"/>
    <x:col min="10" max="10" width="34" hidden="0" customWidth="1"/>
    <x:col min="11" max="11" width="42" hidden="0" customWidth="1"/>
    <x:col min="12" max="12" width="42" hidden="0" customWidth="1"/>
    <x:col min="13" max="13" width="14" hidden="0" customWidth="1"/>
    <x:col min="14" max="14" width="12" hidden="0" customWidth="1"/>
  </x:cols>
  <x:sheetData>
    <x:row r="1" ht="28" customHeight="1">
      <x:c r="A1" s="52" t="str">
        <x:v>Tracks &amp; Venues — BMXMuseum Discovery Register</x:v>
      </x:c>
      <x:c r="B1" s="52"/>
      <x:c r="C1" s="52"/>
      <x:c r="D1" s="52"/>
      <x:c r="E1" s="52"/>
      <x:c r="F1" s="52"/>
      <x:c r="G1" s="52"/>
      <x:c r="H1" s="52"/>
      <x:c r="I1" s="52"/>
      <x:c r="J1" s="52"/>
      <x:c r="K1" s="52"/>
      <x:c r="L1" s="52"/>
      <x:c r="M1" s="52"/>
      <x:c r="N1" s="52"/>
    </x:row>
    <x:row r="2" ht="28" customHeight="1">
      <x:c r="A2" s="57" t="str">
        <x:v>Track names, locations, operators, events and active dates are kept separate. Location-only recollections are never promoted into invented track names.</x:v>
      </x:c>
      <x:c r="B2" s="57"/>
      <x:c r="C2" s="57"/>
      <x:c r="D2" s="57"/>
      <x:c r="E2" s="57"/>
      <x:c r="F2" s="57"/>
      <x:c r="G2" s="57"/>
      <x:c r="H2" s="57"/>
      <x:c r="I2" s="57"/>
      <x:c r="J2" s="57"/>
      <x:c r="K2" s="57"/>
      <x:c r="L2" s="57"/>
      <x:c r="M2" s="57"/>
      <x:c r="N2" s="57"/>
    </x:row>
    <x:row r="4">
      <x:c r="A4" s="62" t="str">
        <x:v>Object ID</x:v>
      </x:c>
      <x:c r="B4" s="62" t="str">
        <x:v>Track / Venue</x:v>
      </x:c>
      <x:c r="C4" s="62" t="str">
        <x:v>Location</x:v>
      </x:c>
      <x:c r="D4" s="62" t="str">
        <x:v>Active Period / Date Lead</x:v>
      </x:c>
      <x:c r="E4" s="62" t="str">
        <x:v>BMXMuseum Connection</x:v>
      </x:c>
      <x:c r="F4" s="62" t="str">
        <x:v>Exact BMXMuseum Object</x:v>
      </x:c>
      <x:c r="G4" s="62" t="str">
        <x:v>Claim / Research Lead</x:v>
      </x:c>
      <x:c r="H4" s="62" t="str">
        <x:v>Independent Verification / Qualification</x:v>
      </x:c>
      <x:c r="I4" s="62" t="str">
        <x:v>Confidence</x:v>
      </x:c>
      <x:c r="J4" s="62" t="str">
        <x:v>Research Status</x:v>
      </x:c>
      <x:c r="K4" s="62" t="str">
        <x:v>Discovery Source URL</x:v>
      </x:c>
      <x:c r="L4" s="62" t="str">
        <x:v>Verification URL</x:v>
      </x:c>
      <x:c r="M4" s="62" t="str">
        <x:v>Rights Code</x:v>
      </x:c>
      <x:c r="N4" s="62" t="str">
        <x:v>Accessed</x:v>
      </x:c>
    </x:row>
    <x:row r="5" ht="72" customHeight="1">
      <x:c r="A5" s="26" t="str">
        <x:v>BM-TRACK-0001</x:v>
      </x:c>
      <x:c r="B5" s="26" t="str">
        <x:v>Corona Raceway / Corona Downhill</x:v>
      </x:c>
      <x:c r="C5" s="26" t="str">
        <x:v>Corona, California, USA</x:v>
      </x:c>
      <x:c r="D5" s="26" t="str">
        <x:v>Major late-1970s race venue; exact operating chronology pending</x:v>
      </x:c>
      <x:c r="E5" s="26" t="str">
        <x:v>External BMX histories cite BMXMuseum Southern California track-history discussions and rider recollections.</x:v>
      </x:c>
      <x:c r="F5" s="26" t="str">
        <x:v>Exact thread ID unresolved</x:v>
      </x:c>
      <x:c r="G5" s="26" t="str">
        <x:v>Legendary steep downhill track; major rider and event node.</x:v>
      </x:c>
      <x:c r="H5" s="26" t="str">
        <x:v>USA BMX photo archives independently document the 1979 ABA Fall Nationals at Corona Raceway and call it the legendary Corona Downhill.</x:v>
      </x:c>
      <x:c r="I5" s="26" t="str">
        <x:v>HIGH for venue/event; MEDIUM for complete chronology</x:v>
      </x:c>
      <x:c r="J5" s="26" t="str">
        <x:v>Priority — recover exact BMXMuseum track-history thread and map events/riders without copying photos.</x:v>
      </x:c>
      <x:c r="K5" s="26" t="str">
        <x:v>https://legendbikeco.com/pages/corona-raceway-bmx</x:v>
      </x:c>
      <x:c r="L5" s="26" t="str">
        <x:v>https://photos.usabmx.com/Robinson-Racing-Photos/1979-ABA-Fall-Nationals-Corona-Raceway</x:v>
      </x:c>
      <x:c r="M5" s="26" t="str">
        <x:v>INDEX-ONLY</x:v>
      </x:c>
      <x:c r="N5" s="26" t="str">
        <x:v>2026-07-30</x:v>
      </x:c>
    </x:row>
    <x:row r="6" ht="72" customHeight="1">
      <x:c r="A6" s="26" t="str">
        <x:v>BM-TRACK-0002</x:v>
      </x:c>
      <x:c r="B6" s="26" t="str">
        <x:v>Boise-area BMX track(s)</x:v>
      </x:c>
      <x:c r="C6" s="26" t="str">
        <x:v>Boise, Idaho, USA</x:v>
      </x:c>
      <x:c r="D6" s="26" t="str">
        <x:v>Gary Sansom raced there beginning in the late 1970s; exact venue/date unresolved</x:v>
      </x:c>
      <x:c r="E6" s="26" t="str">
        <x:v>First-person BMXMuseum founder interview</x:v>
      </x:c>
      <x:c r="F6" s="26" t="str">
        <x:v>Interview, not a BMXMuseum object ID</x:v>
      </x:c>
      <x:c r="G6" s="26" t="str">
        <x:v>Identify the exact Boise track or tracks connected to Sansom's racing.</x:v>
      </x:c>
      <x:c r="H6" s="26" t="str">
        <x:v>The interview supports the location only. No track name should be invented.</x:v>
      </x:c>
      <x:c r="I6" s="26" t="str">
        <x:v>MEDIUM</x:v>
      </x:c>
      <x:c r="J6" s="26" t="str">
        <x:v>Lead — exact venue and dates unresolved</x:v>
      </x:c>
      <x:c r="K6" s="26" t="str">
        <x:v>https://www.icebike.org/gary-sansom-bmxmuseum-bike-collection/</x:v>
      </x:c>
      <x:c r="L6" s="26" t="str"/>
      <x:c r="M6" s="26" t="str">
        <x:v>INDEX-ONLY</x:v>
      </x:c>
      <x:c r="N6" s="26" t="str">
        <x:v>2026-07-30</x:v>
      </x:c>
    </x:row>
    <x:row r="7" ht="72" customHeight="1">
      <x:c r="A7" s="26" t="str">
        <x:v>BM-TRACK-0003</x:v>
      </x:c>
      <x:c r="B7" s="26" t="str">
        <x:v>Aptos-area BMX track(s)</x:v>
      </x:c>
      <x:c r="C7" s="26" t="str">
        <x:v>Aptos, California, USA</x:v>
      </x:c>
      <x:c r="D7" s="26" t="str">
        <x:v>Early-1980s lead; exact venue/date unresolved</x:v>
      </x:c>
      <x:c r="E7" s="26" t="str">
        <x:v>First-person BMXMuseum founder interview</x:v>
      </x:c>
      <x:c r="F7" s="26" t="str">
        <x:v>Interview, not a BMXMuseum object ID</x:v>
      </x:c>
      <x:c r="G7" s="26" t="str">
        <x:v>Identify the exact Aptos track or tracks raced by Sansom.</x:v>
      </x:c>
      <x:c r="H7" s="26" t="str">
        <x:v>Location is first-person testimony; venue name and sanction need corroboration.</x:v>
      </x:c>
      <x:c r="I7" s="26" t="str">
        <x:v>MEDIUM</x:v>
      </x:c>
      <x:c r="J7" s="26" t="str">
        <x:v>Lead — exact venue and dates unresolved</x:v>
      </x:c>
      <x:c r="K7" s="26" t="str">
        <x:v>https://www.icebike.org/gary-sansom-bmxmuseum-bike-collection/</x:v>
      </x:c>
      <x:c r="L7" s="26" t="str"/>
      <x:c r="M7" s="26" t="str">
        <x:v>INDEX-ONLY</x:v>
      </x:c>
      <x:c r="N7" s="26" t="str">
        <x:v>2026-07-30</x:v>
      </x:c>
    </x:row>
    <x:row r="8" ht="72" customHeight="1">
      <x:c r="A8" s="26" t="str">
        <x:v>BM-TRACK-0004</x:v>
      </x:c>
      <x:c r="B8" s="26" t="str">
        <x:v>Watsonville-area BMX track(s)</x:v>
      </x:c>
      <x:c r="C8" s="26" t="str">
        <x:v>Watsonville, California, USA</x:v>
      </x:c>
      <x:c r="D8" s="26" t="str">
        <x:v>Early-1980s lead; exact venue/date unresolved</x:v>
      </x:c>
      <x:c r="E8" s="26" t="str">
        <x:v>First-person BMXMuseum founder interview</x:v>
      </x:c>
      <x:c r="F8" s="26" t="str">
        <x:v>Interview, not a BMXMuseum object ID</x:v>
      </x:c>
      <x:c r="G8" s="26" t="str">
        <x:v>Identify the exact Watsonville track or tracks raced by Sansom.</x:v>
      </x:c>
      <x:c r="H8" s="26" t="str">
        <x:v>Location is first-person testimony; venue name and sanction need corroboration.</x:v>
      </x:c>
      <x:c r="I8" s="26" t="str">
        <x:v>MEDIUM</x:v>
      </x:c>
      <x:c r="J8" s="26" t="str">
        <x:v>Lead — exact venue and dates unresolved</x:v>
      </x:c>
      <x:c r="K8" s="26" t="str">
        <x:v>https://www.icebike.org/gary-sansom-bmxmuseum-bike-collection/</x:v>
      </x:c>
      <x:c r="L8" s="26" t="str"/>
      <x:c r="M8" s="26" t="str">
        <x:v>INDEX-ONLY</x:v>
      </x:c>
      <x:c r="N8" s="26" t="str">
        <x:v>2026-07-30</x:v>
      </x:c>
    </x:row>
    <x:row r="9" ht="72" customHeight="1">
      <x:c r="A9" s="26" t="str">
        <x:v>BM-TRACK-0005</x:v>
      </x:c>
      <x:c r="B9" s="26" t="str">
        <x:v>Gilroy-area BMX track(s)</x:v>
      </x:c>
      <x:c r="C9" s="26" t="str">
        <x:v>Gilroy, California, USA</x:v>
      </x:c>
      <x:c r="D9" s="26" t="str">
        <x:v>Early-1980s lead; exact venue/date unresolved</x:v>
      </x:c>
      <x:c r="E9" s="26" t="str">
        <x:v>First-person BMXMuseum founder interview</x:v>
      </x:c>
      <x:c r="F9" s="26" t="str">
        <x:v>Interview, not a BMXMuseum object ID</x:v>
      </x:c>
      <x:c r="G9" s="26" t="str">
        <x:v>Identify the exact Gilroy track or tracks raced by Sansom.</x:v>
      </x:c>
      <x:c r="H9" s="26" t="str">
        <x:v>Location is first-person testimony; venue name and sanction need corroboration.</x:v>
      </x:c>
      <x:c r="I9" s="26" t="str">
        <x:v>MEDIUM</x:v>
      </x:c>
      <x:c r="J9" s="26" t="str">
        <x:v>Lead — exact venue and dates unresolved</x:v>
      </x:c>
      <x:c r="K9" s="26" t="str">
        <x:v>https://www.icebike.org/gary-sansom-bmxmuseum-bike-collection/</x:v>
      </x:c>
      <x:c r="L9" s="26" t="str"/>
      <x:c r="M9" s="26" t="str">
        <x:v>INDEX-ONLY</x:v>
      </x:c>
      <x:c r="N9" s="26" t="str">
        <x:v>2026-07-30</x:v>
      </x:c>
    </x:row>
    <x:row r="10" ht="72" customHeight="1">
      <x:c r="A10" s="26" t="str">
        <x:v>BM-TRACK-0006</x:v>
      </x:c>
      <x:c r="B10" s="26" t="str">
        <x:v>North Carolina regional rider/community page</x:v>
      </x:c>
      <x:c r="C10" s="26" t="str">
        <x:v>North Carolina, USA</x:v>
      </x:c>
      <x:c r="D10" s="26" t="str">
        <x:v>Publicly linked in June 2026</x:v>
      </x:c>
      <x:c r="E10" s="26" t="str">
        <x:v>BMXMuseum forum regional page</x:v>
      </x:c>
      <x:c r="F10" s="26" t="str">
        <x:v>Forum thread 410126</x:v>
      </x:c>
      <x:c r="G10" s="26" t="str">
        <x:v>A regional page may expose rider, discipline and local-scene relationships; it is not assumed to be a track directory.</x:v>
      </x:c>
      <x:c r="H10" s="26" t="str">
        <x:v>A public Reddit discussion links the exact thread and a BMXMuseum search for flatland.</x:v>
      </x:c>
      <x:c r="I10" s="26" t="str">
        <x:v>HIGH for thread existence; LOW for uninspected content</x:v>
      </x:c>
      <x:c r="J10" s="26" t="str">
        <x:v>Open — index public topics only; do not harvest member identities or contact information.</x:v>
      </x:c>
      <x:c r="K10" s="26" t="str">
        <x:v>https://www.reddit.com/r/asheville/comments/1ucpz8e/looking_for_other_flatland_bmx_riders_in_wnc/</x:v>
      </x:c>
      <x:c r="L10" s="26" t="str">
        <x:v>https://bmxmuseum.com/forums/viewtopic.php?id=410126</x:v>
      </x:c>
      <x:c r="M10" s="26" t="str">
        <x:v>INDEX-ONLY</x:v>
      </x:c>
      <x:c r="N10" s="26" t="str">
        <x:v>2026-07-30</x:v>
      </x:c>
    </x:row>
  </x:sheetData>
  <x:mergeCells>
    <x:mergeCell ref="A1:N1"/>
    <x:mergeCell ref="A2:N2"/>
  </x:mergeCells>
  <x:pageMargins left="0.7" right="0.7" top="0.75" bottom="0.75" header="0.3" footer="0.3"/>
  <x:tableParts count="1">
    <x:tablePart xmlns:r="http://schemas.openxmlformats.org/officeDocument/2006/relationships" r:id="Rda218153033a4dc6"/>
  </x:tableParts>
</x:worksheet>
</file>

<file path=xl/worksheets/sheet9.xml><?xml version="1.0" encoding="utf-8"?>
<x:worksheet xmlns:x="http://schemas.openxmlformats.org/spreadsheetml/2006/main">
  <x:sheetFormatPr defaultRowHeight="15"/>
  <x:cols>
    <x:col min="1" max="1" width="16" hidden="0" customWidth="1"/>
    <x:col min="2" max="2" width="22" hidden="0" customWidth="1"/>
    <x:col min="3" max="3" width="30" hidden="0" customWidth="1"/>
    <x:col min="4" max="4" width="32" hidden="0" customWidth="1"/>
    <x:col min="5" max="5" width="46" hidden="0" customWidth="1"/>
    <x:col min="6" max="6" width="50" hidden="0" customWidth="1"/>
    <x:col min="7" max="7" width="40" hidden="0" customWidth="1"/>
    <x:col min="8" max="8" width="22" hidden="0" customWidth="1"/>
    <x:col min="9" max="9" width="34" hidden="0" customWidth="1"/>
    <x:col min="10" max="10" width="42" hidden="0" customWidth="1"/>
    <x:col min="11" max="11" width="42" hidden="0" customWidth="1"/>
    <x:col min="12" max="12" width="14" hidden="0" customWidth="1"/>
    <x:col min="13" max="13" width="12" hidden="0" customWidth="1"/>
  </x:cols>
  <x:sheetData>
    <x:row r="1" ht="28" customHeight="1">
      <x:c r="A1" s="52" t="str">
        <x:v>Brands &amp; Companies — BMXMuseum Authority Map</x:v>
      </x:c>
      <x:c r="B1" s="52"/>
      <x:c r="C1" s="52"/>
      <x:c r="D1" s="52"/>
      <x:c r="E1" s="52"/>
      <x:c r="F1" s="52"/>
      <x:c r="G1" s="52"/>
      <x:c r="H1" s="52"/>
      <x:c r="I1" s="52"/>
      <x:c r="J1" s="52"/>
      <x:c r="K1" s="52"/>
      <x:c r="L1" s="52"/>
      <x:c r="M1" s="52"/>
    </x:row>
    <x:row r="2" ht="28" customHeight="1">
      <x:c r="A2" s="57" t="str">
        <x:v>Brand pages are discovery hubs. Company origin, ownership, manufacturing and model chronology must be verified independently rather than inferred from submitted bikes.</x:v>
      </x:c>
      <x:c r="B2" s="57"/>
      <x:c r="C2" s="57"/>
      <x:c r="D2" s="57"/>
      <x:c r="E2" s="57"/>
      <x:c r="F2" s="57"/>
      <x:c r="G2" s="57"/>
      <x:c r="H2" s="57"/>
      <x:c r="I2" s="57"/>
      <x:c r="J2" s="57"/>
      <x:c r="K2" s="57"/>
      <x:c r="L2" s="57"/>
      <x:c r="M2" s="57"/>
    </x:row>
    <x:row r="4">
      <x:c r="A4" s="62" t="str">
        <x:v>Object ID</x:v>
      </x:c>
      <x:c r="B4" s="62" t="str">
        <x:v>Brand / Company</x:v>
      </x:c>
      <x:c r="C4" s="62" t="str">
        <x:v>BMXMuseum Object(s)</x:v>
      </x:c>
      <x:c r="D4" s="62" t="str">
        <x:v>BMXMuseum Role</x:v>
      </x:c>
      <x:c r="E4" s="62" t="str">
        <x:v>Historical Lead</x:v>
      </x:c>
      <x:c r="F4" s="62" t="str">
        <x:v>Independent Verification / Qualification</x:v>
      </x:c>
      <x:c r="G4" s="62" t="str">
        <x:v>Brand Relationships</x:v>
      </x:c>
      <x:c r="H4" s="62" t="str">
        <x:v>Confidence</x:v>
      </x:c>
      <x:c r="I4" s="62" t="str">
        <x:v>Research Status</x:v>
      </x:c>
      <x:c r="J4" s="62" t="str">
        <x:v>Discovery Source URL</x:v>
      </x:c>
      <x:c r="K4" s="62" t="str">
        <x:v>Verification URL</x:v>
      </x:c>
      <x:c r="L4" s="62" t="str">
        <x:v>Rights Code</x:v>
      </x:c>
      <x:c r="M4" s="62" t="str">
        <x:v>Accessed</x:v>
      </x:c>
    </x:row>
    <x:row r="5" ht="72" customHeight="1">
      <x:c r="A5" s="26" t="str">
        <x:v>BM-BRAND-0001</x:v>
      </x:c>
      <x:c r="B5" s="26" t="str">
        <x:v>Torker</x:v>
      </x:c>
      <x:c r="C5" s="26" t="str">
        <x:v>Brand gallery; production records compiled for BMXMuseum</x:v>
      </x:c>
      <x:c r="D5" s="26" t="str">
        <x:v>Bike gallery, serial/production research and historical source</x:v>
      </x:c>
      <x:c r="E5" s="26" t="str">
        <x:v>Torker's official history states Michael Gamstetter compiled complete 1976–1984 production records for BMXMuseum over three years.</x:v>
      </x:c>
      <x:c r="F5" s="26" t="str">
        <x:v>Current official Torker history provides chronology and openly identifies BMXMuseum as a historical source; period documents are still needed for claim-by-claim verification.</x:v>
      </x:c>
      <x:c r="G5" s="26" t="str">
        <x:v>Texon / Johnson Engineering → Torker; MAX sister brand; later Tioga and Seattle Bike Supply ownership</x:v>
      </x:c>
      <x:c r="H5" s="26" t="str">
        <x:v>HIGH for source relationship; MEDIUM-HIGH for historical synthesis</x:v>
      </x:c>
      <x:c r="I5" s="26" t="str">
        <x:v>Priority brand — recover model, serial, rider, team and advertisement relationships.</x:v>
      </x:c>
      <x:c r="J5" s="26" t="str">
        <x:v>https://bmxmuseum.com/bikes/torker/</x:v>
      </x:c>
      <x:c r="K5" s="26" t="str">
        <x:v>https://torkerracing.com/pages/the-fullerton-era-torker-bmx-history</x:v>
      </x:c>
      <x:c r="L5" s="26" t="str">
        <x:v>INDEX-ONLY</x:v>
      </x:c>
      <x:c r="M5" s="26" t="str">
        <x:v>2026-07-30</x:v>
      </x:c>
    </x:row>
    <x:row r="6" ht="72" customHeight="1">
      <x:c r="A6" s="26" t="str">
        <x:v>BM-BRAND-0002</x:v>
      </x:c>
      <x:c r="B6" s="26" t="str">
        <x:v>Dyno</x:v>
      </x:c>
      <x:c r="C6" s="26" t="str">
        <x:v>Brand gallery; reference 7336; prototype bike 72272</x:v>
      </x:c>
      <x:c r="D6" s="26" t="str">
        <x:v>Brand/model gallery and first-person prototype/history evidence</x:v>
      </x:c>
      <x:c r="E6" s="26" t="str">
        <x:v>A researched history cites Bob Morales material on BMXMuseum, including the Dyno Compe prototype.</x:v>
      </x:c>
      <x:c r="F6" s="26" t="str">
        <x:v>The secondary source carefully flags claims it could not confirm. Direct metadata and Bob Morales's first-person history should anchor further work.</x:v>
      </x:c>
      <x:c r="G6" s="26" t="str">
        <x:v>BMX Products/BME soft goods → Dyno Design; acquired by GT; later part of Pacific Cycle/Dorel lineage</x:v>
      </x:c>
      <x:c r="H6" s="26" t="str">
        <x:v>MEDIUM-HIGH</x:v>
      </x:c>
      <x:c r="I6" s="26" t="str">
        <x:v>Priority — verify prototype chronology, acquisition and model-year catalogs.</x:v>
      </x:c>
      <x:c r="J6" s="26" t="str">
        <x:v>https://bmxmuseum.com/reference/7336</x:v>
      </x:c>
      <x:c r="K6" s="26" t="str">
        <x:v>https://legendbikeco.com/pages/dyno-history</x:v>
      </x:c>
      <x:c r="L6" s="26" t="str">
        <x:v>INDEX-ONLY</x:v>
      </x:c>
      <x:c r="M6" s="26" t="str">
        <x:v>2026-07-30</x:v>
      </x:c>
    </x:row>
    <x:row r="7" ht="72" customHeight="1">
      <x:c r="A7" s="26" t="str">
        <x:v>BM-BRAND-0003</x:v>
      </x:c>
      <x:c r="B7" s="26" t="str">
        <x:v>GT Bicycles</x:v>
      </x:c>
      <x:c r="C7" s="26" t="str">
        <x:v>Brand gallery; Richard Long reference 7360; multiple catalog references</x:v>
      </x:c>
      <x:c r="D7" s="26" t="str">
        <x:v>Bike gallery, corporate history, models and catalogs</x:v>
      </x:c>
      <x:c r="E7" s="26" t="str">
        <x:v>BMXMuseum is repeatedly cited for GT/Dyno catalogs, serial information and Richard Long history.</x:v>
      </x:c>
      <x:c r="F7" s="26" t="str">
        <x:v>Catalogs can verify model-year specifications; corporate events require company and contemporary news corroboration.</x:v>
      </x:c>
      <x:c r="G7" s="26" t="str">
        <x:v>GT parent/owner relationships with Dyno, Robinson, Auburn and Powerlite</x:v>
      </x:c>
      <x:c r="H7" s="26" t="str">
        <x:v>MEDIUM-HIGH</x:v>
      </x:c>
      <x:c r="I7" s="26" t="str">
        <x:v>Priority — build corporate family and catalog chronology.</x:v>
      </x:c>
      <x:c r="J7" s="26" t="str">
        <x:v>https://bmxmuseum.com/bikes/gt_bicycles/</x:v>
      </x:c>
      <x:c r="K7" s="26" t="str">
        <x:v>https://legendbikeco.com/pages/richard-long</x:v>
      </x:c>
      <x:c r="L7" s="26" t="str">
        <x:v>INDEX-ONLY</x:v>
      </x:c>
      <x:c r="M7" s="26" t="str">
        <x:v>2026-07-30</x:v>
      </x:c>
    </x:row>
    <x:row r="8" ht="72" customHeight="1">
      <x:c r="A8" s="26" t="str">
        <x:v>BM-BRAND-0004</x:v>
      </x:c>
      <x:c r="B8" s="26" t="str">
        <x:v>Ashtabula</x:v>
      </x:c>
      <x:c r="C8" s="26" t="str">
        <x:v>Reference 5027</x:v>
      </x:c>
      <x:c r="D8" s="26" t="str">
        <x:v>Catalog/product reference</x:v>
      </x:c>
      <x:c r="E8" s="26" t="str">
        <x:v>External technical discussions identify reference 5027 as an Ashtabula catalog useful for fork sizes and specifications.</x:v>
      </x:c>
      <x:c r="F8" s="26" t="str">
        <x:v>The catalog date is described as approximately 1977 by a collector; date and edition remain to be verified from the document itself.</x:v>
      </x:c>
      <x:c r="G8" s="26" t="str">
        <x:v>Ashtabula components across multiple wheel sizes and bicycle categories</x:v>
      </x:c>
      <x:c r="H8" s="26" t="str">
        <x:v>HIGH for reference identity; MEDIUM for date</x:v>
      </x:c>
      <x:c r="I8" s="26" t="str">
        <x:v>Priority technical source — index pages and product types without copying scans.</x:v>
      </x:c>
      <x:c r="J8" s="26" t="str">
        <x:v>https://bmxmuseum.com/reference/5027</x:v>
      </x:c>
      <x:c r="K8" s="26" t="str">
        <x:v>https://thecabe.com/forum/threads/ashtabula-fork-identification-help.253603/</x:v>
      </x:c>
      <x:c r="L8" s="26" t="str">
        <x:v>INDEX-ONLY</x:v>
      </x:c>
      <x:c r="M8" s="26" t="str">
        <x:v>2026-07-30</x:v>
      </x:c>
    </x:row>
    <x:row r="9" ht="72" customHeight="1">
      <x:c r="A9" s="26" t="str">
        <x:v>BM-BRAND-0005</x:v>
      </x:c>
      <x:c r="B9" s="26" t="str">
        <x:v>Mongoose</x:v>
      </x:c>
      <x:c r="C9" s="26" t="str">
        <x:v>Brand gallery; forum thread 1493; extensive submitted-bike records</x:v>
      </x:c>
      <x:c r="D9" s="26" t="str">
        <x:v>Brand/model gallery and identification knowledge</x:v>
      </x:c>
      <x:c r="E9" s="26" t="str">
        <x:v>Forum thread 1493 is publicly cited for distinguishing Mongoose and Mosh dropout marks.</x:v>
      </x:c>
      <x:c r="F9" s="26" t="str">
        <x:v>Official Mongoose heritage materials should control company-history claims; forum markings are identification clues, not universal rules.</x:v>
      </x:c>
      <x:c r="G9" s="26" t="str">
        <x:v>BMX Products, Inc.; later corporate ownership lineage</x:v>
      </x:c>
      <x:c r="H9" s="26" t="str">
        <x:v>HIGH for gallery/thread existence; MEDIUM for identification rule</x:v>
      </x:c>
      <x:c r="I9" s="26" t="str">
        <x:v>Priority — connect model, serial, catalog and component evidence.</x:v>
      </x:c>
      <x:c r="J9" s="26" t="str">
        <x:v>https://bmxmuseum.com/forums/viewtopic.php?id=1493</x:v>
      </x:c>
      <x:c r="K9" s="26" t="str">
        <x:v>https://www.mongoose.com/pages/mongoose-legacy</x:v>
      </x:c>
      <x:c r="L9" s="26" t="str">
        <x:v>INDEX-ONLY</x:v>
      </x:c>
      <x:c r="M9" s="26" t="str">
        <x:v>2026-07-30</x:v>
      </x:c>
    </x:row>
    <x:row r="10" ht="72" customHeight="1">
      <x:c r="A10" s="26" t="str">
        <x:v>BM-BRAND-0006</x:v>
      </x:c>
      <x:c r="B10" s="26" t="str">
        <x:v>Mosh</x:v>
      </x:c>
      <x:c r="C10" s="26" t="str">
        <x:v>Brand gallery; forum thread 1493</x:v>
      </x:c>
      <x:c r="D10" s="26" t="str">
        <x:v>Brand/model gallery and frame-marking comparison</x:v>
      </x:c>
      <x:c r="E10" s="26" t="str">
        <x:v>The same public citation proposes an Old English M as a Mosh mark.</x:v>
      </x:c>
      <x:c r="F10" s="26" t="str">
        <x:v>The clue is useful but must be tested against known models and catalogs before being used as a deterministic identification rule.</x:v>
      </x:c>
      <x:c r="G10" s="26" t="str">
        <x:v>GT-related brand history requires verification</x:v>
      </x:c>
      <x:c r="H10" s="26" t="str">
        <x:v>MEDIUM</x:v>
      </x:c>
      <x:c r="I10" s="26" t="str">
        <x:v>Open — catalog models, years and markings.</x:v>
      </x:c>
      <x:c r="J10" s="26" t="str">
        <x:v>https://bmxmuseum.com/bikes/mosh/</x:v>
      </x:c>
      <x:c r="K10" s="26" t="str">
        <x:v>https://bicycles.stackexchange.com/questions/52630/do-you-know-the-make-of-this-bmx-bike</x:v>
      </x:c>
      <x:c r="L10" s="26" t="str">
        <x:v>INDEX-ONLY</x:v>
      </x:c>
      <x:c r="M10" s="26" t="str">
        <x:v>2026-07-30</x:v>
      </x:c>
    </x:row>
    <x:row r="11" ht="72" customHeight="1">
      <x:c r="A11" s="26" t="str">
        <x:v>BM-BRAND-0007</x:v>
      </x:c>
      <x:c r="B11" s="26" t="str">
        <x:v>JMC Racing</x:v>
      </x:c>
      <x:c r="C11" s="26" t="str">
        <x:v>Brand gallery and multiple model/history threads</x:v>
      </x:c>
      <x:c r="D11" s="26" t="str">
        <x:v>Bike gallery, model chronology and company history</x:v>
      </x:c>
      <x:c r="E11" s="26" t="str">
        <x:v>External research cites BMXMuseum pages and threads for the JMC 3.1 XL, Mini, Black Shadow, forks and signature frames.</x:v>
      </x:c>
      <x:c r="F11" s="26" t="str">
        <x:v>Use Jim and Vera Melton's first-person company material and period catalogs to verify model chronology.</x:v>
      </x:c>
      <x:c r="G11" s="26" t="str">
        <x:v>Jim Melton Cyclery; Darrell Young and Andy Patterson signature relationships</x:v>
      </x:c>
      <x:c r="H11" s="26" t="str">
        <x:v>MEDIUM-HIGH</x:v>
      </x:c>
      <x:c r="I11" s="26" t="str">
        <x:v>Priority — connect riders, signature models, catalogs and serial records.</x:v>
      </x:c>
      <x:c r="J11" s="26" t="str">
        <x:v>https://bmxmuseum.com/bikes/jmc_racing/</x:v>
      </x:c>
      <x:c r="K11" s="26" t="str">
        <x:v>https://legendbikeco.com/pages/jmc-history</x:v>
      </x:c>
      <x:c r="L11" s="26" t="str">
        <x:v>INDEX-ONLY</x:v>
      </x:c>
      <x:c r="M11" s="26" t="str">
        <x:v>2026-07-30</x:v>
      </x:c>
    </x:row>
    <x:row r="12" ht="72" customHeight="1">
      <x:c r="A12" s="26" t="str">
        <x:v>BM-BRAND-0008</x:v>
      </x:c>
      <x:c r="B12" s="26" t="str">
        <x:v>S&amp;M Bikes</x:v>
      </x:c>
      <x:c r="C12" s="26" t="str">
        <x:v>Brand gallery; reference 3564</x:v>
      </x:c>
      <x:c r="D12" s="26" t="str">
        <x:v>Bike/model gallery and company/model reference</x:v>
      </x:c>
      <x:c r="E12" s="26" t="str">
        <x:v>Reference 3564 is publicly cited as background for a 1999 S&amp;M Challenger.</x:v>
      </x:c>
      <x:c r="F12" s="26" t="str">
        <x:v>The reference title/content need direct inspection; market-value comments from the external forum are not treated as historical facts.</x:v>
      </x:c>
      <x:c r="G12" s="26" t="str">
        <x:v>S&amp;M Challenger model chronology</x:v>
      </x:c>
      <x:c r="H12" s="26" t="str">
        <x:v>HIGH for reference existence; MEDIUM for content</x:v>
      </x:c>
      <x:c r="I12" s="26" t="str">
        <x:v>Open — verify model years and specifications from catalogs or first-party material.</x:v>
      </x:c>
      <x:c r="J12" s="26" t="str">
        <x:v>https://bmxmuseum.com/reference/3564</x:v>
      </x:c>
      <x:c r="K12" s="26" t="str">
        <x:v>https://www.bikeforums.net/bmx/1319941-1999-s-m-challenger.html</x:v>
      </x:c>
      <x:c r="L12" s="26" t="str">
        <x:v>INDEX-ONLY</x:v>
      </x:c>
      <x:c r="M12" s="26" t="str">
        <x:v>2026-07-30</x:v>
      </x:c>
    </x:row>
    <x:row r="13" ht="72" customHeight="1">
      <x:c r="A13" s="26" t="str">
        <x:v>BM-BRAND-0009</x:v>
      </x:c>
      <x:c r="B13" s="26" t="str">
        <x:v>Redline</x:v>
      </x:c>
      <x:c r="C13" s="26" t="str">
        <x:v>Brand gallery and bike records</x:v>
      </x:c>
      <x:c r="D13" s="26" t="str">
        <x:v>Brand/model gallery; advertisement and rider relationships</x:v>
      </x:c>
      <x:c r="E13" s="26" t="str">
        <x:v>The BMXMuseum brand path is publicly linked from external brand references.</x:v>
      </x:c>
      <x:c r="F13" s="26" t="str">
        <x:v>USA BMX independently documents John Palfreyman as an early Red Line test rider who appeared in the first Red Line magazine ad.</x:v>
      </x:c>
      <x:c r="G13" s="26" t="str">
        <x:v>Red Line Racing Frames; Linn Kastan; later ownership changes require separate corporate verification</x:v>
      </x:c>
      <x:c r="H13" s="26" t="str">
        <x:v>HIGH for brand/ad relationship</x:v>
      </x:c>
      <x:c r="I13" s="26" t="str">
        <x:v>Priority — build early product, rider and advertisement chronology.</x:v>
      </x:c>
      <x:c r="J13" s="26" t="str">
        <x:v>https://bmxmuseum.com/bikes/redline/</x:v>
      </x:c>
      <x:c r="K13" s="26" t="str">
        <x:v>https://www.usabmx.com/news-and-media/6/2012-05-10/National-BMX-Hall-of-Fame-2012-Inductees-Announced?id=580</x:v>
      </x:c>
      <x:c r="L13" s="26" t="str">
        <x:v>INDEX-ONLY</x:v>
      </x:c>
      <x:c r="M13" s="26" t="str">
        <x:v>2026-07-30</x:v>
      </x:c>
    </x:row>
  </x:sheetData>
  <x:mergeCells>
    <x:mergeCell ref="A1:M1"/>
    <x:mergeCell ref="A2:M2"/>
  </x:mergeCells>
  <x:pageMargins left="0.7" right="0.7" top="0.75" bottom="0.75" header="0.3" footer="0.3"/>
  <x:tableParts count="1">
    <x:tablePart xmlns:r="http://schemas.openxmlformats.org/officeDocument/2006/relationships" r:id="R6a0094e2d2544718"/>
  </x:tableParts>
</x:worksheet>
</file>

<file path=xl/worksheets/sheet10.xml><?xml version="1.0" encoding="utf-8"?>
<x:worksheet xmlns:x="http://schemas.openxmlformats.org/spreadsheetml/2006/main">
  <x:sheetFormatPr defaultRowHeight="15"/>
  <x:cols>
    <x:col min="1" max="1" width="14" hidden="0" customWidth="1"/>
    <x:col min="2" max="2" width="20" hidden="0" customWidth="1"/>
    <x:col min="3" max="3" width="30" hidden="0" customWidth="1"/>
    <x:col min="4" max="4" width="18" hidden="0" customWidth="1"/>
    <x:col min="5" max="5" width="23" hidden="0" customWidth="1"/>
    <x:col min="6" max="6" width="24" hidden="0" customWidth="1"/>
    <x:col min="7" max="7" width="31" hidden="0" customWidth="1"/>
    <x:col min="8" max="8" width="38" hidden="0" customWidth="1"/>
    <x:col min="9" max="9" width="17" hidden="0" customWidth="1"/>
    <x:col min="10" max="10" width="34" hidden="0" customWidth="1"/>
    <x:col min="11" max="11" width="38" hidden="0" customWidth="1"/>
    <x:col min="12" max="12" width="38" hidden="0" customWidth="1"/>
    <x:col min="13" max="13" width="18" hidden="0" customWidth="1"/>
    <x:col min="14" max="14" width="24" hidden="0" customWidth="1"/>
    <x:col min="15" max="15" width="30" hidden="0" customWidth="1"/>
    <x:col min="16" max="16" width="13" hidden="0" customWidth="1"/>
  </x:cols>
  <x:sheetData>
    <x:row r="1" ht="27" customHeight="1">
      <x:c r="A1" s="254" t="str">
        <x:v>Advertisements, Catalogs &amp; Ephemera — BMXMuseum Source Index</x:v>
      </x:c>
      <x:c r="B1" s="254"/>
      <x:c r="C1" s="254"/>
      <x:c r="D1" s="254"/>
      <x:c r="E1" s="254"/>
      <x:c r="F1" s="254"/>
      <x:c r="G1" s="254"/>
      <x:c r="H1" s="254"/>
      <x:c r="I1" s="254"/>
      <x:c r="J1" s="254"/>
      <x:c r="K1" s="254"/>
      <x:c r="L1" s="254"/>
      <x:c r="M1" s="254"/>
      <x:c r="N1" s="254"/>
      <x:c r="O1" s="254"/>
      <x:c r="P1" s="254"/>
    </x:row>
    <x:row r="2" ht="36" customHeight="1">
      <x:c r="A2" s="257" t="str">
        <x:v>Catalogs and advertisements can verify models, specifications, riders, teams and dates. The register indexes them; it does not automatically republish scans.</x:v>
      </x:c>
      <x:c r="B2" s="257"/>
      <x:c r="C2" s="257"/>
      <x:c r="D2" s="257"/>
      <x:c r="E2" s="257"/>
      <x:c r="F2" s="257"/>
      <x:c r="G2" s="257"/>
      <x:c r="H2" s="257"/>
      <x:c r="I2" s="257"/>
      <x:c r="J2" s="257"/>
      <x:c r="K2" s="257"/>
      <x:c r="L2" s="257"/>
      <x:c r="M2" s="257"/>
      <x:c r="N2" s="257"/>
      <x:c r="O2" s="257"/>
      <x:c r="P2" s="257"/>
    </x:row>
    <x:row r="4" ht="36" customHeight="1">
      <x:c r="A4" s="236" t="str">
        <x:v>Object ID</x:v>
      </x:c>
      <x:c r="B4" s="236" t="str">
        <x:v>Material Type</x:v>
      </x:c>
      <x:c r="C4" s="236" t="str">
        <x:v>Title / Description</x:v>
      </x:c>
      <x:c r="D4" s="236" t="str">
        <x:v>Year / Date</x:v>
      </x:c>
      <x:c r="E4" s="236" t="str">
        <x:v>Brand(s) / Person(s)</x:v>
      </x:c>
      <x:c r="F4" s="236" t="str">
        <x:v>BMXMuseum Object</x:v>
      </x:c>
      <x:c r="G4" s="236" t="str">
        <x:v>What It Can Verify</x:v>
      </x:c>
      <x:c r="H4" s="236" t="str">
        <x:v>Current Evidence / Limitation</x:v>
      </x:c>
      <x:c r="I4" s="236" t="str">
        <x:v>Confidence</x:v>
      </x:c>
      <x:c r="J4" s="236" t="str">
        <x:v>Research Status</x:v>
      </x:c>
      <x:c r="K4" s="236" t="str">
        <x:v>Discovery Source URL</x:v>
      </x:c>
      <x:c r="L4" s="236" t="str">
        <x:v>Independent Source URL</x:v>
      </x:c>
      <x:c r="M4" s="236" t="str">
        <x:v>Rights Code</x:v>
      </x:c>
      <x:c r="N4" s="236" t="str">
        <x:v>Image Action</x:v>
      </x:c>
      <x:c r="O4" s="236" t="str">
        <x:v>Text Action</x:v>
      </x:c>
      <x:c r="P4" s="236" t="str">
        <x:v>Accessed</x:v>
      </x:c>
    </x:row>
    <x:row r="5" ht="72" customHeight="1">
      <x:c r="A5" s="250" t="str">
        <x:v>BM-AD-0001</x:v>
      </x:c>
      <x:c r="B5" s="250" t="str">
        <x:v>Catalog</x:v>
      </x:c>
      <x:c r="C5" s="250" t="str">
        <x:v>1996 GT/Dyno — The BMX &amp; Freestyle Catalog</x:v>
      </x:c>
      <x:c r="D5" s="250" t="str">
        <x:v>1996</x:v>
      </x:c>
      <x:c r="E5" s="250" t="str">
        <x:v>GT; Dyno</x:v>
      </x:c>
      <x:c r="F5" s="250" t="str">
        <x:v>Reference title exposed; exact ID unresolved</x:v>
      </x:c>
      <x:c r="G5" s="250" t="str">
        <x:v>Model lineup, colors, component specifications, team imagery and brand positioning for 1996.</x:v>
      </x:c>
      <x:c r="H5" s="250" t="str">
        <x:v>Public indexing exposes the title and BMXMuseum provenance but not a reliable reference ID or complete page set.</x:v>
      </x:c>
      <x:c r="I5" s="250" t="str">
        <x:v>MEDIUM</x:v>
      </x:c>
      <x:c r="J5" s="250" t="str">
        <x:v>Lead — locate exact reference ID and edition/page count.</x:v>
      </x:c>
      <x:c r="K5" s="250" t="str">
        <x:v>https://www.pinterest.com/pin/bmxmuseumcom-reference-1996-gtdyno-the-bmx-freestyle-catalog--491877590560035755/</x:v>
      </x:c>
      <x:c r="L5" s="250" t="str"/>
      <x:c r="M5" s="250" t="str">
        <x:v>INDEX-ONLY</x:v>
      </x:c>
      <x:c r="N5" s="250" t="str">
        <x:v>Do not copy scans</x:v>
      </x:c>
      <x:c r="O5" s="250" t="str">
        <x:v>Paraphrase bibliographic facts only</x:v>
      </x:c>
      <x:c r="P5" s="251" t="str">
        <x:v>2026-07-30</x:v>
      </x:c>
    </x:row>
    <x:row r="6" ht="72" customHeight="1">
      <x:c r="A6" s="335" t="str">
        <x:v>BM-AD-0002</x:v>
      </x:c>
      <x:c r="B6" s="335" t="str">
        <x:v>Catalog</x:v>
      </x:c>
      <x:c r="C6" s="335" t="str">
        <x:v>1992 GT/Dyno Product Catalog</x:v>
      </x:c>
      <x:c r="D6" s="335" t="str">
        <x:v>1992</x:v>
      </x:c>
      <x:c r="E6" s="335" t="str">
        <x:v>GT; Dyno</x:v>
      </x:c>
      <x:c r="F6" s="335" t="str">
        <x:v>Reference title exposed; exact ID unresolved</x:v>
      </x:c>
      <x:c r="G6" s="335" t="str">
        <x:v>Model-year lineup, specifications and GT/Dyno brand relationship.</x:v>
      </x:c>
      <x:c r="H6" s="335" t="str">
        <x:v>Title is publicly indexed; exact reference ID and completeness remain unresolved.</x:v>
      </x:c>
      <x:c r="I6" s="335" t="str">
        <x:v>MEDIUM</x:v>
      </x:c>
      <x:c r="J6" s="335" t="str">
        <x:v>Lead — locate exact reference and compare with independent catalog archives.</x:v>
      </x:c>
      <x:c r="K6" s="335" t="str">
        <x:v>https://in.pinterest.com/pin/1011550766308215575/</x:v>
      </x:c>
      <x:c r="L6" s="335" t="str"/>
      <x:c r="M6" s="335" t="str">
        <x:v>INDEX-ONLY</x:v>
      </x:c>
      <x:c r="N6" s="335" t="str">
        <x:v>Do not copy scans</x:v>
      </x:c>
      <x:c r="O6" s="335" t="str">
        <x:v>Paraphrase bibliographic facts only</x:v>
      </x:c>
      <x:c r="P6" s="336" t="str">
        <x:v>2026-07-30</x:v>
      </x:c>
    </x:row>
    <x:row r="7" ht="72" customHeight="1">
      <x:c r="A7" s="250" t="str">
        <x:v>BM-AD-0003</x:v>
      </x:c>
      <x:c r="B7" s="250" t="str">
        <x:v>Catalog</x:v>
      </x:c>
      <x:c r="C7" s="250" t="str">
        <x:v>1999 GT/Dyno BMX/Freestyle — Part 2</x:v>
      </x:c>
      <x:c r="D7" s="250" t="str">
        <x:v>1999</x:v>
      </x:c>
      <x:c r="E7" s="250" t="str">
        <x:v>GT; Dyno</x:v>
      </x:c>
      <x:c r="F7" s="250" t="str">
        <x:v>Reference title exposed; exact ID unresolved</x:v>
      </x:c>
      <x:c r="G7" s="250" t="str">
        <x:v>Late-1990s model lineup, parts and visual branding.</x:v>
      </x:c>
      <x:c r="H7" s="250" t="str">
        <x:v>Only the indexed title is presently recoverable.</x:v>
      </x:c>
      <x:c r="I7" s="250" t="str">
        <x:v>LOW-MEDIUM</x:v>
      </x:c>
      <x:c r="J7" s="250" t="str">
        <x:v>Lead — locate part 1, exact reference IDs and page ranges.</x:v>
      </x:c>
      <x:c r="K7" s="250" t="str">
        <x:v>https://www.pinterest.com/pin/bmxmuseumcom-reference-1999-gtdyno-bmxfreestyle-part-2-in-2025--798192733998105769/</x:v>
      </x:c>
      <x:c r="L7" s="250" t="str"/>
      <x:c r="M7" s="250" t="str">
        <x:v>INDEX-ONLY</x:v>
      </x:c>
      <x:c r="N7" s="250" t="str">
        <x:v>Do not copy scans</x:v>
      </x:c>
      <x:c r="O7" s="250" t="str">
        <x:v>Paraphrase bibliographic facts only</x:v>
      </x:c>
      <x:c r="P7" s="251" t="str">
        <x:v>2026-07-30</x:v>
      </x:c>
    </x:row>
    <x:row r="8" ht="72" customHeight="1">
      <x:c r="A8" s="335" t="str">
        <x:v>BM-AD-0004</x:v>
      </x:c>
      <x:c r="B8" s="335" t="str">
        <x:v>Catalog</x:v>
      </x:c>
      <x:c r="C8" s="335" t="str">
        <x:v>1990 Haro BMX Catalog</x:v>
      </x:c>
      <x:c r="D8" s="335" t="str">
        <x:v>1990</x:v>
      </x:c>
      <x:c r="E8" s="335" t="str">
        <x:v>Haro</x:v>
      </x:c>
      <x:c r="F8" s="335" t="str">
        <x:v>Reference title exposed; exact ID unresolved</x:v>
      </x:c>
      <x:c r="G8" s="335" t="str">
        <x:v>Haro's 1990 models, specifications, colors and marketing.</x:v>
      </x:c>
      <x:c r="H8" s="335" t="str">
        <x:v>Haro's official BMX archive independently lists a 1990 PDF catalog. The BMXMuseum reference ID and document completeness remain unresolved.</x:v>
      </x:c>
      <x:c r="I8" s="335" t="str">
        <x:v>LOW-MEDIUM</x:v>
      </x:c>
      <x:c r="J8" s="335" t="str">
        <x:v>Verified catalog existence — recover exact BMXMuseum ID and compare editions/pages.</x:v>
      </x:c>
      <x:c r="K8" s="335" t="str">
        <x:v>https://storage.googleapis.com/dioyjtkukhpqse/haro-bmx-catalog.html</x:v>
      </x:c>
      <x:c r="L8" s="335" t="str">
        <x:v>https://archive.harobikes.com/</x:v>
      </x:c>
      <x:c r="M8" s="335" t="str">
        <x:v>INDEX-ONLY</x:v>
      </x:c>
      <x:c r="N8" s="335" t="str">
        <x:v>Do not copy scans</x:v>
      </x:c>
      <x:c r="O8" s="335" t="str">
        <x:v>Paraphrase bibliographic facts only</x:v>
      </x:c>
      <x:c r="P8" s="336" t="str">
        <x:v>2026-07-30</x:v>
      </x:c>
    </x:row>
    <x:row r="9" ht="72" customHeight="1">
      <x:c r="A9" s="250" t="str">
        <x:v>BM-AD-0005</x:v>
      </x:c>
      <x:c r="B9" s="250" t="str">
        <x:v>Product literature</x:v>
      </x:c>
      <x:c r="C9" s="250" t="str">
        <x:v>1987 Dia-Compe 182 Aerial Brake Lever</x:v>
      </x:c>
      <x:c r="D9" s="250" t="str">
        <x:v>1987</x:v>
      </x:c>
      <x:c r="E9" s="250" t="str">
        <x:v>Dia-Compe</x:v>
      </x:c>
      <x:c r="F9" s="250" t="str">
        <x:v>Reference title exposed; exact ID unresolved</x:v>
      </x:c>
      <x:c r="G9" s="250" t="str">
        <x:v>Product name, year, design and marketing context.</x:v>
      </x:c>
      <x:c r="H9" s="250" t="str">
        <x:v>Indexed title only; the object may be a catalog page, advertisement or product reference.</x:v>
      </x:c>
      <x:c r="I9" s="250" t="str">
        <x:v>MEDIUM</x:v>
      </x:c>
      <x:c r="J9" s="250" t="str">
        <x:v>Lead — identify publication, page and exact BMXMuseum reference.</x:v>
      </x:c>
      <x:c r="K9" s="250" t="str">
        <x:v>https://www.pinterest.com/pin/bmxmuseumcom-reference-1987-diacompe-182-aerial-brake-lever--731623901972849898/</x:v>
      </x:c>
      <x:c r="L9" s="250" t="str"/>
      <x:c r="M9" s="250" t="str">
        <x:v>INDEX-ONLY</x:v>
      </x:c>
      <x:c r="N9" s="250" t="str">
        <x:v>Do not copy image</x:v>
      </x:c>
      <x:c r="O9" s="250" t="str">
        <x:v>Paraphrase bibliographic facts only</x:v>
      </x:c>
      <x:c r="P9" s="251" t="str">
        <x:v>2026-07-30</x:v>
      </x:c>
    </x:row>
    <x:row r="10" ht="72" customHeight="1">
      <x:c r="A10" s="335" t="str">
        <x:v>BM-AD-0006</x:v>
      </x:c>
      <x:c r="B10" s="335" t="str">
        <x:v>Catalog</x:v>
      </x:c>
      <x:c r="C10" s="335" t="str">
        <x:v>Ashtabula component catalog</x:v>
      </x:c>
      <x:c r="D10" s="335" t="str">
        <x:v>circa 1977 (unverified)</x:v>
      </x:c>
      <x:c r="E10" s="335" t="str">
        <x:v>Ashtabula</x:v>
      </x:c>
      <x:c r="F10" s="335" t="str">
        <x:v>Reference 5027</x:v>
      </x:c>
      <x:c r="G10" s="335" t="str">
        <x:v>Fork sizes, steerer dimensions and product range across wheel sizes.</x:v>
      </x:c>
      <x:c r="H10" s="335" t="str">
        <x:v>Two independent technical discussions cite the exact BMXMuseum reference 5027 and describe catalog fork data. The edition date remains approximate.</x:v>
      </x:c>
      <x:c r="I10" s="335" t="str">
        <x:v>HIGH for object; MEDIUM for date</x:v>
      </x:c>
      <x:c r="J10" s="335" t="str">
        <x:v>Exact reference recovered — inspect edition/page structure only through permitted access.</x:v>
      </x:c>
      <x:c r="K10" s="335" t="str">
        <x:v>https://bmxmuseum.com/reference/5027</x:v>
      </x:c>
      <x:c r="L10" s="335" t="str">
        <x:v>https://thecabe.com/forum/threads/ashtabula-fork-identification-help.253603/</x:v>
      </x:c>
      <x:c r="M10" s="335" t="str">
        <x:v>INDEX-ONLY</x:v>
      </x:c>
      <x:c r="N10" s="335" t="str">
        <x:v>Do not copy scans</x:v>
      </x:c>
      <x:c r="O10" s="335" t="str">
        <x:v>Paraphrase factual specifications with attribution</x:v>
      </x:c>
      <x:c r="P10" s="336" t="str">
        <x:v>2026-07-30</x:v>
      </x:c>
    </x:row>
    <x:row r="11" ht="72" customHeight="1">
      <x:c r="A11" s="250" t="str">
        <x:v>BM-AD-0007</x:v>
      </x:c>
      <x:c r="B11" s="250" t="str">
        <x:v>Catalog</x:v>
      </x:c>
      <x:c r="C11" s="250" t="str">
        <x:v>1997 Hoffman catalog — George model specification</x:v>
      </x:c>
      <x:c r="D11" s="250" t="str">
        <x:v>1997</x:v>
      </x:c>
      <x:c r="E11" s="250" t="str">
        <x:v>Hoffman Bikes</x:v>
      </x:c>
      <x:c r="F11" s="250" t="str">
        <x:v>Reference 1911</x:v>
      </x:c>
      <x:c r="G11" s="250" t="str">
        <x:v>Model name, geometry/specification and model-year existence.</x:v>
      </x:c>
      <x:c r="H11" s="250" t="str">
        <x:v>An external forum cites the exact BMXMuseum reference for the Hoffman George. The full catalog title and edition need confirmation.</x:v>
      </x:c>
      <x:c r="I11" s="250" t="str">
        <x:v>HIGH for reference existence; MEDIUM for interpreted model data</x:v>
      </x:c>
      <x:c r="J11" s="250" t="str">
        <x:v>Open — record exact page and compare with other Hoffman catalogs.</x:v>
      </x:c>
      <x:c r="K11" s="250" t="str">
        <x:v>https://bmxmuseum.com/reference/1911</x:v>
      </x:c>
      <x:c r="L11" s="250" t="str">
        <x:v>https://www.radbmx.co.uk/forum/index.php?topic=181254.0</x:v>
      </x:c>
      <x:c r="M11" s="250" t="str">
        <x:v>INDEX-ONLY</x:v>
      </x:c>
      <x:c r="N11" s="250" t="str">
        <x:v>Do not copy scans</x:v>
      </x:c>
      <x:c r="O11" s="250" t="str">
        <x:v>Paraphrase specifications with citation</x:v>
      </x:c>
      <x:c r="P11" s="251" t="str">
        <x:v>2026-07-30</x:v>
      </x:c>
    </x:row>
    <x:row r="12" ht="72" customHeight="1">
      <x:c r="A12" s="335" t="str">
        <x:v>BM-AD-0008</x:v>
      </x:c>
      <x:c r="B12" s="335" t="str">
        <x:v>Magazine advertisement</x:v>
      </x:c>
      <x:c r="C12" s="335" t="str">
        <x:v>Tioga Rhino III frame advertisement</x:v>
      </x:c>
      <x:c r="D12" s="335" t="str">
        <x:v>1983 lead</x:v>
      </x:c>
      <x:c r="E12" s="335" t="str">
        <x:v>Tioga; Tange</x:v>
      </x:c>
      <x:c r="F12" s="335" t="str">
        <x:v>Forum object unresolved</x:v>
      </x:c>
      <x:c r="G12" s="335" t="str">
        <x:v>Product launch timing, construction claims, branding and period pricing if present.</x:v>
      </x:c>
      <x:c r="H12" s="335" t="str">
        <x:v>An external old-school BMX advertisement blog links to an unresolved BMXMuseum forum discussion. The original ad and publication must be identified.</x:v>
      </x:c>
      <x:c r="I12" s="335" t="str">
        <x:v>LOW-MEDIUM</x:v>
      </x:c>
      <x:c r="J12" s="335" t="str">
        <x:v>Lead — recover exact thread, magazine issue and page.</x:v>
      </x:c>
      <x:c r="K12" s="335" t="str">
        <x:v>https://edwardkoenning.blogspot.com/2012/09/</x:v>
      </x:c>
      <x:c r="L12" s="335" t="str"/>
      <x:c r="M12" s="335" t="str">
        <x:v>INDEX-ONLY</x:v>
      </x:c>
      <x:c r="N12" s="335" t="str">
        <x:v>Do not copy image</x:v>
      </x:c>
      <x:c r="O12" s="335" t="str">
        <x:v>Paraphrase bibliographic facts only</x:v>
      </x:c>
      <x:c r="P12" s="336" t="str">
        <x:v>2026-07-30</x:v>
      </x:c>
    </x:row>
    <x:row r="13" ht="72" customHeight="1">
      <x:c r="A13" s="250" t="str">
        <x:v>BM-AD-0009</x:v>
      </x:c>
      <x:c r="B13" s="250" t="str">
        <x:v>Magazine advertisement</x:v>
      </x:c>
      <x:c r="C13" s="250" t="str">
        <x:v>First Torker advertisement in BMX Weekly</x:v>
      </x:c>
      <x:c r="D13" s="250" t="str">
        <x:v>December 1976</x:v>
      </x:c>
      <x:c r="E13" s="250" t="str">
        <x:v>Torker</x:v>
      </x:c>
      <x:c r="F13" s="250" t="str">
        <x:v>BMXMuseum production-record ecosystem</x:v>
      </x:c>
      <x:c r="G13" s="250" t="str">
        <x:v>Earliest public brand marketing, product terminology and launch chronology.</x:v>
      </x:c>
      <x:c r="H13" s="250" t="str">
        <x:v>Current official Torker history states the first ad date; the actual BMXMuseum object and magazine page remain to be located.</x:v>
      </x:c>
      <x:c r="I13" s="250" t="str">
        <x:v>MEDIUM-HIGH</x:v>
      </x:c>
      <x:c r="J13" s="250" t="str">
        <x:v>Priority — locate the period issue and ad image lawfully.</x:v>
      </x:c>
      <x:c r="K13" s="250" t="str">
        <x:v>https://torkerracing.com/pages/the-fullerton-era-torker-bmx-history</x:v>
      </x:c>
      <x:c r="L13" s="250" t="str"/>
      <x:c r="M13" s="250" t="str">
        <x:v>INDEX-ONLY</x:v>
      </x:c>
      <x:c r="N13" s="250" t="str">
        <x:v>Do not copy without rights review</x:v>
      </x:c>
      <x:c r="O13" s="250" t="str">
        <x:v>Paraphrase date/title claims with attribution</x:v>
      </x:c>
      <x:c r="P13" s="251" t="str">
        <x:v>2026-07-30</x:v>
      </x:c>
    </x:row>
    <x:row r="14" ht="72" customHeight="1">
      <x:c r="A14" s="335" t="str">
        <x:v>BM-AD-0010</x:v>
      </x:c>
      <x:c r="B14" s="335" t="str">
        <x:v>Magazine advertisement</x:v>
      </x:c>
      <x:c r="C14" s="335" t="str">
        <x:v>First Red Line magazine advertisement featuring John Palfreyman</x:v>
      </x:c>
      <x:c r="D14" s="335" t="str">
        <x:v>1970s; exact issue pending</x:v>
      </x:c>
      <x:c r="E14" s="335" t="str">
        <x:v>Red Line; John Palfreyman</x:v>
      </x:c>
      <x:c r="F14" s="335" t="str">
        <x:v>Redline brand gallery ecosystem</x:v>
      </x:c>
      <x:c r="G14" s="335" t="str">
        <x:v>Early Red Line rider endorsement, product testing and brand chronology.</x:v>
      </x:c>
      <x:c r="H14" s="335" t="str">
        <x:v>USA BMX officially states Palfreyman appeared in the first Red Line magazine ad; exact publication/date/page still need recovery.</x:v>
      </x:c>
      <x:c r="I14" s="335" t="str">
        <x:v>HIGH for relationship; MEDIUM for bibliographic detail</x:v>
      </x:c>
      <x:c r="J14" s="335" t="str">
        <x:v>Priority — identify magazine, issue, page and product shown.</x:v>
      </x:c>
      <x:c r="K14" s="335" t="str">
        <x:v>https://bmxmuseum.com/bikes/redline/</x:v>
      </x:c>
      <x:c r="L14" s="335" t="str">
        <x:v>https://www.usabmx.com/news-and-media/6/2012-05-10/National-BMX-Hall-of-Fame-2012-Inductees-Announced?id=580</x:v>
      </x:c>
      <x:c r="M14" s="335" t="str">
        <x:v>INDEX-ONLY</x:v>
      </x:c>
      <x:c r="N14" s="335" t="str">
        <x:v>Do not copy without rights review</x:v>
      </x:c>
      <x:c r="O14" s="335" t="str">
        <x:v>Paraphrase bibliographic facts only</x:v>
      </x:c>
      <x:c r="P14" s="336" t="str">
        <x:v>2026-07-30</x:v>
      </x:c>
    </x:row>
    <x:row r="15">
      <x:c r="A15" s="250" t="str">
        <x:v>BM-AD-0011</x:v>
      </x:c>
      <x:c r="B15" s="250" t="str">
        <x:v>Combined flyer / price-list set</x:v>
      </x:c>
      <x:c r="C15" s="250" t="str">
        <x:v>JMC Racing Fliers and Price List</x:v>
      </x:c>
      <x:c r="D15" s="250" t="str">
        <x:v>Undated</x:v>
      </x:c>
      <x:c r="E15" s="250" t="str">
        <x:v>JMC Racing</x:v>
      </x:c>
      <x:c r="F15" s="250" t="str">
        <x:v>Reference title exposed; exact ID unresolved</x:v>
      </x:c>
      <x:c r="G15" s="250" t="str">
        <x:v>JMC product range, dealer-facing terminology, period marketing and historical prices if readable.</x:v>
      </x:c>
      <x:c r="H15" s="250" t="str">
        <x:v>A public index explicitly identifies a BMXMuseum JMC flyer-and-price-list set. Exact reference ID, date, page count and individual prices are not exposed.</x:v>
      </x:c>
      <x:c r="I15" s="250" t="str">
        <x:v>MEDIUM</x:v>
      </x:c>
      <x:c r="J15" s="250" t="str">
        <x:v>Priority — locate exact reference ID, count pages and transcribe only clearly labeled factual price fields.</x:v>
      </x:c>
      <x:c r="K15" s="250" t="str">
        <x:v>https://www.pinterest.com/pin/jmc-bmx-fliers-and-price-list--442478732119429034/</x:v>
      </x:c>
      <x:c r="L15" s="250" t="str">
        <x:v>https://www.facebook.com/groups/553888658024748/posts/27080185384968381/</x:v>
      </x:c>
      <x:c r="M15" s="250" t="str">
        <x:v>INDEX-ONLY</x:v>
      </x:c>
      <x:c r="N15" s="250" t="str">
        <x:v>Do not copy scans</x:v>
      </x:c>
      <x:c r="O15" s="250" t="str">
        <x:v>Paraphrase bibliographic and price facts only</x:v>
      </x:c>
      <x:c r="P15" s="251" t="str">
        <x:v>2026-07-30</x:v>
      </x:c>
    </x:row>
    <x:row r="16">
      <x:c r="A16" s="335" t="str">
        <x:v>BM-AD-0012</x:v>
      </x:c>
      <x:c r="B16" s="335" t="str">
        <x:v>Dealer price list</x:v>
      </x:c>
      <x:c r="C16" s="335" t="str">
        <x:v>Vintage JMC Racing Equipment dealer's price list from Azusa collection</x:v>
      </x:c>
      <x:c r="D16" s="335" t="str">
        <x:v>Undated vintage document; public post 2026</x:v>
      </x:c>
      <x:c r="E16" s="335" t="str">
        <x:v>JMC Racing; Azusa collection</x:v>
      </x:c>
      <x:c r="F16" s="335" t="str">
        <x:v>External corroborating ephemera lead</x:v>
      </x:c>
      <x:c r="G16" s="335" t="str">
        <x:v>Existence of a period JMC dealer-price document and possible dealer/distributor context.</x:v>
      </x:c>
      <x:c r="H16" s="335" t="str">
        <x:v>The public result exposes the document description but not a reliable issue date, complete contents or readable line-item prices.</x:v>
      </x:c>
      <x:c r="I16" s="335" t="str">
        <x:v>LOW-MEDIUM</x:v>
      </x:c>
      <x:c r="J16" s="335" t="str">
        <x:v>Corroboration lead — do not merge with BMXMuseum set until directly compared.</x:v>
      </x:c>
      <x:c r="K16" s="335" t="str">
        <x:v>https://www.facebook.com/groups/553888658024748/posts/27080185384968381/</x:v>
      </x:c>
      <x:c r="L16" s="335"/>
      <x:c r="M16" s="335" t="str">
        <x:v>INDEX-ONLY</x:v>
      </x:c>
      <x:c r="N16" s="335" t="str">
        <x:v>Do not copy image</x:v>
      </x:c>
      <x:c r="O16" s="335" t="str">
        <x:v>Paraphrase document description only</x:v>
      </x:c>
      <x:c r="P16" s="336" t="str">
        <x:v>2026-07-30</x:v>
      </x:c>
    </x:row>
    <x:row r="17">
      <x:c r="A17" s="250" t="str">
        <x:v>BM-AD-0013</x:v>
      </x:c>
      <x:c r="B17" s="250" t="str">
        <x:v>Magazine advertisement</x:v>
      </x:c>
      <x:c r="C17" s="250" t="str">
        <x:v>July 1979 JMC advertisement</x:v>
      </x:c>
      <x:c r="D17" s="250" t="str">
        <x:v>July 1979 issue; ran over multiple months</x:v>
      </x:c>
      <x:c r="E17" s="250" t="str">
        <x:v>JMC Racing</x:v>
      </x:c>
      <x:c r="F17" s="250" t="str">
        <x:v>First-party JMC historical archive object</x:v>
      </x:c>
      <x:c r="G17" s="250" t="str">
        <x:v>Period product marketing, model terminology and JMC's 1979 market presentation.</x:v>
      </x:c>
      <x:c r="H17" s="250" t="str">
        <x:v>JMC's historical archive identifies the source as the July 1979 Bicycle Motocross Action issue and says the advertisement appeared over many months. Page and full copy are not transcribed.</x:v>
      </x:c>
      <x:c r="I17" s="250" t="str">
        <x:v>HIGH for bibliographic identity</x:v>
      </x:c>
      <x:c r="J17" s="250" t="str">
        <x:v>Included — index metadata; do not reproduce image or extended copy.</x:v>
      </x:c>
      <x:c r="K17" s="250" t="str">
        <x:v>https://jmcbmx.wordpress.com/2010/02/03/july-1979-advertisement/</x:v>
      </x:c>
      <x:c r="L17" s="250" t="str">
        <x:v>https://jmcbmx.wordpress.com/page/3/</x:v>
      </x:c>
      <x:c r="M17" s="250" t="str">
        <x:v>INDEX-ONLY / PERMISSION REQUIRED</x:v>
      </x:c>
      <x:c r="N17" s="250" t="str">
        <x:v>Do not copy; BMXA imagery requires Bob Osborn's written permission</x:v>
      </x:c>
      <x:c r="O17" s="250" t="str">
        <x:v>Paraphrase bibliographic facts only</x:v>
      </x:c>
      <x:c r="P17" s="251" t="str">
        <x:v>2026-07-30</x:v>
      </x:c>
    </x:row>
    <x:row r="18">
      <x:c r="A18" s="335" t="str">
        <x:v>BM-AD-0014</x:v>
      </x:c>
      <x:c r="B18" s="335" t="str">
        <x:v>Magazine advertisement</x:v>
      </x:c>
      <x:c r="C18" s="335" t="str">
        <x:v>April 1981 JMC advertisement</x:v>
      </x:c>
      <x:c r="D18" s="335" t="str">
        <x:v>April 1981; appeared in multiple months</x:v>
      </x:c>
      <x:c r="E18" s="335" t="str">
        <x:v>JMC Racing; Black Shadow; 3.1 XL</x:v>
      </x:c>
      <x:c r="F18" s="335" t="str">
        <x:v>First-party JMC historical archive object</x:v>
      </x:c>
      <x:c r="G18" s="335" t="str">
        <x:v>Black Shadow naming after chrome introduction; 3.1 XL 110-lb limit and frame relationship; comparative geometry claim.</x:v>
      </x:c>
      <x:c r="H18" s="335" t="str">
        <x:v>The JMC archive identifies Super BMX as the publication and summarizes several claims. Exact page, repeated issues and full advertisement copy remain unresolved.</x:v>
      </x:c>
      <x:c r="I18" s="335" t="str">
        <x:v>HIGH for source/date; MEDIUM-HIGH for summarized claims</x:v>
      </x:c>
      <x:c r="J18" s="335" t="str">
        <x:v>Included — preserve claim-level evidence and recover page/issue details.</x:v>
      </x:c>
      <x:c r="K18" s="335" t="str">
        <x:v>https://jmcbmx.wordpress.com/2010/02/03/april-1981-advertisement/</x:v>
      </x:c>
      <x:c r="L18" s="335" t="str">
        <x:v>https://jmcbmx.wordpress.com/page/3/</x:v>
      </x:c>
      <x:c r="M18" s="335" t="str">
        <x:v>INDEX-ONLY</x:v>
      </x:c>
      <x:c r="N18" s="335" t="str">
        <x:v>Do not copy advertisement image</x:v>
      </x:c>
      <x:c r="O18" s="335" t="str">
        <x:v>Paraphrase specific factual claims with attribution</x:v>
      </x:c>
      <x:c r="P18" s="336" t="str">
        <x:v>2026-07-30</x:v>
      </x:c>
    </x:row>
    <x:row r="19">
      <x:c r="A19" s="250" t="str">
        <x:v>BM-AD-0015</x:v>
      </x:c>
      <x:c r="B19" s="250" t="str">
        <x:v>Team advertisement</x:v>
      </x:c>
      <x:c r="C19" s="250" t="str">
        <x:v>1981 JMC Factory Team advertisement</x:v>
      </x:c>
      <x:c r="D19" s="250" t="str">
        <x:v>1981</x:v>
      </x:c>
      <x:c r="E19" s="250" t="str">
        <x:v>JMC Racing; JMC Factory Team</x:v>
      </x:c>
      <x:c r="F19" s="250" t="str">
        <x:v>First-party JMC historical archive object</x:v>
      </x:c>
      <x:c r="G19" s="250" t="str">
        <x:v>Factory-team roster context, team presentation and period branding.</x:v>
      </x:c>
      <x:c r="H19" s="250" t="str">
        <x:v>The first-party archive confirms the object title and year. Publication, month, issue and complete rider identifications remain unresolved.</x:v>
      </x:c>
      <x:c r="I19" s="250" t="str">
        <x:v>MEDIUM-HIGH</x:v>
      </x:c>
      <x:c r="J19" s="250" t="str">
        <x:v>Included — identify publication/issue and riders shown before detailed extraction.</x:v>
      </x:c>
      <x:c r="K19" s="250" t="str">
        <x:v>https://jmcbmx.wordpress.com/2010/02/03/81-jmc-factory-team-advertisement/</x:v>
      </x:c>
      <x:c r="L19" s="250" t="str">
        <x:v>https://jmcbmx.wordpress.com/page/3/</x:v>
      </x:c>
      <x:c r="M19" s="250" t="str">
        <x:v>INDEX-ONLY</x:v>
      </x:c>
      <x:c r="N19" s="250" t="str">
        <x:v>Do not copy advertisement image</x:v>
      </x:c>
      <x:c r="O19" s="250" t="str">
        <x:v>Paraphrase bibliographic facts only</x:v>
      </x:c>
      <x:c r="P19" s="251" t="str">
        <x:v>2026-07-30</x:v>
      </x:c>
    </x:row>
    <x:row r="20">
      <x:c r="A20" s="337" t="str">
        <x:v>BM-AD-0016</x:v>
      </x:c>
      <x:c r="B20" s="337" t="str">
        <x:v>Promotional announcement / naming contest</x:v>
      </x:c>
      <x:c r="C20" s="337" t="str">
        <x:v>JMC 3.1 XL naming-contest announcement</x:v>
      </x:c>
      <x:c r="D20" s="337" t="str">
        <x:v>1980</x:v>
      </x:c>
      <x:c r="E20" s="337" t="str">
        <x:v>JMC Racing; Bicycle Harbor of Arizona; Matt Raymer</x:v>
      </x:c>
      <x:c r="F20" s="337" t="str">
        <x:v>Period ABA-paper announcement not yet recovered</x:v>
      </x:c>
      <x:c r="G20" s="337" t="str">
        <x:v>Product naming chronology, dealer collaboration and origin of the 3.1 XL name.</x:v>
      </x:c>
      <x:c r="H20" s="337" t="str">
        <x:v>JMC's first-party history states the contest ran with Bicycle Harbor of Arizona in the ABA paper and that Matt Raymer supplied the winning name. The announcement itself is not yet located.</x:v>
      </x:c>
      <x:c r="I20" s="337" t="str">
        <x:v>HIGH for historical claim; LOW for object recovery</x:v>
      </x:c>
      <x:c r="J20" s="337" t="str">
        <x:v>Lead — locate the ABA paper issue and announcement; do not imply an exact scan has been found.</x:v>
      </x:c>
      <x:c r="K20" s="337" t="str">
        <x:v>https://jmcbmx.wordpress.com/about/</x:v>
      </x:c>
      <x:c r="L20" s="337"/>
      <x:c r="M20" s="337" t="str">
        <x:v>INDEX-ONLY</x:v>
      </x:c>
      <x:c r="N20" s="337" t="str">
        <x:v>No image recovered</x:v>
      </x:c>
      <x:c r="O20" s="337" t="str">
        <x:v>Paraphrase first-party historical claim</x:v>
      </x:c>
      <x:c r="P20" s="338" t="str">
        <x:v>2026-07-30</x:v>
      </x:c>
    </x:row>
  </x:sheetData>
  <x:mergeCells>
    <x:mergeCell ref="A1:P1"/>
    <x:mergeCell ref="A2:P2"/>
  </x:mergeCells>
  <x:pageMargins left="0.7" right="0.7" top="0.75" bottom="0.75" header="0.3" footer="0.3"/>
  <x:tableParts count="1">
    <x:tablePart xmlns:r="http://schemas.openxmlformats.org/officeDocument/2006/relationships" r:id="R79ceda8804cd4e0e"/>
  </x:tableParts>
</x:worksheet>
</file>

<file path=xl/worksheets/sheet11.xml><?xml version="1.0" encoding="utf-8"?>
<x:worksheet xmlns:x="http://schemas.openxmlformats.org/spreadsheetml/2006/main">
  <x:sheetFormatPr defaultRowHeight="15"/>
  <x:cols>
    <x:col min="1" max="1" width="15" hidden="0" customWidth="1"/>
    <x:col min="2" max="2" width="23" hidden="0" customWidth="1"/>
    <x:col min="3" max="3" width="18" hidden="0" customWidth="1"/>
    <x:col min="4" max="4" width="20" hidden="0" customWidth="1"/>
    <x:col min="5" max="5" width="30" hidden="0" customWidth="1"/>
    <x:col min="6" max="6" width="22" hidden="0" customWidth="1"/>
    <x:col min="7" max="7" width="17" hidden="0" customWidth="1"/>
    <x:col min="8" max="8" width="42" hidden="0" customWidth="1"/>
    <x:col min="9" max="9" width="16" hidden="0" customWidth="1"/>
    <x:col min="10" max="10" width="42" hidden="0" customWidth="1"/>
    <x:col min="11" max="11" width="28" hidden="0" customWidth="1"/>
  </x:cols>
  <x:sheetData>
    <x:row r="1" ht="27" customHeight="1">
      <x:c r="A1" s="254" t="str">
        <x:v>Knowledge Graph Relationships</x:v>
      </x:c>
      <x:c r="B1" s="254"/>
      <x:c r="C1" s="254"/>
      <x:c r="D1" s="254"/>
      <x:c r="E1" s="254"/>
      <x:c r="F1" s="254"/>
      <x:c r="G1" s="254"/>
      <x:c r="H1" s="254"/>
      <x:c r="I1" s="254"/>
      <x:c r="J1" s="254"/>
      <x:c r="K1" s="254"/>
    </x:row>
    <x:row r="2" ht="36" customHeight="1">
      <x:c r="A2" s="257" t="str">
        <x:v>This table connects people, brands, results, tracks, events, bikes and source objects without collapsing them into a single narrative claim.</x:v>
      </x:c>
      <x:c r="B2" s="257"/>
      <x:c r="C2" s="257"/>
      <x:c r="D2" s="257"/>
      <x:c r="E2" s="257"/>
      <x:c r="F2" s="257"/>
      <x:c r="G2" s="257"/>
      <x:c r="H2" s="257"/>
      <x:c r="I2" s="257"/>
      <x:c r="J2" s="257"/>
      <x:c r="K2" s="257"/>
    </x:row>
    <x:row r="4" ht="36" customHeight="1">
      <x:c r="A4" s="236" t="str">
        <x:v>Relationship ID</x:v>
      </x:c>
      <x:c r="B4" s="236" t="str">
        <x:v>From Object</x:v>
      </x:c>
      <x:c r="C4" s="236" t="str">
        <x:v>From Type</x:v>
      </x:c>
      <x:c r="D4" s="236" t="str">
        <x:v>Relationship</x:v>
      </x:c>
      <x:c r="E4" s="236" t="str">
        <x:v>To Object</x:v>
      </x:c>
      <x:c r="F4" s="236" t="str">
        <x:v>To Type</x:v>
      </x:c>
      <x:c r="G4" s="236" t="str">
        <x:v>Date / Period</x:v>
      </x:c>
      <x:c r="H4" s="236" t="str">
        <x:v>Evidence Summary</x:v>
      </x:c>
      <x:c r="I4" s="236" t="str">
        <x:v>Confidence</x:v>
      </x:c>
      <x:c r="J4" s="236" t="str">
        <x:v>Source URL</x:v>
      </x:c>
      <x:c r="K4" s="236" t="str">
        <x:v>Status</x:v>
      </x:c>
    </x:row>
    <x:row r="5" ht="72" customHeight="1">
      <x:c r="A5" s="250" t="str">
        <x:v>BM-REL-0001</x:v>
      </x:c>
      <x:c r="B5" s="250" t="str">
        <x:v>Cheri Elliott</x:v>
      </x:c>
      <x:c r="C5" s="250" t="str">
        <x:v>PERSON</x:v>
      </x:c>
      <x:c r="D5" s="250" t="str">
        <x:v>ACHIEVED</x:v>
      </x:c>
      <x:c r="E5" s="250" t="str">
        <x:v>Three consecutive ABA National No.1 Girl titles</x:v>
      </x:c>
      <x:c r="F5" s="250" t="str">
        <x:v>RESULT</x:v>
      </x:c>
      <x:c r="G5" s="250" t="str">
        <x:v>1983–1985</x:v>
      </x:c>
      <x:c r="H5" s="250" t="str">
        <x:v>BMXMuseum rider thread linked externally; title independently confirmed by USA BMX.</x:v>
      </x:c>
      <x:c r="I5" s="250" t="str">
        <x:v>HIGH</x:v>
      </x:c>
      <x:c r="J5" s="250" t="str">
        <x:v>https://photos.usabmx.com/ABA-BMX/BMXhof/Cheri-Elliott</x:v>
      </x:c>
      <x:c r="K5" s="251" t="str">
        <x:v>Verified</x:v>
      </x:c>
    </x:row>
    <x:row r="6" ht="72" customHeight="1">
      <x:c r="A6" s="335" t="str">
        <x:v>BM-REL-0002</x:v>
      </x:c>
      <x:c r="B6" s="335" t="str">
        <x:v>Kevin McNeal</x:v>
      </x:c>
      <x:c r="C6" s="335" t="str">
        <x:v>PERSON</x:v>
      </x:c>
      <x:c r="D6" s="335" t="str">
        <x:v>RACED_AT / DOMINATED</x:v>
      </x:c>
      <x:c r="E6" s="335" t="str">
        <x:v>Corona Raceway</x:v>
      </x:c>
      <x:c r="F6" s="335" t="str">
        <x:v>TRACK</x:v>
      </x:c>
      <x:c r="G6" s="335" t="str">
        <x:v>Late 1970s–early 1980s</x:v>
      </x:c>
      <x:c r="H6" s="335" t="str">
        <x:v>USA BMX calls him the Corona Kid and describes two years of dominance.</x:v>
      </x:c>
      <x:c r="I6" s="335" t="str">
        <x:v>HIGH</x:v>
      </x:c>
      <x:c r="J6" s="335" t="str">
        <x:v>https://www.usabmx.com/about/hall-of-fame/812</x:v>
      </x:c>
      <x:c r="K6" s="336" t="str">
        <x:v>Verified</x:v>
      </x:c>
    </x:row>
    <x:row r="7" ht="72" customHeight="1">
      <x:c r="A7" s="250" t="str">
        <x:v>BM-REL-0003</x:v>
      </x:c>
      <x:c r="B7" s="250" t="str">
        <x:v>Corona Raceway</x:v>
      </x:c>
      <x:c r="C7" s="250" t="str">
        <x:v>TRACK</x:v>
      </x:c>
      <x:c r="D7" s="250" t="str">
        <x:v>HOSTED</x:v>
      </x:c>
      <x:c r="E7" s="250" t="str">
        <x:v>1979 ABA Fall Nationals</x:v>
      </x:c>
      <x:c r="F7" s="250" t="str">
        <x:v>EVENT</x:v>
      </x:c>
      <x:c r="G7" s="250" t="str">
        <x:v>1979</x:v>
      </x:c>
      <x:c r="H7" s="250" t="str">
        <x:v>USA BMX photo archive identifies the event and venue.</x:v>
      </x:c>
      <x:c r="I7" s="250" t="str">
        <x:v>HIGH</x:v>
      </x:c>
      <x:c r="J7" s="250" t="str">
        <x:v>https://photos.usabmx.com/Robinson-Racing-Photos/1979-ABA-Fall-Nationals-Corona-Raceway</x:v>
      </x:c>
      <x:c r="K7" s="251" t="str">
        <x:v>Verified</x:v>
      </x:c>
    </x:row>
    <x:row r="8" ht="72" customHeight="1">
      <x:c r="A8" s="335" t="str">
        <x:v>BM-REL-0004</x:v>
      </x:c>
      <x:c r="B8" s="335" t="str">
        <x:v>Jeff Bottema</x:v>
      </x:c>
      <x:c r="C8" s="335" t="str">
        <x:v>PERSON</x:v>
      </x:c>
      <x:c r="D8" s="335" t="str">
        <x:v>SUBJECT_OF</x:v>
      </x:c>
      <x:c r="E8" s="335" t="str">
        <x:v>BMXMuseum reference 7363</x:v>
      </x:c>
      <x:c r="F8" s="335" t="str">
        <x:v>REFERENCE</x:v>
      </x:c>
      <x:c r="G8" s="335" t="str">
        <x:v>Unknown</x:v>
      </x:c>
      <x:c r="H8" s="335" t="str">
        <x:v>Public structured data identifies the exact reference and title.</x:v>
      </x:c>
      <x:c r="I8" s="335" t="str">
        <x:v>HIGH</x:v>
      </x:c>
      <x:c r="J8" s="335" t="str">
        <x:v>https://bmxmuseum.com/reference/7363</x:v>
      </x:c>
      <x:c r="K8" s="336" t="str">
        <x:v>Object identity verified</x:v>
      </x:c>
    </x:row>
    <x:row r="9" ht="72" customHeight="1">
      <x:c r="A9" s="250" t="str">
        <x:v>BM-REL-0005</x:v>
      </x:c>
      <x:c r="B9" s="250" t="str">
        <x:v>Torker</x:v>
      </x:c>
      <x:c r="C9" s="250" t="str">
        <x:v>BRAND</x:v>
      </x:c>
      <x:c r="D9" s="250" t="str">
        <x:v>HAS_PRODUCTION_RECORDS_AT</x:v>
      </x:c>
      <x:c r="E9" s="250" t="str">
        <x:v>BMXMuseum</x:v>
      </x:c>
      <x:c r="F9" s="250" t="str">
        <x:v>ARCHIVE</x:v>
      </x:c>
      <x:c r="G9" s="250" t="str">
        <x:v>1976–1984 records</x:v>
      </x:c>
      <x:c r="H9" s="250" t="str">
        <x:v>Official Torker history says records were compiled for BMXMuseum over three years.</x:v>
      </x:c>
      <x:c r="I9" s="250" t="str">
        <x:v>HIGH</x:v>
      </x:c>
      <x:c r="J9" s="250" t="str">
        <x:v>https://torkerracing.com/pages/the-fullerton-era-torker-bmx-history</x:v>
      </x:c>
      <x:c r="K9" s="251" t="str">
        <x:v>Verified relationship</x:v>
      </x:c>
    </x:row>
    <x:row r="10" ht="72" customHeight="1">
      <x:c r="A10" s="335" t="str">
        <x:v>BM-REL-0006</x:v>
      </x:c>
      <x:c r="B10" s="335" t="str">
        <x:v>GT / Dyno</x:v>
      </x:c>
      <x:c r="C10" s="335" t="str">
        <x:v>BRAND</x:v>
      </x:c>
      <x:c r="D10" s="335" t="str">
        <x:v>DOCUMENTED_BY</x:v>
      </x:c>
      <x:c r="E10" s="335" t="str">
        <x:v>1996 BMX &amp; Freestyle Catalog</x:v>
      </x:c>
      <x:c r="F10" s="335" t="str">
        <x:v>ADVERTISEMENT/CATALOG</x:v>
      </x:c>
      <x:c r="G10" s="335" t="str">
        <x:v>1996</x:v>
      </x:c>
      <x:c r="H10" s="335" t="str">
        <x:v>Public indexing exposes a BMXMuseum catalog title; exact reference ID unresolved.</x:v>
      </x:c>
      <x:c r="I10" s="335" t="str">
        <x:v>MEDIUM</x:v>
      </x:c>
      <x:c r="J10" s="335" t="str">
        <x:v>https://www.pinterest.com/pin/bmxmuseumcom-reference-1996-gtdyno-the-bmx-freestyle-catalog--491877590560035755/</x:v>
      </x:c>
      <x:c r="K10" s="336" t="str">
        <x:v>Lead</x:v>
      </x:c>
    </x:row>
    <x:row r="11" ht="72" customHeight="1">
      <x:c r="A11" s="250" t="str">
        <x:v>BM-REL-0007</x:v>
      </x:c>
      <x:c r="B11" s="250" t="str">
        <x:v>Ashtabula</x:v>
      </x:c>
      <x:c r="C11" s="250" t="str">
        <x:v>BRAND</x:v>
      </x:c>
      <x:c r="D11" s="250" t="str">
        <x:v>DOCUMENTED_BY</x:v>
      </x:c>
      <x:c r="E11" s="250" t="str">
        <x:v>BMXMuseum reference 5027 catalog</x:v>
      </x:c>
      <x:c r="F11" s="250" t="str">
        <x:v>ADVERTISEMENT/CATALOG</x:v>
      </x:c>
      <x:c r="G11" s="250" t="str">
        <x:v>circa 1977</x:v>
      </x:c>
      <x:c r="H11" s="250" t="str">
        <x:v>External technical discussions cite the exact catalog reference.</x:v>
      </x:c>
      <x:c r="I11" s="250" t="str">
        <x:v>HIGH</x:v>
      </x:c>
      <x:c r="J11" s="250" t="str">
        <x:v>https://bmxmuseum.com/reference/5027</x:v>
      </x:c>
      <x:c r="K11" s="251" t="str">
        <x:v>Object verified; date pending</x:v>
      </x:c>
    </x:row>
    <x:row r="12" ht="72" customHeight="1">
      <x:c r="A12" s="335" t="str">
        <x:v>BM-REL-0008</x:v>
      </x:c>
      <x:c r="B12" s="335" t="str">
        <x:v>John Palfreyman</x:v>
      </x:c>
      <x:c r="C12" s="335" t="str">
        <x:v>PERSON</x:v>
      </x:c>
      <x:c r="D12" s="335" t="str">
        <x:v>APPEARED_IN</x:v>
      </x:c>
      <x:c r="E12" s="335" t="str">
        <x:v>First Red Line magazine advertisement</x:v>
      </x:c>
      <x:c r="F12" s="335" t="str">
        <x:v>ADVERTISEMENT</x:v>
      </x:c>
      <x:c r="G12" s="335" t="str">
        <x:v>1970s</x:v>
      </x:c>
      <x:c r="H12" s="335" t="str">
        <x:v>USA BMX documents the rider-ad relationship.</x:v>
      </x:c>
      <x:c r="I12" s="335" t="str">
        <x:v>HIGH</x:v>
      </x:c>
      <x:c r="J12" s="335" t="str">
        <x:v>https://www.usabmx.com/news-and-media/6/2012-05-10/National-BMX-Hall-of-Fame-2012-Inductees-Announced?id=580</x:v>
      </x:c>
      <x:c r="K12" s="336" t="str">
        <x:v>Verified relationship</x:v>
      </x:c>
    </x:row>
    <x:row r="13" ht="72" customHeight="1">
      <x:c r="A13" s="250" t="str">
        <x:v>BM-REL-0009</x:v>
      </x:c>
      <x:c r="B13" s="250" t="str">
        <x:v>Redline</x:v>
      </x:c>
      <x:c r="C13" s="250" t="str">
        <x:v>BRAND</x:v>
      </x:c>
      <x:c r="D13" s="250" t="str">
        <x:v>FEATURED</x:v>
      </x:c>
      <x:c r="E13" s="250" t="str">
        <x:v>John Palfreyman</x:v>
      </x:c>
      <x:c r="F13" s="250" t="str">
        <x:v>PERSON</x:v>
      </x:c>
      <x:c r="G13" s="250" t="str">
        <x:v>1970s</x:v>
      </x:c>
      <x:c r="H13" s="250" t="str">
        <x:v>Early rider testing and first magazine advertisement relationship.</x:v>
      </x:c>
      <x:c r="I13" s="250" t="str">
        <x:v>HIGH</x:v>
      </x:c>
      <x:c r="J13" s="250" t="str">
        <x:v>https://www.usabmx.com/news-and-media/6/2012-05-10/National-BMX-Hall-of-Fame-2012-Inductees-Announced?id=580</x:v>
      </x:c>
      <x:c r="K13" s="251" t="str">
        <x:v>Verified relationship</x:v>
      </x:c>
    </x:row>
    <x:row r="14" ht="72" customHeight="1">
      <x:c r="A14" s="335" t="str">
        <x:v>BM-REL-0010</x:v>
      </x:c>
      <x:c r="B14" s="335" t="str">
        <x:v>Gary Sansom</x:v>
      </x:c>
      <x:c r="C14" s="335" t="str">
        <x:v>PERSON</x:v>
      </x:c>
      <x:c r="D14" s="335" t="str">
        <x:v>RACED_IN</x:v>
      </x:c>
      <x:c r="E14" s="335" t="str">
        <x:v>Boise / Aptos / Watsonville / Gilroy</x:v>
      </x:c>
      <x:c r="F14" s="335" t="str">
        <x:v>TRACK-LOCATION</x:v>
      </x:c>
      <x:c r="G14" s="335" t="str">
        <x:v>1978–early 1980s</x:v>
      </x:c>
      <x:c r="H14" s="335" t="str">
        <x:v>First-person interview names locations but not exact track names.</x:v>
      </x:c>
      <x:c r="I14" s="335" t="str">
        <x:v>MEDIUM</x:v>
      </x:c>
      <x:c r="J14" s="335" t="str">
        <x:v>https://www.icebike.org/gary-sansom-bmxmuseum-bike-collection/</x:v>
      </x:c>
      <x:c r="K14" s="336" t="str">
        <x:v>Location leads only</x:v>
      </x:c>
    </x:row>
    <x:row r="15">
      <x:c r="A15" s="250" t="str">
        <x:v>BM-REL-0011</x:v>
      </x:c>
      <x:c r="B15" s="250" t="str">
        <x:v>JMC Racing</x:v>
      </x:c>
      <x:c r="C15" s="250" t="str">
        <x:v>BRAND</x:v>
      </x:c>
      <x:c r="D15" s="250" t="str">
        <x:v>DOCUMENTED_BY</x:v>
      </x:c>
      <x:c r="E15" s="250" t="str">
        <x:v>JMC Racing Fliers and Price List</x:v>
      </x:c>
      <x:c r="F15" s="250" t="str">
        <x:v>FLYER/PRICE-LIST SET</x:v>
      </x:c>
      <x:c r="G15" s="250" t="str">
        <x:v>Undated</x:v>
      </x:c>
      <x:c r="H15" s="250" t="str">
        <x:v>Public indexing identifies a BMXMuseum reference set combining JMC flyers and a price list.</x:v>
      </x:c>
      <x:c r="I15" s="250" t="str">
        <x:v>MEDIUM</x:v>
      </x:c>
      <x:c r="J15" s="250" t="str">
        <x:v>https://www.pinterest.com/pin/jmc-bmx-fliers-and-price-list--442478732119429034/</x:v>
      </x:c>
      <x:c r="K15" s="251" t="str">
        <x:v>Lead — exact reference ID/date pending</x:v>
      </x:c>
    </x:row>
    <x:row r="16">
      <x:c r="A16" s="335" t="str">
        <x:v>BM-REL-0012</x:v>
      </x:c>
      <x:c r="B16" s="335" t="str">
        <x:v>JMC Black Shadow</x:v>
      </x:c>
      <x:c r="C16" s="335" t="str">
        <x:v>PRODUCT</x:v>
      </x:c>
      <x:c r="D16" s="335" t="str">
        <x:v>FEATURED_IN</x:v>
      </x:c>
      <x:c r="E16" s="335" t="str">
        <x:v>JMC Black Shadow promotional item</x:v>
      </x:c>
      <x:c r="F16" s="335" t="str">
        <x:v>FLYER/ADVERTISEMENT</x:v>
      </x:c>
      <x:c r="G16" s="335" t="str">
        <x:v>Undated</x:v>
      </x:c>
      <x:c r="H16" s="335" t="str">
        <x:v>The indexed JMC set exposes a Black Shadow promotional subject; exact item form/page remains unresolved.</x:v>
      </x:c>
      <x:c r="I16" s="335" t="str">
        <x:v>LOW-MEDIUM</x:v>
      </x:c>
      <x:c r="J16" s="335" t="str">
        <x:v>https://www.pinterest.com/pin/jmc-bmx-fliers-and-price-list--442478732119429034/</x:v>
      </x:c>
      <x:c r="K16" s="336" t="str">
        <x:v>Item-level lead</x:v>
      </x:c>
    </x:row>
    <x:row r="17">
      <x:c r="A17" s="250" t="str">
        <x:v>BM-REL-0013</x:v>
      </x:c>
      <x:c r="B17" s="250" t="str">
        <x:v>GT / Dyno</x:v>
      </x:c>
      <x:c r="C17" s="250" t="str">
        <x:v>BRAND</x:v>
      </x:c>
      <x:c r="D17" s="250" t="str">
        <x:v>DOCUMENTED_BY</x:v>
      </x:c>
      <x:c r="E17" s="250" t="str">
        <x:v>1992 Product Catalog price-bearing pages</x:v>
      </x:c>
      <x:c r="F17" s="250" t="str">
        <x:v>CATALOG/PRICE OBSERVATION</x:v>
      </x:c>
      <x:c r="G17" s="250" t="str">
        <x:v>1992</x:v>
      </x:c>
      <x:c r="H17" s="250" t="str">
        <x:v>Public indexes expose an Interceptor at $259 and an unresolved blue bicycle at $319; price basis and currency remain unresolved.</x:v>
      </x:c>
      <x:c r="I17" s="250" t="str">
        <x:v>MEDIUM</x:v>
      </x:c>
      <x:c r="J17" s="250" t="str">
        <x:v>https://in.pinterest.com/pin/1011550766308215575/</x:v>
      </x:c>
      <x:c r="K17" s="251" t="str">
        <x:v>Lead — pages/configurations pending</x:v>
      </x:c>
    </x:row>
    <x:row r="18">
      <x:c r="A18" s="335" t="str">
        <x:v>BM-REL-0014</x:v>
      </x:c>
      <x:c r="B18" s="335" t="str">
        <x:v>JMC Racing</x:v>
      </x:c>
      <x:c r="C18" s="335" t="str">
        <x:v>BRAND</x:v>
      </x:c>
      <x:c r="D18" s="335" t="str">
        <x:v>DOCUMENTED_BY</x:v>
      </x:c>
      <x:c r="E18" s="335" t="str">
        <x:v>July 1979 JMC advertisement</x:v>
      </x:c>
      <x:c r="F18" s="335" t="str">
        <x:v>ADVERTISEMENT</x:v>
      </x:c>
      <x:c r="G18" s="335" t="str">
        <x:v>July 1979</x:v>
      </x:c>
      <x:c r="H18" s="335" t="str">
        <x:v>First-party JMC archive identifies the magazine issue and notes the advertisement ran over multiple months.</x:v>
      </x:c>
      <x:c r="I18" s="335" t="str">
        <x:v>HIGH</x:v>
      </x:c>
      <x:c r="J18" s="335" t="str">
        <x:v>https://jmcbmx.wordpress.com/2010/02/03/july-1979-advertisement/</x:v>
      </x:c>
      <x:c r="K18" s="336" t="str">
        <x:v>Bibliographic identity verified</x:v>
      </x:c>
    </x:row>
    <x:row r="19">
      <x:c r="A19" s="250" t="str">
        <x:v>BM-REL-0015</x:v>
      </x:c>
      <x:c r="B19" s="250" t="str">
        <x:v>JMC Racing</x:v>
      </x:c>
      <x:c r="C19" s="250" t="str">
        <x:v>BRAND</x:v>
      </x:c>
      <x:c r="D19" s="250" t="str">
        <x:v>DOCUMENTED_BY</x:v>
      </x:c>
      <x:c r="E19" s="250" t="str">
        <x:v>April 1981 JMC advertisement</x:v>
      </x:c>
      <x:c r="F19" s="250" t="str">
        <x:v>ADVERTISEMENT</x:v>
      </x:c>
      <x:c r="G19" s="250" t="str">
        <x:v>April 1981</x:v>
      </x:c>
      <x:c r="H19" s="250" t="str">
        <x:v>First-party JMC archive identifies Super BMX and summarizes product claims.</x:v>
      </x:c>
      <x:c r="I19" s="250" t="str">
        <x:v>HIGH</x:v>
      </x:c>
      <x:c r="J19" s="250" t="str">
        <x:v>https://jmcbmx.wordpress.com/2010/02/03/april-1981-advertisement/</x:v>
      </x:c>
      <x:c r="K19" s="251" t="str">
        <x:v>Bibliographic identity verified</x:v>
      </x:c>
    </x:row>
    <x:row r="20">
      <x:c r="A20" s="335" t="str">
        <x:v>BM-REL-0016</x:v>
      </x:c>
      <x:c r="B20" s="335" t="str">
        <x:v>JMC Factory Team</x:v>
      </x:c>
      <x:c r="C20" s="335" t="str">
        <x:v>TEAM</x:v>
      </x:c>
      <x:c r="D20" s="335" t="str">
        <x:v>FEATURED_IN</x:v>
      </x:c>
      <x:c r="E20" s="335" t="str">
        <x:v>1981 JMC Factory Team advertisement</x:v>
      </x:c>
      <x:c r="F20" s="335" t="str">
        <x:v>ADVERTISEMENT</x:v>
      </x:c>
      <x:c r="G20" s="335" t="str">
        <x:v>1981</x:v>
      </x:c>
      <x:c r="H20" s="335" t="str">
        <x:v>First-party JMC archive confirms the advertisement title and year.</x:v>
      </x:c>
      <x:c r="I20" s="335" t="str">
        <x:v>MEDIUM-HIGH</x:v>
      </x:c>
      <x:c r="J20" s="335" t="str">
        <x:v>https://jmcbmx.wordpress.com/2010/02/03/81-jmc-factory-team-advertisement/</x:v>
      </x:c>
      <x:c r="K20" s="336" t="str">
        <x:v>Publication/issue pending</x:v>
      </x:c>
    </x:row>
    <x:row r="21">
      <x:c r="A21" s="250" t="str">
        <x:v>BM-REL-0017</x:v>
      </x:c>
      <x:c r="B21" s="250" t="str">
        <x:v>JMC 3.1 XL</x:v>
      </x:c>
      <x:c r="C21" s="250" t="str">
        <x:v>PRODUCT</x:v>
      </x:c>
      <x:c r="D21" s="250" t="str">
        <x:v>SUBJECT_OF</x:v>
      </x:c>
      <x:c r="E21" s="250" t="str">
        <x:v>ABA-paper naming contest</x:v>
      </x:c>
      <x:c r="F21" s="250" t="str">
        <x:v>PROMOTIONAL ANNOUNCEMENT</x:v>
      </x:c>
      <x:c r="G21" s="250" t="str">
        <x:v>1980</x:v>
      </x:c>
      <x:c r="H21" s="250" t="str">
        <x:v>JMC history says the frame was initially called Special/Mystery and was named through a contest.</x:v>
      </x:c>
      <x:c r="I21" s="250" t="str">
        <x:v>HIGH</x:v>
      </x:c>
      <x:c r="J21" s="250" t="str">
        <x:v>https://jmcbmx.wordpress.com/about/</x:v>
      </x:c>
      <x:c r="K21" s="251" t="str">
        <x:v>Historical claim verified; object pending</x:v>
      </x:c>
    </x:row>
    <x:row r="22">
      <x:c r="A22" s="335" t="str">
        <x:v>BM-REL-0018</x:v>
      </x:c>
      <x:c r="B22" s="335" t="str">
        <x:v>Bicycle Harbor of Arizona</x:v>
      </x:c>
      <x:c r="C22" s="335" t="str">
        <x:v>DEALER</x:v>
      </x:c>
      <x:c r="D22" s="335" t="str">
        <x:v>CO-PROMOTED</x:v>
      </x:c>
      <x:c r="E22" s="335" t="str">
        <x:v>JMC 3.1 XL naming contest</x:v>
      </x:c>
      <x:c r="F22" s="335" t="str">
        <x:v>PROMOTION</x:v>
      </x:c>
      <x:c r="G22" s="335" t="str">
        <x:v>1980</x:v>
      </x:c>
      <x:c r="H22" s="335" t="str">
        <x:v>JMC's first-party history identifies Bicycle Harbor of Arizona as contest partner.</x:v>
      </x:c>
      <x:c r="I22" s="335" t="str">
        <x:v>HIGH</x:v>
      </x:c>
      <x:c r="J22" s="335" t="str">
        <x:v>https://jmcbmx.wordpress.com/about/</x:v>
      </x:c>
      <x:c r="K22" s="336" t="str">
        <x:v>Verified relationship</x:v>
      </x:c>
    </x:row>
    <x:row r="23">
      <x:c r="A23" s="260" t="str">
        <x:v>BM-REL-0019</x:v>
      </x:c>
      <x:c r="B23" s="260" t="str">
        <x:v>Matt Raymer</x:v>
      </x:c>
      <x:c r="C23" s="260" t="str">
        <x:v>PERSON</x:v>
      </x:c>
      <x:c r="D23" s="260" t="str">
        <x:v>NAMED</x:v>
      </x:c>
      <x:c r="E23" s="260" t="str">
        <x:v>JMC 3.1 XL</x:v>
      </x:c>
      <x:c r="F23" s="260" t="str">
        <x:v>PRODUCT</x:v>
      </x:c>
      <x:c r="G23" s="260" t="str">
        <x:v>1980</x:v>
      </x:c>
      <x:c r="H23" s="260" t="str">
        <x:v>JMC's first-party history credits Matt Raymer with the winning name.</x:v>
      </x:c>
      <x:c r="I23" s="260" t="str">
        <x:v>HIGH</x:v>
      </x:c>
      <x:c r="J23" s="260" t="str">
        <x:v>https://jmcbmx.wordpress.com/about/</x:v>
      </x:c>
      <x:c r="K23" s="261" t="str">
        <x:v>Verified relationship</x:v>
      </x:c>
    </x:row>
  </x:sheetData>
  <x:mergeCells>
    <x:mergeCell ref="A1:K1"/>
    <x:mergeCell ref="A2:K2"/>
  </x:mergeCells>
  <x:pageMargins left="0.7" right="0.7" top="0.75" bottom="0.75" header="0.3" footer="0.3"/>
  <x:tableParts count="1">
    <x:tablePart xmlns:r="http://schemas.openxmlformats.org/officeDocument/2006/relationships" r:id="R399cdad462ba4777"/>
  </x:tableParts>
</x:worksheet>
</file>

<file path=xl/worksheets/sheet12.xml><?xml version="1.0" encoding="utf-8"?>
<x:worksheet xmlns:x="http://schemas.openxmlformats.org/spreadsheetml/2006/main">
  <x:sheetFormatPr defaultRowHeight="15"/>
  <x:cols>
    <x:col min="1" max="1" width="34" hidden="0" customWidth="1"/>
    <x:col min="2" max="2" width="18" hidden="0" customWidth="1"/>
    <x:col min="3" max="3" width="92" hidden="0" customWidth="1"/>
  </x:cols>
  <x:sheetData>
    <x:row r="1" ht="28" customHeight="1">
      <x:c r="A1" s="112" t="str">
        <x:v>Harry Leary–Diamond Back Priority Cluster — v0.3</x:v>
      </x:c>
      <x:c r="B1" s="112"/>
      <x:c r="C1" s="112"/>
    </x:row>
    <x:row r="2" ht="28" customHeight="1">
      <x:c r="A2" s="117" t="str">
        <x:v>The first deep cluster connects BMXMuseum objects with period publications, official records and Lititz BMX artifacts. Historical brand styling is preserved as “Diamond Back”; modern normalization may use “Diamondback.”</x:v>
      </x:c>
      <x:c r="B2" s="117"/>
      <x:c r="C2" s="117"/>
    </x:row>
    <x:row r="4">
      <x:c r="A4" s="122" t="str">
        <x:v>Metric</x:v>
      </x:c>
      <x:c r="B4" s="122" t="str">
        <x:v>Count / Status</x:v>
      </x:c>
      <x:c r="C4" s="122" t="str">
        <x:v>Meaning</x:v>
      </x:c>
    </x:row>
    <x:row r="5" ht="68" customHeight="1">
      <x:c r="A5" s="26" t="str">
        <x:v>Exact BMXMuseum bike records</x:v>
      </x:c>
      <x:c r="B5" s="26" t="n">
        <x:v>2</x:v>
      </x:c>
      <x:c r="C5" s="26" t="str">
        <x:v>Exact record IDs publicly exposed through backlinks; BMXMuseum pages themselves were not crawled.</x:v>
      </x:c>
    </x:row>
    <x:row r="6" ht="68" customHeight="1">
      <x:c r="A6" s="26" t="str">
        <x:v>Exact BMXMuseum forum objects</x:v>
      </x:c>
      <x:c r="B6" s="26" t="n">
        <x:v>2</x:v>
      </x:c>
      <x:c r="C6" s="26" t="str">
        <x:v>Thread IDs publicly exposed; one subject confirmed, one retained as unresolved.</x:v>
      </x:c>
    </x:row>
    <x:row r="7" ht="68" customHeight="1">
      <x:c r="A7" s="26" t="str">
        <x:v>BMXMuseum search/gallery endpoints</x:v>
      </x:c>
      <x:c r="B7" s="26" t="n">
        <x:v>2</x:v>
      </x:c>
      <x:c r="C7" s="26" t="str">
        <x:v>Diamond Back brand/search structure documented as discovery infrastructure.</x:v>
      </x:c>
    </x:row>
    <x:row r="8" ht="68" customHeight="1">
      <x:c r="A8" s="26" t="str">
        <x:v>Period-source objects</x:v>
      </x:c>
      <x:c r="B8" s="26" t="n">
        <x:v>5</x:v>
      </x:c>
      <x:c r="C8" s="26" t="str">
        <x:v>Contemporary magazine test, advertisements, profiles or team material located for follow-up.</x:v>
      </x:c>
    </x:row>
    <x:row r="9" ht="68" customHeight="1">
      <x:c r="A9" s="26" t="str">
        <x:v>Verified or qualified claims</x:v>
      </x:c>
      <x:c r="B9" s="26" t="n">
        <x:v>17</x:v>
      </x:c>
      <x:c r="C9" s="26" t="str">
        <x:v>Claims separated by evidence class: period, official, first-person, specialist, or Lititz provenance.</x:v>
      </x:c>
    </x:row>
    <x:row r="10" ht="68" customHeight="1">
      <x:c r="A10" s="26" t="str">
        <x:v>Lititz BMX artifact crosswalks</x:v>
      </x:c>
      <x:c r="B10" s="26" t="n">
        <x:v>9</x:v>
      </x:c>
      <x:c r="C10" s="26" t="str">
        <x:v>Existing Lititz artifacts connected to the Harry Leary–Diamond Back cluster.</x:v>
      </x:c>
    </x:row>
    <x:row r="11" ht="68" customHeight="1">
      <x:c r="A11" s="26" t="str">
        <x:v>Relationship edges</x:v>
      </x:c>
      <x:c r="B11" s="26" t="n">
        <x:v>18</x:v>
      </x:c>
      <x:c r="C11" s="26" t="str">
        <x:v>Evidence-bearing links among rider, brand, model, result, track, source and artifact.</x:v>
      </x:c>
    </x:row>
    <x:row r="12" ht="68" customHeight="1">
      <x:c r="A12" s="26" t="str">
        <x:v>Direct BMXMuseum automated access</x:v>
      </x:c>
      <x:c r="B12" s="124" t="str">
        <x:v>NOT USED</x:v>
      </x:c>
      <x:c r="C12" s="124" t="str">
        <x:v>Robots controls remain respected; no bypass, image copying or description mirroring.</x:v>
      </x:c>
    </x:row>
  </x:sheetData>
  <x:mergeCells>
    <x:mergeCell ref="A1:C1"/>
    <x:mergeCell ref="A2:C2"/>
  </x:mergeCells>
  <x:pageMargins left="0.7" right="0.7" top="0.75" bottom="0.75" header="0.3" footer="0.3"/>
  <x:tableParts count="1">
    <x:tablePart xmlns:r="http://schemas.openxmlformats.org/officeDocument/2006/relationships" r:id="R327da896210a41cb"/>
  </x:tableParts>
</x:worksheet>
</file>

<file path=xl/worksheets/sheet13.xml><?xml version="1.0" encoding="utf-8"?>
<x:worksheet xmlns:x="http://schemas.openxmlformats.org/spreadsheetml/2006/main">
  <x:sheetFormatPr defaultRowHeight="15"/>
  <x:cols>
    <x:col min="1" max="1" width="17" hidden="0" customWidth="1"/>
    <x:col min="2" max="2" width="16" hidden="0" customWidth="1"/>
    <x:col min="3" max="3" width="22" hidden="0" customWidth="1"/>
    <x:col min="4" max="4" width="40" hidden="0" customWidth="1"/>
    <x:col min="5" max="5" width="49" hidden="0" customWidth="1"/>
    <x:col min="6" max="6" width="48" hidden="0" customWidth="1"/>
    <x:col min="7" max="7" width="21" hidden="0" customWidth="1"/>
    <x:col min="8" max="8" width="48" hidden="0" customWidth="1"/>
    <x:col min="9" max="9" width="52" hidden="0" customWidth="1"/>
    <x:col min="10" max="10" width="34" hidden="0" customWidth="1"/>
    <x:col min="11" max="11" width="12" hidden="0" customWidth="1"/>
  </x:cols>
  <x:sheetData>
    <x:row r="1" ht="28" customHeight="1">
      <x:c r="A1" s="112" t="str">
        <x:v>Harry Leary–Diamond Back: BMXMuseum Objects</x:v>
      </x:c>
      <x:c r="B1" s="112"/>
      <x:c r="C1" s="112"/>
      <x:c r="D1" s="112"/>
      <x:c r="E1" s="112"/>
      <x:c r="F1" s="112"/>
      <x:c r="G1" s="112"/>
      <x:c r="H1" s="112"/>
      <x:c r="I1" s="112"/>
      <x:c r="J1" s="112"/>
      <x:c r="K1" s="112"/>
    </x:row>
    <x:row r="2" ht="28" customHeight="1">
      <x:c r="A2" s="117" t="str">
        <x:v>BMXMuseum object identity is recorded separately from verification of the bicycle, claim, or history represented by the object.</x:v>
      </x:c>
      <x:c r="B2" s="117"/>
      <x:c r="C2" s="117"/>
      <x:c r="D2" s="117"/>
      <x:c r="E2" s="117"/>
      <x:c r="F2" s="117"/>
      <x:c r="G2" s="117"/>
      <x:c r="H2" s="117"/>
      <x:c r="I2" s="117"/>
      <x:c r="J2" s="117"/>
      <x:c r="K2" s="117"/>
    </x:row>
    <x:row r="4">
      <x:c r="A4" s="122" t="str">
        <x:v>Object ID</x:v>
      </x:c>
      <x:c r="B4" s="122" t="str">
        <x:v>Object Type</x:v>
      </x:c>
      <x:c r="C4" s="122" t="str">
        <x:v>BMXMuseum ID / Path</x:v>
      </x:c>
      <x:c r="D4" s="122" t="str">
        <x:v>Publicly Exposed Title / Subject</x:v>
      </x:c>
      <x:c r="E4" s="122" t="str">
        <x:v>Canonical BMXMuseum URL</x:v>
      </x:c>
      <x:c r="F4" s="122" t="str">
        <x:v>Discovery Evidence</x:v>
      </x:c>
      <x:c r="G4" s="122" t="str">
        <x:v>Confidence</x:v>
      </x:c>
      <x:c r="H4" s="122" t="str">
        <x:v>What Is Established</x:v>
      </x:c>
      <x:c r="I4" s="122" t="str">
        <x:v>What Is Not Established</x:v>
      </x:c>
      <x:c r="J4" s="122" t="str">
        <x:v>Rights / Access Status</x:v>
      </x:c>
      <x:c r="K4" s="122" t="str">
        <x:v>Accessed</x:v>
      </x:c>
    </x:row>
    <x:row r="5" ht="68" customHeight="1">
      <x:c r="A5" s="26" t="str">
        <x:v>HLDB-BMO-0001</x:v>
      </x:c>
      <x:c r="B5" s="26" t="str">
        <x:v>BIKE</x:v>
      </x:c>
      <x:c r="C5" s="26" t="str">
        <x:v>47631</x:v>
      </x:c>
      <x:c r="D5" s="26" t="str">
        <x:v>1982 Diamond Back Harry Leary Turbo</x:v>
      </x:c>
      <x:c r="E5" s="26" t="str">
        <x:v>https://bmxmuseum.com/bikes/diamondback/47631</x:v>
      </x:c>
      <x:c r="F5" s="26" t="str">
        <x:v>Exact record URL and title exposed through public backlinks/search results.</x:v>
      </x:c>
      <x:c r="G5" s="26" t="str">
        <x:v>HIGH — object identity</x:v>
      </x:c>
      <x:c r="H5" s="26" t="str">
        <x:v>A submitted BMXMuseum bicycle record exists under this year/brand/model identification.</x:v>
      </x:c>
      <x:c r="I5" s="26" t="str">
        <x:v>Originality, serial, component correctness, ownership and provenance of that individual bike.</x:v>
      </x:c>
      <x:c r="J5" s="26" t="str">
        <x:v>INDEX-ONLY; page not crawled; no image/text copied</x:v>
      </x:c>
      <x:c r="K5" s="26" t="str">
        <x:v>2026-07-30</x:v>
      </x:c>
    </x:row>
    <x:row r="6" ht="68" customHeight="1">
      <x:c r="A6" s="26" t="str">
        <x:v>HLDB-BMO-0002</x:v>
      </x:c>
      <x:c r="B6" s="26" t="str">
        <x:v>BIKE</x:v>
      </x:c>
      <x:c r="C6" s="26" t="str">
        <x:v>12424</x:v>
      </x:c>
      <x:c r="D6" s="26" t="str">
        <x:v>Diamond Back HLT / Turbo example — exact submitted title partially exposed</x:v>
      </x:c>
      <x:c r="E6" s="26" t="str">
        <x:v>https://bmxmuseum.com/bikes/diamondback/12424/2</x:v>
      </x:c>
      <x:c r="F6" s="26" t="str">
        <x:v>Exact record URL exposed through a public backlink that also referenced HLT-marked components.</x:v>
      </x:c>
      <x:c r="G6" s="26" t="str">
        <x:v>MEDIUM-HIGH</x:v>
      </x:c>
      <x:c r="H6" s="26" t="str">
        <x:v>The exact BMXMuseum record and Diamond Back relationship are established.</x:v>
      </x:c>
      <x:c r="I6" s="26" t="str">
        <x:v>Submitted year/model title, originality and whether every visible component was factory supplied.</x:v>
      </x:c>
      <x:c r="J6" s="26" t="str">
        <x:v>INDEX-ONLY; page not crawled; no image/text copied</x:v>
      </x:c>
      <x:c r="K6" s="26" t="str">
        <x:v>2026-07-30</x:v>
      </x:c>
    </x:row>
    <x:row r="7" ht="68" customHeight="1">
      <x:c r="A7" s="26" t="str">
        <x:v>HLDB-BMO-0003</x:v>
      </x:c>
      <x:c r="B7" s="26" t="str">
        <x:v>FORUM</x:v>
      </x:c>
      <x:c r="C7" s="26" t="str">
        <x:v>926823</x:v>
      </x:c>
      <x:c r="D7" s="26" t="str">
        <x:v>RIP Harry Leary</x:v>
      </x:c>
      <x:c r="E7" s="26" t="str">
        <x:v>https://bmxmuseum.com/forums/viewtopic.php?id=926823</x:v>
      </x:c>
      <x:c r="F7" s="26" t="str">
        <x:v>Exact forum ID and memorial subject exposed through public links.</x:v>
      </x:c>
      <x:c r="G7" s="26" t="str">
        <x:v>HIGH — object identity</x:v>
      </x:c>
      <x:c r="H7" s="26" t="str">
        <x:v>A BMXMuseum memorial discussion exists for Harry Leary.</x:v>
      </x:c>
      <x:c r="I7" s="26" t="str">
        <x:v>Thread authorship, complete contents and any individual claim inside the thread.</x:v>
      </x:c>
      <x:c r="J7" s="26" t="str">
        <x:v>INDEX-ONLY; do not mirror thread or harvest members</x:v>
      </x:c>
      <x:c r="K7" s="26" t="str">
        <x:v>2026-07-30</x:v>
      </x:c>
    </x:row>
    <x:row r="8" ht="68" customHeight="1">
      <x:c r="A8" s="26" t="str">
        <x:v>HLDB-BMO-0004</x:v>
      </x:c>
      <x:c r="B8" s="26" t="str">
        <x:v>FORUM</x:v>
      </x:c>
      <x:c r="C8" s="26" t="str">
        <x:v>903940</x:v>
      </x:c>
      <x:c r="D8" s="26" t="str">
        <x:v>Linda Leary Taylor–related context; exact subject unresolved</x:v>
      </x:c>
      <x:c r="E8" s="26" t="str">
        <x:v>https://bmxmuseum.com/forums/viewtopic.php?id=903940</x:v>
      </x:c>
      <x:c r="F8" s="26" t="str">
        <x:v>Exact forum link appeared in public Linda Leary Taylor context.</x:v>
      </x:c>
      <x:c r="G8" s="26" t="str">
        <x:v>MEDIUM</x:v>
      </x:c>
      <x:c r="H8" s="26" t="str">
        <x:v>The thread ID exists and has a public relationship to the Leary research ecosystem.</x:v>
      </x:c>
      <x:c r="I8" s="26" t="str">
        <x:v>The precise thread title, scope and reliability of any claims.</x:v>
      </x:c>
      <x:c r="J8" s="26" t="str">
        <x:v>LEAD ONLY; do not infer contents</x:v>
      </x:c>
      <x:c r="K8" s="26" t="str">
        <x:v>2026-07-30</x:v>
      </x:c>
    </x:row>
    <x:row r="9" ht="68" customHeight="1">
      <x:c r="A9" s="26" t="str">
        <x:v>HLDB-BMO-0005</x:v>
      </x:c>
      <x:c r="B9" s="26" t="str">
        <x:v>SEARCH</x:v>
      </x:c>
      <x:c r="C9" s="26" t="str">
        <x:v>company[]=31 + q=turbo</x:v>
      </x:c>
      <x:c r="D9" s="26" t="str">
        <x:v>Diamond Back Turbo search endpoint</x:v>
      </x:c>
      <x:c r="E9" s="26" t="str">
        <x:v>https://bmxmuseum.com/bikes/search?q=turbo&amp;year-start=1967&amp;year-end=2023&amp;company%5B%5D=31</x:v>
      </x:c>
      <x:c r="F9" s="26" t="str">
        <x:v>Publicly shared BMXMuseum search URL exposes company filtering and text query structure.</x:v>
      </x:c>
      <x:c r="G9" s="26" t="str">
        <x:v>HIGH — endpoint identity</x:v>
      </x:c>
      <x:c r="H9" s="26" t="str">
        <x:v>BMXMuseum uses a company identifier associated with the Diamond Back gallery and supports year/text filtering.</x:v>
      </x:c>
      <x:c r="I9" s="26" t="str">
        <x:v>Completeness of results or permission for automated traversal.</x:v>
      </x:c>
      <x:c r="J9" s="26" t="str">
        <x:v>NAVIGATION METADATA ONLY</x:v>
      </x:c>
      <x:c r="K9" s="26" t="str">
        <x:v>2026-07-30</x:v>
      </x:c>
    </x:row>
    <x:row r="10" ht="68" customHeight="1">
      <x:c r="A10" s="26" t="str">
        <x:v>HLDB-BMO-0006</x:v>
      </x:c>
      <x:c r="B10" s="26" t="str">
        <x:v>BRAND GALLERY</x:v>
      </x:c>
      <x:c r="C10" s="26" t="str">
        <x:v>diamondback</x:v>
      </x:c>
      <x:c r="D10" s="26" t="str">
        <x:v>Diamond Back / Diamondback brand gallery</x:v>
      </x:c>
      <x:c r="E10" s="26" t="str">
        <x:v>https://bmxmuseum.com/bikes/diamondback/</x:v>
      </x:c>
      <x:c r="F10" s="26" t="str">
        <x:v>Brand path is widely and publicly linked by external BMX research sites.</x:v>
      </x:c>
      <x:c r="G10" s="26" t="str">
        <x:v>HIGH — path identity</x:v>
      </x:c>
      <x:c r="H10" s="26" t="str">
        <x:v>A normalized BMXMuseum brand gallery exists.</x:v>
      </x:c>
      <x:c r="I10" s="26" t="str">
        <x:v>Corporate history, manufacturing origin or factory specifications for any model.</x:v>
      </x:c>
      <x:c r="J10" s="26" t="str">
        <x:v>INDEX-ONLY</x:v>
      </x:c>
      <x:c r="K10" s="26" t="str">
        <x:v>2026-07-30</x:v>
      </x:c>
    </x:row>
  </x:sheetData>
  <x:mergeCells>
    <x:mergeCell ref="A1:K1"/>
    <x:mergeCell ref="A2:K2"/>
  </x:mergeCells>
  <x:pageMargins left="0.7" right="0.7" top="0.75" bottom="0.75" header="0.3" footer="0.3"/>
  <x:tableParts count="1">
    <x:tablePart xmlns:r="http://schemas.openxmlformats.org/officeDocument/2006/relationships" r:id="R9189698ee2e54082"/>
  </x:tableParts>
</x:worksheet>
</file>

<file path=xl/worksheets/sheet14.xml><?xml version="1.0" encoding="utf-8"?>
<x:worksheet xmlns:x="http://schemas.openxmlformats.org/spreadsheetml/2006/main">
  <x:sheetFormatPr defaultRowHeight="15"/>
  <x:cols>
    <x:col min="1" max="1" width="16" hidden="0" customWidth="1"/>
    <x:col min="2" max="2" width="52" hidden="0" customWidth="1"/>
    <x:col min="3" max="3" width="20" hidden="0" customWidth="1"/>
    <x:col min="4" max="4" width="30" hidden="0" customWidth="1"/>
    <x:col min="5" max="5" width="30" hidden="0" customWidth="1"/>
    <x:col min="6" max="6" width="55" hidden="0" customWidth="1"/>
    <x:col min="7" max="7" width="24" hidden="0" customWidth="1"/>
    <x:col min="8" max="8" width="30" hidden="0" customWidth="1"/>
    <x:col min="9" max="9" width="62" hidden="0" customWidth="1"/>
    <x:col min="10" max="10" width="50" hidden="0" customWidth="1"/>
  </x:cols>
  <x:sheetData>
    <x:row r="1" ht="28" customHeight="1">
      <x:c r="A1" s="112" t="str">
        <x:v>Harry Leary–Diamond Back Claims and Verification Ledger</x:v>
      </x:c>
      <x:c r="B1" s="112"/>
      <x:c r="C1" s="112"/>
      <x:c r="D1" s="112"/>
      <x:c r="E1" s="112"/>
      <x:c r="F1" s="112"/>
      <x:c r="G1" s="112"/>
      <x:c r="H1" s="112"/>
      <x:c r="I1" s="112"/>
      <x:c r="J1" s="112"/>
    </x:row>
    <x:row r="2" ht="28" customHeight="1">
      <x:c r="A2" s="117" t="str">
        <x:v>No claim inherits certainty from a neighboring claim. Period specifications, official results, first-person recollections and Lititz provenance are explicitly separated.</x:v>
      </x:c>
      <x:c r="B2" s="117"/>
      <x:c r="C2" s="117"/>
      <x:c r="D2" s="117"/>
      <x:c r="E2" s="117"/>
      <x:c r="F2" s="117"/>
      <x:c r="G2" s="117"/>
      <x:c r="H2" s="117"/>
      <x:c r="I2" s="117"/>
      <x:c r="J2" s="117"/>
    </x:row>
    <x:row r="4">
      <x:c r="A4" s="122" t="str">
        <x:v>Claim ID</x:v>
      </x:c>
      <x:c r="B4" s="122" t="str">
        <x:v>Claim</x:v>
      </x:c>
      <x:c r="C4" s="122" t="str">
        <x:v>Date / Period</x:v>
      </x:c>
      <x:c r="D4" s="122" t="str">
        <x:v>Subject</x:v>
      </x:c>
      <x:c r="E4" s="122" t="str">
        <x:v>Source Class</x:v>
      </x:c>
      <x:c r="F4" s="122" t="str">
        <x:v>Primary Source / URL</x:v>
      </x:c>
      <x:c r="G4" s="122" t="str">
        <x:v>Evidence Level</x:v>
      </x:c>
      <x:c r="H4" s="122" t="str">
        <x:v>Status</x:v>
      </x:c>
      <x:c r="I4" s="122" t="str">
        <x:v>Qualification / Conflict Note</x:v>
      </x:c>
      <x:c r="J4" s="122" t="str">
        <x:v>Next Verification Action</x:v>
      </x:c>
    </x:row>
    <x:row r="5" ht="68" customHeight="1">
      <x:c r="A5" s="26" t="str">
        <x:v>HLDB-CL-0001</x:v>
      </x:c>
      <x:c r="B5" s="26" t="str">
        <x:v>Harry Leary began organized BMX racing in 1974.</x:v>
      </x:c>
      <x:c r="C5" s="26" t="str">
        <x:v>1974</x:v>
      </x:c>
      <x:c r="D5" s="26" t="str">
        <x:v>Harry Leary</x:v>
      </x:c>
      <x:c r="E5" s="26" t="str">
        <x:v>Official sanctioning-body memorial</x:v>
      </x:c>
      <x:c r="F5" s="26" t="str">
        <x:v>https://www.usabmx.com/news-and-media/6/2024-09-10/The-Sport-of-BMX-loses-a-Legend-%3A%3A-HARRY-LEARY?id=2035</x:v>
      </x:c>
      <x:c r="G5" s="26" t="str">
        <x:v>V4 — Official</x:v>
      </x:c>
      <x:c r="H5" s="26" t="str">
        <x:v>VERIFIED</x:v>
      </x:c>
      <x:c r="I5" s="26" t="str">
        <x:v>A 2000 first-person interview recalls an earlier 1973 race; preserve the difference as possible first race vs sustained organized racing.</x:v>
      </x:c>
      <x:c r="J5" s="26" t="str">
        <x:v>Locate period race registration or early profile clarifying 1973/1974.</x:v>
      </x:c>
    </x:row>
    <x:row r="6" ht="68" customHeight="1">
      <x:c r="A6" s="26" t="str">
        <x:v>HLDB-CL-0002</x:v>
      </x:c>
      <x:c r="B6" s="26" t="str">
        <x:v>Leary represented JMC Racing and Diamond Back during his major racing career.</x:v>
      </x:c>
      <x:c r="C6" s="26" t="str">
        <x:v>1970s–1980s</x:v>
      </x:c>
      <x:c r="D6" s="26" t="str">
        <x:v>Harry Leary</x:v>
      </x:c>
      <x:c r="E6" s="26" t="str">
        <x:v>Official sanctioning-body memorial</x:v>
      </x:c>
      <x:c r="F6" s="26" t="str">
        <x:v>https://www.usabmx.com/news-and-media/6/2024-09-10/The-Sport-of-BMX-loses-a-Legend-%3A%3A-HARRY-LEARY?id=2035</x:v>
      </x:c>
      <x:c r="G6" s="26" t="str">
        <x:v>V4 — Official</x:v>
      </x:c>
      <x:c r="H6" s="26" t="str">
        <x:v>VERIFIED AT SUMMARY LEVEL</x:v>
      </x:c>
      <x:c r="I6" s="26" t="str">
        <x:v>Exact contract start/end dates remain a separate chronology question.</x:v>
      </x:c>
      <x:c r="J6" s="26" t="str">
        <x:v>Verify team dates against period rosters and advertisements.</x:v>
      </x:c>
    </x:row>
    <x:row r="7" ht="68" customHeight="1">
      <x:c r="A7" s="26" t="str">
        <x:v>HLDB-CL-0003</x:v>
      </x:c>
      <x:c r="B7" s="26" t="str">
        <x:v>Harry Leary was inducted into the BMX Hall of Fame in 1986.</x:v>
      </x:c>
      <x:c r="C7" s="26" t="str">
        <x:v>1986</x:v>
      </x:c>
      <x:c r="D7" s="26" t="str">
        <x:v>Harry Leary</x:v>
      </x:c>
      <x:c r="E7" s="26" t="str">
        <x:v>Official sanctioning-body memorial</x:v>
      </x:c>
      <x:c r="F7" s="26" t="str">
        <x:v>https://www.usabmx.com/news-and-media/6/2024-09-10/The-Sport-of-BMX-loses-a-Legend-%3A%3A-HARRY-LEARY?id=2035</x:v>
      </x:c>
      <x:c r="G7" s="26" t="str">
        <x:v>V4 — Official</x:v>
      </x:c>
      <x:c r="H7" s="26" t="str">
        <x:v>VERIFIED</x:v>
      </x:c>
      <x:c r="I7" s="26" t="str">
        <x:v>The memorial calls him a second-year inductee.</x:v>
      </x:c>
      <x:c r="J7" s="26" t="str">
        <x:v>Add the original 1986 induction citation/program if found.</x:v>
      </x:c>
    </x:row>
    <x:row r="8" ht="68" customHeight="1">
      <x:c r="A8" s="26" t="str">
        <x:v>HLDB-CL-0004</x:v>
      </x:c>
      <x:c r="B8" s="26" t="str">
        <x:v>Diamond Back named the Harry Leary Turbo signature bicycle after its sponsored professional rider.</x:v>
      </x:c>
      <x:c r="C8" s="26" t="str">
        <x:v>Early 1980s</x:v>
      </x:c>
      <x:c r="D8" s="26" t="str">
        <x:v>Harry Leary; Diamond Back; Turbo</x:v>
      </x:c>
      <x:c r="E8" s="26" t="str">
        <x:v>Period magazine + contemporary newspaper</x:v>
      </x:c>
      <x:c r="F8" s="26" t="str">
        <x:v>https://oldschoolmags.com/tests/DB_Turbo_BMXA8209.pdf | https://www.latimes.com/archives/la-xpm-1997-06-07-me-865-story.html</x:v>
      </x:c>
      <x:c r="G8" s="26" t="str">
        <x:v>V5 — Multi-source</x:v>
      </x:c>
      <x:c r="H8" s="26" t="str">
        <x:v>VERIFIED</x:v>
      </x:c>
      <x:c r="I8" s="26" t="str">
        <x:v>Period test and later newspaper independently connect the rider and signature model.</x:v>
      </x:c>
      <x:c r="J8" s="26" t="str">
        <x:v>Locate the earliest launch advertisement and catalog entry.</x:v>
      </x:c>
    </x:row>
    <x:row r="9" ht="68" customHeight="1">
      <x:c r="A9" s="26" t="str">
        <x:v>HLDB-CL-0005</x:v>
      </x:c>
      <x:c r="B9" s="26" t="str">
        <x:v>By September 1982, the production Diamond Back Turbo used a 4130 chromoly frame/fork, black-chrome finish, and approximately $495 complete-bike price.</x:v>
      </x:c>
      <x:c r="C9" s="26" t="str">
        <x:v>September 1982</x:v>
      </x:c>
      <x:c r="D9" s="26" t="str">
        <x:v>Diamond Back Turbo</x:v>
      </x:c>
      <x:c r="E9" s="26" t="str">
        <x:v>Contemporary bike test</x:v>
      </x:c>
      <x:c r="F9" s="26" t="str">
        <x:v>https://oldschoolmags.com/tests/DB_Turbo_BMXA8209.pdf#page=3</x:v>
      </x:c>
      <x:c r="G9" s="26" t="str">
        <x:v>V3 — Period source</x:v>
      </x:c>
      <x:c r="H9" s="26" t="str">
        <x:v>VERIFIED FOR TESTED MODEL</x:v>
      </x:c>
      <x:c r="I9" s="26" t="str">
        <x:v>Specifications apply to the tested production configuration, not every year, regional build, restoration or BMXMuseum submission.</x:v>
      </x:c>
      <x:c r="J9" s="26" t="str">
        <x:v>Transcribe a controlled model-year spec record with page-level citation.</x:v>
      </x:c>
    </x:row>
    <x:row r="10" ht="68" customHeight="1">
      <x:c r="A10" s="26" t="str">
        <x:v>HLDB-CL-0006</x:v>
      </x:c>
      <x:c r="B10" s="26" t="str">
        <x:v>The September 1982 test reported a 74° head angle, 73° seat angle, roughly 35 15/16–36 11/16 inch wheelbase, and 23 lb 14 oz complete weight without pads/plate.</x:v>
      </x:c>
      <x:c r="C10" s="26" t="str">
        <x:v>September 1982</x:v>
      </x:c>
      <x:c r="D10" s="26" t="str">
        <x:v>Diamond Back Turbo</x:v>
      </x:c>
      <x:c r="E10" s="26" t="str">
        <x:v>Contemporary bike test</x:v>
      </x:c>
      <x:c r="F10" s="26" t="str">
        <x:v>https://oldschoolmags.com/tests/DB_Turbo_BMXA8209.pdf#page=3</x:v>
      </x:c>
      <x:c r="G10" s="26" t="str">
        <x:v>V3 — Period source</x:v>
      </x:c>
      <x:c r="H10" s="26" t="str">
        <x:v>VERIFIED FOR TESTED SAMPLE</x:v>
      </x:c>
      <x:c r="I10" s="26" t="str">
        <x:v>Magazine measurements should be retained as reported rather than generalized across all HLT generations.</x:v>
      </x:c>
      <x:c r="J10" s="26" t="str">
        <x:v>Compare against catalogs and measured surviving examples.</x:v>
      </x:c>
    </x:row>
    <x:row r="11" ht="68" customHeight="1">
      <x:c r="A11" s="26" t="str">
        <x:v>HLDB-CL-0007</x:v>
      </x:c>
      <x:c r="B11" s="26" t="str">
        <x:v>The 1982 Turbo test identified Sugino-built Diamond Back Turbo three-piece cranks and multiple Diamond Back–branded components.</x:v>
      </x:c>
      <x:c r="C11" s="26" t="str">
        <x:v>September 1982</x:v>
      </x:c>
      <x:c r="D11" s="26" t="str">
        <x:v>Diamond Back Turbo components</x:v>
      </x:c>
      <x:c r="E11" s="26" t="str">
        <x:v>Contemporary bike test</x:v>
      </x:c>
      <x:c r="F11" s="26" t="str">
        <x:v>https://oldschoolmags.com/tests/DB_Turbo_BMXA8209.pdf#page=3</x:v>
      </x:c>
      <x:c r="G11" s="26" t="str">
        <x:v>V3 — Period source</x:v>
      </x:c>
      <x:c r="H11" s="26" t="str">
        <x:v>VERIFIED FOR TESTED SAMPLE</x:v>
      </x:c>
      <x:c r="I11" s="26" t="str">
        <x:v>Branding does not alone establish the OEM for every component; the article specifically attributes cranks to Sugino.</x:v>
      </x:c>
      <x:c r="J11" s="26" t="str">
        <x:v>Create component/OEM subrecords and compare record 12424.</x:v>
      </x:c>
    </x:row>
    <x:row r="12" ht="68" customHeight="1">
      <x:c r="A12" s="26" t="str">
        <x:v>HLDB-CL-0008</x:v>
      </x:c>
      <x:c r="B12" s="26" t="str">
        <x:v>A 24-inch Turbo was described as 'in the works' in the September 1982 test.</x:v>
      </x:c>
      <x:c r="C12" s="26" t="str">
        <x:v>September 1982</x:v>
      </x:c>
      <x:c r="D12" s="26" t="str">
        <x:v>Diamond Back Turbo 24 development</x:v>
      </x:c>
      <x:c r="E12" s="26" t="str">
        <x:v>Contemporary bike test</x:v>
      </x:c>
      <x:c r="F12" s="26" t="str">
        <x:v>https://oldschoolmags.com/tests/DB_Turbo_BMXA8209.pdf#page=3</x:v>
      </x:c>
      <x:c r="G12" s="26" t="str">
        <x:v>V3 — Period source</x:v>
      </x:c>
      <x:c r="H12" s="26" t="str">
        <x:v>VERIFIED AS CONTEMPORARY DEVELOPMENT STATEMENT</x:v>
      </x:c>
      <x:c r="I12" s="26" t="str">
        <x:v>This does not authenticate any surviving prototype or prove production quantity.</x:v>
      </x:c>
      <x:c r="J12" s="26" t="str">
        <x:v>Compare prototype geometry, serials, welds and provenance against later catalogs/ads.</x:v>
      </x:c>
    </x:row>
    <x:row r="13" ht="68" customHeight="1">
      <x:c r="A13" s="26" t="str">
        <x:v>HLDB-CL-0009</x:v>
      </x:c>
      <x:c r="B13" s="26" t="str">
        <x:v>Leary placed second in the 20-inch 1980–1984 class at the 2022 USA BMX Vintage Nationals and his Diamondback Turbo won Best of Show.</x:v>
      </x:c>
      <x:c r="C13" s="26" t="str">
        <x:v>2022-09</x:v>
      </x:c>
      <x:c r="D13" s="26" t="str">
        <x:v>Harry Leary; Diamondback Turbo</x:v>
      </x:c>
      <x:c r="E13" s="26" t="str">
        <x:v>Official USA BMX event report</x:v>
      </x:c>
      <x:c r="F13" s="26" t="str">
        <x:v>https://www.usabmx.com/news-and-media/General/2022-09-30/1st-ever-Vintage-Nationals-Bike-Show?id=1981</x:v>
      </x:c>
      <x:c r="G13" s="26" t="str">
        <x:v>V4 — Official</x:v>
      </x:c>
      <x:c r="H13" s="26" t="str">
        <x:v>VERIFIED</x:v>
      </x:c>
      <x:c r="I13" s="26" t="str">
        <x:v>The report labels Leary and Mike Dominguez as Diamondback legends and lists both results.</x:v>
      </x:c>
      <x:c r="J13" s="26" t="str">
        <x:v>Connect the displayed bike to a specific record only if provenance establishes it.</x:v>
      </x:c>
    </x:row>
    <x:row r="14" ht="68" customHeight="1">
      <x:c r="A14" s="26" t="str">
        <x:v>HLDB-CL-0010</x:v>
      </x:c>
      <x:c r="B14" s="26" t="str">
        <x:v>Leary later operated BMX tracks in Ontario, California, and Kingman, Arizona.</x:v>
      </x:c>
      <x:c r="C14" s="26" t="str">
        <x:v>Later career</x:v>
      </x:c>
      <x:c r="D14" s="26" t="str">
        <x:v>Harry Leary; tracks</x:v>
      </x:c>
      <x:c r="E14" s="26" t="str">
        <x:v>Official sanctioning-body memorial</x:v>
      </x:c>
      <x:c r="F14" s="26" t="str">
        <x:v>https://www.usabmx.com/news-and-media/6/2024-09-10/The-Sport-of-BMX-loses-a-Legend-%3A%3A-HARRY-LEARY?id=2035</x:v>
      </x:c>
      <x:c r="G14" s="26" t="str">
        <x:v>V4 — Official</x:v>
      </x:c>
      <x:c r="H14" s="26" t="str">
        <x:v>VERIFIED AT LOCATION LEVEL</x:v>
      </x:c>
      <x:c r="I14" s="26" t="str">
        <x:v>Specific track names, operator dates and ownership roles are not supplied by the memorial.</x:v>
      </x:c>
      <x:c r="J14" s="26" t="str">
        <x:v>Identify exact track names, active dates and local records.</x:v>
      </x:c>
    </x:row>
    <x:row r="15" ht="68" customHeight="1">
      <x:c r="A15" s="26" t="str">
        <x:v>HLDB-CL-0011</x:v>
      </x:c>
      <x:c r="B15" s="26" t="str">
        <x:v>Leary said he founded Dirtwerx after Balance failed, beginning the company in 1996.</x:v>
      </x:c>
      <x:c r="C15" s="26" t="str">
        <x:v>1996</x:v>
      </x:c>
      <x:c r="D15" s="26" t="str">
        <x:v>Harry Leary; Dirtwerx; Balance</x:v>
      </x:c>
      <x:c r="E15" s="26" t="str">
        <x:v>First-person interview</x:v>
      </x:c>
      <x:c r="F15" s="26" t="str">
        <x:v>https://bmxultra.com/archive/prosection/interview/harryleary.htm</x:v>
      </x:c>
      <x:c r="G15" s="26" t="str">
        <x:v>V4 — First-person primary</x:v>
      </x:c>
      <x:c r="H15" s="26" t="str">
        <x:v>VERIFIED AS FIRST-PERSON ACCOUNT</x:v>
      </x:c>
      <x:c r="I15" s="26" t="str">
        <x:v>Corporate records and advertisements should still confirm formal dates and business name styling.</x:v>
      </x:c>
      <x:c r="J15" s="26" t="str">
        <x:v>Locate first Dirtwerx ad, catalog, registration and team roster.</x:v>
      </x:c>
    </x:row>
    <x:row r="16" ht="68" customHeight="1">
      <x:c r="A16" s="26" t="str">
        <x:v>HLDB-CL-0012</x:v>
      </x:c>
      <x:c r="B16" s="26" t="str">
        <x:v>Dirtwerx produced chromoly frames, forks and handlebars in nine frame sizes and exported to Japan, France, Mexico, Brazil and Singapore.</x:v>
      </x:c>
      <x:c r="C16" s="26" t="str">
        <x:v>circa 2000</x:v>
      </x:c>
      <x:c r="D16" s="26" t="str">
        <x:v>Dirtwerx product/export history</x:v>
      </x:c>
      <x:c r="E16" s="26" t="str">
        <x:v>First-person interview</x:v>
      </x:c>
      <x:c r="F16" s="26" t="str">
        <x:v>https://bmxultra.com/archive/prosection/interview/harryleary.htm</x:v>
      </x:c>
      <x:c r="G16" s="26" t="str">
        <x:v>V4 — First-person primary</x:v>
      </x:c>
      <x:c r="H16" s="26" t="str">
        <x:v>VERIFIED AS FIRST-PERSON ACCOUNT</x:v>
      </x:c>
      <x:c r="I16" s="26" t="str">
        <x:v>Product availability and export duration may have changed; this is a circa-2000 snapshot.</x:v>
      </x:c>
      <x:c r="J16" s="26" t="str">
        <x:v>Build model/size chronology from catalogs and surviving records.</x:v>
      </x:c>
    </x:row>
    <x:row r="17" ht="68" customHeight="1">
      <x:c r="A17" s="26" t="str">
        <x:v>HLDB-CL-0013</x:v>
      </x:c>
      <x:c r="B17" s="26" t="str">
        <x:v>Leary personally claimed two ABA No.1 Pro Master titles, six National No.2 Pro plates, 1984 BMX Worlds bronze, and 1989/1990 MTB dual-slalom medals.</x:v>
      </x:c>
      <x:c r="C17" s="26" t="str">
        <x:v>Career summary given circa 2000</x:v>
      </x:c>
      <x:c r="D17" s="26" t="str">
        <x:v>Harry Leary</x:v>
      </x:c>
      <x:c r="E17" s="26" t="str">
        <x:v>First-person interview</x:v>
      </x:c>
      <x:c r="F17" s="26" t="str">
        <x:v>https://bmxultra.com/archive/prosection/interview/harryleary.htm</x:v>
      </x:c>
      <x:c r="G17" s="26" t="str">
        <x:v>V1 — Submitted/first-person claim</x:v>
      </x:c>
      <x:c r="H17" s="26" t="str">
        <x:v>ATTRIBUTED; NOT FULLY AUDITED</x:v>
      </x:c>
      <x:c r="I17" s="26" t="str">
        <x:v>Preserve the exact attribution; do not silently elevate every result to official verification.</x:v>
      </x:c>
      <x:c r="J17" s="26" t="str">
        <x:v>Audit ABA year-end standings, IBMXF/UCI results and MTB championship records.</x:v>
      </x:c>
    </x:row>
    <x:row r="18" ht="68" customHeight="1">
      <x:c r="A18" s="26" t="str">
        <x:v>HLDB-CL-0014</x:v>
      </x:c>
      <x:c r="B18" s="26" t="str">
        <x:v>Specialist collectors commonly date the main HLT model run to approximately mid-1982 through 1984.</x:v>
      </x:c>
      <x:c r="C18" s="26" t="str">
        <x:v>1982–1984</x:v>
      </x:c>
      <x:c r="D18" s="26" t="str">
        <x:v>Diamond Back HLT</x:v>
      </x:c>
      <x:c r="E18" s="26" t="str">
        <x:v>Specialist secondary source</x:v>
      </x:c>
      <x:c r="F18" s="26" t="str">
        <x:v>https://oldschoolbmx.uk/models/harry-leary-turbo/</x:v>
      </x:c>
      <x:c r="G18" s="26" t="str">
        <x:v>V2 — Specialist corroboration</x:v>
      </x:c>
      <x:c r="H18" s="26" t="str">
        <x:v>PLAUSIBLE; PERIOD CONFIRMATION INCOMPLETE</x:v>
      </x:c>
      <x:c r="I18" s="26" t="str">
        <x:v>Useful chronology lead, but production transitions and regional variants need catalog-level confirmation.</x:v>
      </x:c>
      <x:c r="J18" s="26" t="str">
        <x:v>Build year-by-year catalog and advertisement matrix.</x:v>
      </x:c>
    </x:row>
    <x:row r="19" ht="68" customHeight="1">
      <x:c r="A19" s="26" t="str">
        <x:v>HLDB-CL-0015</x:v>
      </x:c>
      <x:c r="B19" s="26" t="str">
        <x:v>Lititz artifact 26.0049 is recorded as HLT3-stamped Diamondback forks received from Linda Leary.</x:v>
      </x:c>
      <x:c r="C19" s="26" t="str">
        <x:v>Current collection</x:v>
      </x:c>
      <x:c r="D19" s="26" t="str">
        <x:v>Lititz BMX artifact 26.0049</x:v>
      </x:c>
      <x:c r="E19" s="26" t="str">
        <x:v>Lititz BMX inventory / provenance record</x:v>
      </x:c>
      <x:c r="F19" s="26" t="str">
        <x:v>https://sites.google.com/view/lititzbmxinventorylist/home/26-0049</x:v>
      </x:c>
      <x:c r="G19" s="26" t="str">
        <x:v>V4 — Collection record</x:v>
      </x:c>
      <x:c r="H19" s="26" t="str">
        <x:v>PROVENANCE RECORDED; MANUFACTURING CLAIM PENDING</x:v>
      </x:c>
      <x:c r="I19" s="26" t="str">
        <x:v>The HLT3 stamp and source are recorded; Japanese production and generation interpretation require period corroboration.</x:v>
      </x:c>
      <x:c r="J19" s="26" t="str">
        <x:v>Photograph stamp, measurements and weld details; compare catalogs and known originals.</x:v>
      </x:c>
    </x:row>
    <x:row r="20" ht="68" customHeight="1">
      <x:c r="A20" s="26" t="str">
        <x:v>HLDB-CL-0016</x:v>
      </x:c>
      <x:c r="B20" s="26" t="str">
        <x:v>Lititz artifact 26.0053 is recorded as a Racers Against Drugs plaque acquired with a 24-inch Diamondback prototype and used as provenance support.</x:v>
      </x:c>
      <x:c r="C20" s="26" t="str">
        <x:v>Current collection</x:v>
      </x:c>
      <x:c r="D20" s="26" t="str">
        <x:v>Lititz BMX artifacts / prototype provenance</x:v>
      </x:c>
      <x:c r="E20" s="26" t="str">
        <x:v>Lititz BMX inventory / acquisition record</x:v>
      </x:c>
      <x:c r="F20" s="26" t="str">
        <x:v>https://sites.google.com/view/lititzbmxinventorylist/home/26-0053</x:v>
      </x:c>
      <x:c r="G20" s="26" t="str">
        <x:v>V4 — Collection record</x:v>
      </x:c>
      <x:c r="H20" s="26" t="str">
        <x:v>PROVENANCE LEAD; BIKE AUTHENTICATION SEPARATE</x:v>
      </x:c>
      <x:c r="I20" s="26" t="str">
        <x:v>Association is significant but should be combined with serial, construction, photographs, chain of custody and period evidence.</x:v>
      </x:c>
      <x:c r="J20" s="26" t="str">
        <x:v>Create a dedicated 24-inch prototype authentication dossier.</x:v>
      </x:c>
    </x:row>
    <x:row r="21" ht="68" customHeight="1">
      <x:c r="A21" s="26" t="str">
        <x:v>HLDB-CL-0017</x:v>
      </x:c>
      <x:c r="B21" s="26" t="str">
        <x:v>Lititz artifact 26.0052 is recorded as Harry Leary's last HLT4 frame; the run-over account is attributed to Harry and noted as disputed by some community members.</x:v>
      </x:c>
      <x:c r="C21" s="26" t="str">
        <x:v>Late career / current collection</x:v>
      </x:c>
      <x:c r="D21" s="26" t="str">
        <x:v>Lititz BMX artifact 26.0052</x:v>
      </x:c>
      <x:c r="E21" s="26" t="str">
        <x:v>Lititz BMX inventory + oral-history source</x:v>
      </x:c>
      <x:c r="F21" s="26" t="str">
        <x:v>https://sites.google.com/view/lititzbmxinventorylist/home/26-0052</x:v>
      </x:c>
      <x:c r="G21" s="26" t="str">
        <x:v>V1/V4 mixed — provenance plus attributed story</x:v>
      </x:c>
      <x:c r="H21" s="26" t="str">
        <x:v>PRESERVE ATTRIBUTION AND DISPUTE</x:v>
      </x:c>
      <x:c r="I21" s="26" t="str">
        <x:v>Ownership/source and narrative are separate claims. Damage may be physically documented; cause remains an oral-history claim.</x:v>
      </x:c>
      <x:c r="J21" s="26" t="str">
        <x:v>Build chain of custody, condition report, measurements and interview transcript citation.</x:v>
      </x:c>
    </x:row>
  </x:sheetData>
  <x:mergeCells>
    <x:mergeCell ref="A1:J1"/>
    <x:mergeCell ref="A2:J2"/>
  </x:mergeCells>
  <x:conditionalFormatting sqref="H5:H21">
    <x:cfRule type="expression" dxfId="5" priority="1">
      <x:formula>ISNUMBER(SEARCH("VERIFIED",H5))</x:formula>
    </x:cfRule>
    <x:cfRule type="expression" dxfId="6" priority="2">
      <x:formula>OR(ISNUMBER(SEARCH("PENDING",H5)),ISNUMBER(SEARCH("PLAUSIBLE",H5)),ISNUMBER(SEARCH("ATTRIBUTED",H5)))</x:formula>
    </x:cfRule>
  </x:conditionalFormatting>
  <x:pageMargins left="0.7" right="0.7" top="0.75" bottom="0.75" header="0.3" footer="0.3"/>
  <x:tableParts count="1">
    <x:tablePart xmlns:r="http://schemas.openxmlformats.org/officeDocument/2006/relationships" r:id="R8f6e551aaeee468a"/>
  </x:tableParts>
</x:worksheet>
</file>

<file path=xl/worksheets/sheet15.xml><?xml version="1.0" encoding="utf-8"?>
<x:worksheet xmlns:x="http://schemas.openxmlformats.org/spreadsheetml/2006/main">
  <x:sheetFormatPr defaultRowHeight="15"/>
  <x:cols>
    <x:col min="1" max="1" width="16" hidden="0" customWidth="1"/>
    <x:col min="2" max="2" width="24" hidden="0" customWidth="1"/>
    <x:col min="3" max="3" width="42" hidden="0" customWidth="1"/>
    <x:col min="4" max="4" width="18" hidden="0" customWidth="1"/>
    <x:col min="5" max="5" width="22" hidden="0" customWidth="1"/>
    <x:col min="6" max="6" width="34" hidden="0" customWidth="1"/>
    <x:col min="7" max="7" width="58" hidden="0" customWidth="1"/>
    <x:col min="8" max="8" width="24" hidden="0" customWidth="1"/>
    <x:col min="9" max="9" width="38" hidden="0" customWidth="1"/>
    <x:col min="10" max="10" width="54" hidden="0" customWidth="1"/>
    <x:col min="11" max="11" width="40" hidden="0" customWidth="1"/>
  </x:cols>
  <x:sheetData>
    <x:row r="1" ht="28" customHeight="1">
      <x:c r="A1" s="112" t="str">
        <x:v>Harry Leary–Diamond Back Period Sources</x:v>
      </x:c>
      <x:c r="B1" s="112"/>
      <x:c r="C1" s="112"/>
      <x:c r="D1" s="112"/>
      <x:c r="E1" s="112"/>
      <x:c r="F1" s="112"/>
      <x:c r="G1" s="112"/>
      <x:c r="H1" s="112"/>
      <x:c r="I1" s="112"/>
      <x:c r="J1" s="112"/>
      <x:c r="K1" s="112"/>
    </x:row>
    <x:row r="2" ht="28" customHeight="1">
      <x:c r="A2" s="117" t="str">
        <x:v>Period publications are the preferred control for launch dates, model specifications, team rosters and advertisements. Search snippets are retained only as leads until the page image is inspected.</x:v>
      </x:c>
      <x:c r="B2" s="117"/>
      <x:c r="C2" s="117"/>
      <x:c r="D2" s="117"/>
      <x:c r="E2" s="117"/>
      <x:c r="F2" s="117"/>
      <x:c r="G2" s="117"/>
      <x:c r="H2" s="117"/>
      <x:c r="I2" s="117"/>
      <x:c r="J2" s="117"/>
      <x:c r="K2" s="117"/>
    </x:row>
    <x:row r="4">
      <x:c r="A4" s="122" t="str">
        <x:v>Source ID</x:v>
      </x:c>
      <x:c r="B4" s="122" t="str">
        <x:v>Material Type</x:v>
      </x:c>
      <x:c r="C4" s="122" t="str">
        <x:v>Title / Issue</x:v>
      </x:c>
      <x:c r="D4" s="122" t="str">
        <x:v>Date</x:v>
      </x:c>
      <x:c r="E4" s="122" t="str">
        <x:v>Pages / Location</x:v>
      </x:c>
      <x:c r="F4" s="122" t="str">
        <x:v>People / Products</x:v>
      </x:c>
      <x:c r="G4" s="122" t="str">
        <x:v>What It Verifies</x:v>
      </x:c>
      <x:c r="H4" s="122" t="str">
        <x:v>Evidence Quality</x:v>
      </x:c>
      <x:c r="I4" s="122" t="str">
        <x:v>Rights Action</x:v>
      </x:c>
      <x:c r="J4" s="122" t="str">
        <x:v>Source URL</x:v>
      </x:c>
      <x:c r="K4" s="122" t="str">
        <x:v>Review Status</x:v>
      </x:c>
    </x:row>
    <x:row r="5" ht="68" customHeight="1">
      <x:c r="A5" s="26" t="str">
        <x:v>HLDB-SRC-0001</x:v>
      </x:c>
      <x:c r="B5" s="26" t="str">
        <x:v>Magazine bike test</x:v>
      </x:c>
      <x:c r="C5" s="26" t="str">
        <x:v>BMX Action — Diamond Back Turbo</x:v>
      </x:c>
      <x:c r="D5" s="26" t="str">
        <x:v>September 1982</x:v>
      </x:c>
      <x:c r="E5" s="26" t="str">
        <x:v>pp. 52–55</x:v>
      </x:c>
      <x:c r="F5" s="26" t="str">
        <x:v>Harry Leary; Diamond Back Turbo; Sandy Finkleman; Diamond Back team</x:v>
      </x:c>
      <x:c r="G5" s="26" t="str">
        <x:v>Production specification, geometry, price, component list, finish, development context, rider profile and statement that a 24-inch Turbo was in development.</x:v>
      </x:c>
      <x:c r="H5" s="26" t="str">
        <x:v>PRIMARY PERIOD SOURCE</x:v>
      </x:c>
      <x:c r="I5" s="26" t="str">
        <x:v>Index/cite; do not republish full pages without rights basis</x:v>
      </x:c>
      <x:c r="J5" s="26" t="str">
        <x:v>https://oldschoolmags.com/tests/DB_Turbo_BMXA8209.pdf</x:v>
      </x:c>
      <x:c r="K5" s="26" t="str">
        <x:v>VISUALLY INSPECTED — all four PDF pages</x:v>
      </x:c>
    </x:row>
    <x:row r="6" ht="68" customHeight="1">
      <x:c r="A6" s="26" t="str">
        <x:v>HLDB-SRC-0002</x:v>
      </x:c>
      <x:c r="B6" s="26" t="str">
        <x:v>Magazine advertisement</x:v>
      </x:c>
      <x:c r="C6" s="26" t="str">
        <x:v>Diamond Back — 'Discover How Fast You Really Are' / new Harry Leary Turbo</x:v>
      </x:c>
      <x:c r="D6" s="26" t="str">
        <x:v>August 1982 issue lead</x:v>
      </x:c>
      <x:c r="E6" s="26" t="str">
        <x:v>Page pending</x:v>
      </x:c>
      <x:c r="F6" s="26" t="str">
        <x:v>Harry Leary; Diamond Back Turbo</x:v>
      </x:c>
      <x:c r="G6" s="26" t="str">
        <x:v>Launch-era advertising language, imagery and product positioning.</x:v>
      </x:c>
      <x:c r="H6" s="26" t="str">
        <x:v>PRIMARY PERIOD LEAD</x:v>
      </x:c>
      <x:c r="I6" s="26" t="str">
        <x:v>Locate exact page; index only</x:v>
      </x:c>
      <x:c r="J6" s="26" t="str">
        <x:v>https://oldschoolmags.com/mags/BMXA_8208.pdf</x:v>
      </x:c>
      <x:c r="K6" s="26" t="str">
        <x:v>PDF fetch blocked/verification challenge; page not yet inspected</x:v>
      </x:c>
    </x:row>
    <x:row r="7" ht="68" customHeight="1">
      <x:c r="A7" s="26" t="str">
        <x:v>HLDB-SRC-0003</x:v>
      </x:c>
      <x:c r="B7" s="26" t="str">
        <x:v>Magazine team feature / advertisement</x:v>
      </x:c>
      <x:c r="C7" s="26" t="str">
        <x:v>Diamond Back team — Harry Leary listed as Pro</x:v>
      </x:c>
      <x:c r="D7" s="26" t="str">
        <x:v>June 1983 issue lead</x:v>
      </x:c>
      <x:c r="E7" s="26" t="str">
        <x:v>Page pending</x:v>
      </x:c>
      <x:c r="F7" s="26" t="str">
        <x:v>Harry Leary; Diamond Back factory team</x:v>
      </x:c>
      <x:c r="G7" s="26" t="str">
        <x:v>Team roster and 1983 brand relationship.</x:v>
      </x:c>
      <x:c r="H7" s="26" t="str">
        <x:v>PRIMARY PERIOD LEAD</x:v>
      </x:c>
      <x:c r="I7" s="26" t="str">
        <x:v>Locate exact page; index only</x:v>
      </x:c>
      <x:c r="J7" s="26" t="str">
        <x:v>https://oldschoolmags.com/mags/BMXA_8306.pdf</x:v>
      </x:c>
      <x:c r="K7" s="26" t="str">
        <x:v>Large PDF fetch failed; pending page inspection</x:v>
      </x:c>
    </x:row>
    <x:row r="8" ht="68" customHeight="1">
      <x:c r="A8" s="26" t="str">
        <x:v>HLDB-SRC-0004</x:v>
      </x:c>
      <x:c r="B8" s="26" t="str">
        <x:v>Magazine team advertisement</x:v>
      </x:c>
      <x:c r="C8" s="26" t="str">
        <x:v>Diamond Back — BMX Action No.1 Team 1982</x:v>
      </x:c>
      <x:c r="D8" s="26" t="str">
        <x:v>September 1983 issue lead</x:v>
      </x:c>
      <x:c r="E8" s="26" t="str">
        <x:v>Page pending</x:v>
      </x:c>
      <x:c r="F8" s="26" t="str">
        <x:v>Diamond Back team; Harry Leary</x:v>
      </x:c>
      <x:c r="G8" s="26" t="str">
        <x:v>Period team-title marketing claim and roster imagery.</x:v>
      </x:c>
      <x:c r="H8" s="26" t="str">
        <x:v>PRIMARY PERIOD LEAD</x:v>
      </x:c>
      <x:c r="I8" s="26" t="str">
        <x:v>Verify award basis and exact ad page</x:v>
      </x:c>
      <x:c r="J8" s="26" t="str">
        <x:v>https://oldschoolmags.com/mags/BMXA_8309.pdf</x:v>
      </x:c>
      <x:c r="K8" s="26" t="str">
        <x:v>Large PDF not rendered; claim remains unverified</x:v>
      </x:c>
    </x:row>
    <x:row r="9" ht="68" customHeight="1">
      <x:c r="A9" s="26" t="str">
        <x:v>HLDB-SRC-0005</x:v>
      </x:c>
      <x:c r="B9" s="26" t="str">
        <x:v>Newspaper profile</x:v>
      </x:c>
      <x:c r="C9" s="26" t="str">
        <x:v>Old Enough to Win</x:v>
      </x:c>
      <x:c r="D9" s="26" t="str">
        <x:v>1997-06-07</x:v>
      </x:c>
      <x:c r="E9" s="26" t="str">
        <x:v>Los Angeles Times archive</x:v>
      </x:c>
      <x:c r="F9" s="26" t="str">
        <x:v>Harry Leary; Diamondback; Leary Dirtwerx</x:v>
      </x:c>
      <x:c r="G9" s="26" t="str">
        <x:v>Later-career profile, signature-bike naming, training and business context.</x:v>
      </x:c>
      <x:c r="H9" s="26" t="str">
        <x:v>CONTEMPORARY JOURNALISM</x:v>
      </x:c>
      <x:c r="I9" s="26" t="str">
        <x:v>Paraphrase/cite within source limits</x:v>
      </x:c>
      <x:c r="J9" s="26" t="str">
        <x:v>https://www.latimes.com/archives/la-xpm-1997-06-07-me-865-story.html</x:v>
      </x:c>
      <x:c r="K9" s="26" t="str">
        <x:v>REVIEWED</x:v>
      </x:c>
    </x:row>
  </x:sheetData>
  <x:mergeCells>
    <x:mergeCell ref="A1:K1"/>
    <x:mergeCell ref="A2:K2"/>
  </x:mergeCells>
  <x:pageMargins left="0.7" right="0.7" top="0.75" bottom="0.75" header="0.3" footer="0.3"/>
  <x:tableParts count="1">
    <x:tablePart xmlns:r="http://schemas.openxmlformats.org/officeDocument/2006/relationships" r:id="Rcff6f444426d4598"/>
  </x:tableParts>
</x:worksheet>
</file>

<file path=xl/worksheets/sheet16.xml><?xml version="1.0" encoding="utf-8"?>
<x:worksheet xmlns:x="http://schemas.openxmlformats.org/spreadsheetml/2006/main">
  <x:sheetFormatPr defaultRowHeight="15"/>
  <x:cols>
    <x:col min="1" max="1" width="17" hidden="0" customWidth="1"/>
    <x:col min="2" max="2" width="18" hidden="0" customWidth="1"/>
    <x:col min="3" max="3" width="42" hidden="0" customWidth="1"/>
    <x:col min="4" max="4" width="30" hidden="0" customWidth="1"/>
    <x:col min="5" max="5" width="58" hidden="0" customWidth="1"/>
    <x:col min="6" max="6" width="58" hidden="0" customWidth="1"/>
    <x:col min="7" max="7" width="48" hidden="0" customWidth="1"/>
    <x:col min="8" max="8" width="52" hidden="0" customWidth="1"/>
    <x:col min="9" max="9" width="48" hidden="0" customWidth="1"/>
  </x:cols>
  <x:sheetData>
    <x:row r="1" ht="28" customHeight="1">
      <x:c r="A1" s="112" t="str">
        <x:v>Lititz BMX Artifact Crosswalk — Harry Leary–Diamond Back</x:v>
      </x:c>
      <x:c r="B1" s="112"/>
      <x:c r="C1" s="112"/>
      <x:c r="D1" s="112"/>
      <x:c r="E1" s="112"/>
      <x:c r="F1" s="112"/>
      <x:c r="G1" s="112"/>
      <x:c r="H1" s="112"/>
      <x:c r="I1" s="112"/>
    </x:row>
    <x:row r="2" ht="28" customHeight="1">
      <x:c r="A2" s="117" t="str">
        <x:v>A BMXMuseum comparison can support identification but cannot convert a comparable example into the exact Lititz artifact. Every crosswalk states the relationship and the remaining proof needed.</x:v>
      </x:c>
      <x:c r="B2" s="117"/>
      <x:c r="C2" s="117"/>
      <x:c r="D2" s="117"/>
      <x:c r="E2" s="117"/>
      <x:c r="F2" s="117"/>
      <x:c r="G2" s="117"/>
      <x:c r="H2" s="117"/>
      <x:c r="I2" s="117"/>
    </x:row>
    <x:row r="4">
      <x:c r="A4" s="122" t="str">
        <x:v>Crosswalk ID</x:v>
      </x:c>
      <x:c r="B4" s="122" t="str">
        <x:v>Lititz Artifact ID</x:v>
      </x:c>
      <x:c r="C4" s="122" t="str">
        <x:v>Artifact</x:v>
      </x:c>
      <x:c r="D4" s="122" t="str">
        <x:v>Cluster Role</x:v>
      </x:c>
      <x:c r="E4" s="122" t="str">
        <x:v>Recorded Provenance / Significance</x:v>
      </x:c>
      <x:c r="F4" s="122" t="str">
        <x:v>BMXMuseum Research Need</x:v>
      </x:c>
      <x:c r="G4" s="122" t="str">
        <x:v>Current Verification Status</x:v>
      </x:c>
      <x:c r="H4" s="122" t="str">
        <x:v>Public Artifact URL</x:v>
      </x:c>
      <x:c r="I4" s="122" t="str">
        <x:v>Priority Action</x:v>
      </x:c>
    </x:row>
    <x:row r="5" ht="68" customHeight="1">
      <x:c r="A5" s="26" t="str">
        <x:v>HLDB-XW-0001</x:v>
      </x:c>
      <x:c r="B5" s="26" t="str">
        <x:v>26.0010</x:v>
      </x:c>
      <x:c r="C5" s="26" t="str">
        <x:v>ABA 2003 Rule Book</x:v>
      </x:c>
      <x:c r="D5" s="26" t="str">
        <x:v>Rider/media representation</x:v>
      </x:c>
      <x:c r="E5" s="26" t="str">
        <x:v>Inventory records Harry Leary on the cover.</x:v>
      </x:c>
      <x:c r="F5" s="26" t="str">
        <x:v>Search BMXMuseum references/forum discussions for the rulebook, cover image context and issue metadata.</x:v>
      </x:c>
      <x:c r="G5" s="26" t="str">
        <x:v>Lititz object cataloged; cover attribution should be visually checked against the object.</x:v>
      </x:c>
      <x:c r="H5" s="26" t="str">
        <x:v>https://sites.google.com/view/lititzbmxinventorylist/home/26-0010</x:v>
      </x:c>
      <x:c r="I5" s="26" t="str">
        <x:v>Add page-level image audit and publication metadata.</x:v>
      </x:c>
    </x:row>
    <x:row r="6" ht="68" customHeight="1">
      <x:c r="A6" s="26" t="str">
        <x:v>HLDB-XW-0002</x:v>
      </x:c>
      <x:c r="B6" s="26" t="str">
        <x:v>26.0046</x:v>
      </x:c>
      <x:c r="C6" s="26" t="str">
        <x:v>Harry Leary's Toolbox</x:v>
      </x:c>
      <x:c r="D6" s="26" t="str">
        <x:v>Personal equipment / working practice</x:v>
      </x:c>
      <x:c r="E6" s="26" t="str">
        <x:v>Inventory records direct Leary ownership from the Leary Locker.</x:v>
      </x:c>
      <x:c r="F6" s="26" t="str">
        <x:v>Look for BMXMuseum photographs or discussions that show the toolbox or comparable pit setup without copying imagery.</x:v>
      </x:c>
      <x:c r="G6" s="26" t="str">
        <x:v>Collection provenance recorded; exact use dates and contents need object-level documentation.</x:v>
      </x:c>
      <x:c r="H6" s="26" t="str">
        <x:v>https://sites.google.com/view/lititzbmxinventorylist/home/26-0046</x:v>
      </x:c>
      <x:c r="I6" s="26" t="str">
        <x:v>Create contents inventory, condition report and provenance chain.</x:v>
      </x:c>
    </x:row>
    <x:row r="7" ht="68" customHeight="1">
      <x:c r="A7" s="26" t="str">
        <x:v>HLDB-XW-0003</x:v>
      </x:c>
      <x:c r="B7" s="26" t="str">
        <x:v>26.0047</x:v>
      </x:c>
      <x:c r="C7" s="26" t="str">
        <x:v>Harry Leary DIRTWERX PR12 Prototype</x:v>
      </x:c>
      <x:c r="D7" s="26" t="str">
        <x:v>Product development / later company</x:v>
      </x:c>
      <x:c r="E7" s="26" t="str">
        <x:v>Owned by Leary; acquired from Justin Dumas; connected to Dirtwerx development.</x:v>
      </x:c>
      <x:c r="F7" s="26" t="str">
        <x:v>Search individual Dirtwerx records, model galleries, serial discussions, catalogs and first-person forum posts.</x:v>
      </x:c>
      <x:c r="G7" s="26" t="str">
        <x:v>Ownership/provenance recorded; PR12 development chronology and production quantity unresolved.</x:v>
      </x:c>
      <x:c r="H7" s="26" t="str">
        <x:v>https://sites.google.com/view/lititzbmxinventorylist/home/26-0047</x:v>
      </x:c>
      <x:c r="I7" s="26" t="str">
        <x:v>Build dedicated PR12 comparison matrix.</x:v>
      </x:c>
    </x:row>
    <x:row r="8" ht="68" customHeight="1">
      <x:c r="A8" s="26" t="str">
        <x:v>HLDB-XW-0004</x:v>
      </x:c>
      <x:c r="B8" s="26" t="str">
        <x:v>26.0048</x:v>
      </x:c>
      <x:c r="C8" s="26" t="str">
        <x:v>1986 F-1 Challenge Trophy</x:v>
      </x:c>
      <x:c r="D8" s="26" t="str">
        <x:v>Result/event/product context</x:v>
      </x:c>
      <x:c r="E8" s="26" t="str">
        <x:v>Recorded as a 1986 F-1 Challenge title trophy from the Leary Locker.</x:v>
      </x:c>
      <x:c r="F8" s="26" t="str">
        <x:v>Locate BMXMuseum bikes, ads and forum threads concerning Diamond Back/Haro F-1 geared BMX and the exact event.</x:v>
      </x:c>
      <x:c r="G8" s="26" t="str">
        <x:v>Artifact identity recorded; event, class, venue and result details need primary verification.</x:v>
      </x:c>
      <x:c r="H8" s="26" t="str">
        <x:v>https://sites.google.com/view/lititzbmxinventorylist/home/26-0048</x:v>
      </x:c>
      <x:c r="I8" s="26" t="str">
        <x:v>Create event dossier and match trophy inscription to race results.</x:v>
      </x:c>
    </x:row>
    <x:row r="9" ht="68" customHeight="1">
      <x:c r="A9" s="26" t="str">
        <x:v>HLDB-XW-0005</x:v>
      </x:c>
      <x:c r="B9" s="26" t="str">
        <x:v>26.0049</x:v>
      </x:c>
      <x:c r="C9" s="26" t="str">
        <x:v>Diamondback HLT Forks with Baseball</x:v>
      </x:c>
      <x:c r="D9" s="26" t="str">
        <x:v>Signature-model component</x:v>
      </x:c>
      <x:c r="E9" s="26" t="str">
        <x:v>HLT3 stamp; received from Linda Leary.</x:v>
      </x:c>
      <x:c r="F9" s="26" t="str">
        <x:v>Compare BMXMuseum HLT records 47631/12424 and brand-gallery examples for dropout stamps and generational features.</x:v>
      </x:c>
      <x:c r="G9" s="26" t="str">
        <x:v>Stamp/source recorded; OEM, date and generation need period corroboration.</x:v>
      </x:c>
      <x:c r="H9" s="26" t="str">
        <x:v>https://sites.google.com/view/lititzbmxinventorylist/home/26-0049</x:v>
      </x:c>
      <x:c r="I9" s="26" t="str">
        <x:v>Measure, photograph markings and compare to 1982 test/catalogs.</x:v>
      </x:c>
    </x:row>
    <x:row r="10" ht="68" customHeight="1">
      <x:c r="A10" s="26" t="str">
        <x:v>HLDB-XW-0006</x:v>
      </x:c>
      <x:c r="B10" s="26" t="str">
        <x:v>26.0050</x:v>
      </x:c>
      <x:c r="C10" s="26" t="str">
        <x:v>Harry Leary Fall Risk Racing 2023 Numberplate decal</x:v>
      </x:c>
      <x:c r="D10" s="26" t="str">
        <x:v>Late-career rider/team</x:v>
      </x:c>
      <x:c r="E10" s="26" t="str">
        <x:v>From Greg Mathias; records Leary's #5 and Fall Risk Racing connection.</x:v>
      </x:c>
      <x:c r="F10" s="26" t="str">
        <x:v>Search BMXMuseum forum/social references for Fall Risk Racing bikes, riders and events.</x:v>
      </x:c>
      <x:c r="G10" s="26" t="str">
        <x:v>Collection record exists; race/event use and exact plate history require corroboration.</x:v>
      </x:c>
      <x:c r="H10" s="26" t="str">
        <x:v>https://sites.google.com/view/lititzbmxinventorylist/home/26-0050</x:v>
      </x:c>
      <x:c r="I10" s="26" t="str">
        <x:v>Link to 2023 race records and team roster.</x:v>
      </x:c>
    </x:row>
    <x:row r="11" ht="68" customHeight="1">
      <x:c r="A11" s="26" t="str">
        <x:v>HLDB-XW-0007</x:v>
      </x:c>
      <x:c r="B11" s="26" t="str">
        <x:v>26.0051</x:v>
      </x:c>
      <x:c r="C11" s="26" t="str">
        <x:v>Linda and Harry Leary Signed Copy</x:v>
      </x:c>
      <x:c r="D11" s="26" t="str">
        <x:v>Photographic/artifact relationship</x:v>
      </x:c>
      <x:c r="E11" s="26" t="str">
        <x:v>Signed/gifted by Linda; inventory says Lititz holds the Honda jersey and Specialized Hemi frame shown.</x:v>
      </x:c>
      <x:c r="F11" s="26" t="str">
        <x:v>Find BMXMuseum records for the pictured bike/frame/jersey context and related Leary career period.</x:v>
      </x:c>
      <x:c r="G11" s="26" t="str">
        <x:v>Gift/provenance recorded; photograph date, photographer and original publication need identification.</x:v>
      </x:c>
      <x:c r="H11" s="26" t="str">
        <x:v>https://sites.google.com/view/lititzbmxinventorylist/home/26-0051</x:v>
      </x:c>
      <x:c r="I11" s="26" t="str">
        <x:v>Identify original photo, date, event and rights holder.</x:v>
      </x:c>
    </x:row>
    <x:row r="12" ht="68" customHeight="1">
      <x:c r="A12" s="26" t="str">
        <x:v>HLDB-XW-0008</x:v>
      </x:c>
      <x:c r="B12" s="26" t="str">
        <x:v>26.0052</x:v>
      </x:c>
      <x:c r="C12" s="26" t="str">
        <x:v>Daylight Frame — Last HLT4 (damaged)</x:v>
      </x:c>
      <x:c r="D12" s="26" t="str">
        <x:v>Late-career HLT lineage / oral history</x:v>
      </x:c>
      <x:c r="E12" s="26" t="str">
        <x:v>Inventory attributes ownership/riding to Leary and preserves the disputed run-over account.</x:v>
      </x:c>
      <x:c r="F12" s="26" t="str">
        <x:v>Search BMXMuseum HLT4/Daylight records and discussions for model genealogy, geometry and comparable frames.</x:v>
      </x:c>
      <x:c r="G12" s="26" t="str">
        <x:v>Provenance/oral-history claim recorded; 'last' status and damage cause not independently proven.</x:v>
      </x:c>
      <x:c r="H12" s="26" t="str">
        <x:v>https://sites.google.com/view/lititzbmxinventorylist/home/26-0052</x:v>
      </x:c>
      <x:c r="I12" s="26" t="str">
        <x:v>Create authentication and condition dossier; retain dispute note.</x:v>
      </x:c>
    </x:row>
    <x:row r="13" ht="68" customHeight="1">
      <x:c r="A13" s="26" t="str">
        <x:v>HLDB-XW-0009</x:v>
      </x:c>
      <x:c r="B13" s="26" t="str">
        <x:v>26.0053</x:v>
      </x:c>
      <x:c r="C13" s="26" t="str">
        <x:v>Racers Against Drugs 'Harry Leary' Plaque</x:v>
      </x:c>
      <x:c r="D13" s="26" t="str">
        <x:v>Provenance support / advocacy history</x:v>
      </x:c>
      <x:c r="E13" s="26" t="str">
        <x:v>Inventory states plaque came from Leary's first locker and was acquired alongside a 24-inch Diamondback prototype.</x:v>
      </x:c>
      <x:c r="F13" s="26" t="str">
        <x:v>Search BMXMuseum forum/reference records for RAD, the prototype, matching storage-lot provenance and related images.</x:v>
      </x:c>
      <x:c r="G13" s="26" t="str">
        <x:v>Association recorded by Lititz; prototype authentication requires an independent multi-factor dossier.</x:v>
      </x:c>
      <x:c r="H13" s="26" t="str">
        <x:v>https://sites.google.com/view/lititzbmxinventorylist/home/26-0053</x:v>
      </x:c>
      <x:c r="I13" s="26" t="str">
        <x:v>Create prototype chain-of-custody, construction and period-source comparison.</x:v>
      </x:c>
    </x:row>
  </x:sheetData>
  <x:mergeCells>
    <x:mergeCell ref="A1:I1"/>
    <x:mergeCell ref="A2:I2"/>
  </x:mergeCells>
  <x:pageMargins left="0.7" right="0.7" top="0.75" bottom="0.75" header="0.3" footer="0.3"/>
  <x:tableParts count="1">
    <x:tablePart xmlns:r="http://schemas.openxmlformats.org/officeDocument/2006/relationships" r:id="R70e4f5994cc74f96"/>
  </x:tableParts>
</x:worksheet>
</file>

<file path=xl/worksheets/sheet17.xml><?xml version="1.0" encoding="utf-8"?>
<x:worksheet xmlns:x="http://schemas.openxmlformats.org/spreadsheetml/2006/main">
  <x:sheetFormatPr defaultRowHeight="15"/>
  <x:cols>
    <x:col min="1" max="1" width="17" hidden="0" customWidth="1"/>
    <x:col min="2" max="2" width="32" hidden="0" customWidth="1"/>
    <x:col min="3" max="3" width="18" hidden="0" customWidth="1"/>
    <x:col min="4" max="4" width="28" hidden="0" customWidth="1"/>
    <x:col min="5" max="5" width="42" hidden="0" customWidth="1"/>
    <x:col min="6" max="6" width="22" hidden="0" customWidth="1"/>
    <x:col min="7" max="7" width="20" hidden="0" customWidth="1"/>
    <x:col min="8" max="8" width="54" hidden="0" customWidth="1"/>
    <x:col min="9" max="9" width="24" hidden="0" customWidth="1"/>
    <x:col min="10" max="10" width="55" hidden="0" customWidth="1"/>
    <x:col min="11" max="11" width="34" hidden="0" customWidth="1"/>
  </x:cols>
  <x:sheetData>
    <x:row r="1" ht="28" customHeight="1">
      <x:c r="A1" s="112" t="str">
        <x:v>Harry Leary–Diamond Back Relationship Graph</x:v>
      </x:c>
      <x:c r="B1" s="112"/>
      <x:c r="C1" s="112"/>
      <x:c r="D1" s="112"/>
      <x:c r="E1" s="112"/>
      <x:c r="F1" s="112"/>
      <x:c r="G1" s="112"/>
      <x:c r="H1" s="112"/>
      <x:c r="I1" s="112"/>
      <x:c r="J1" s="112"/>
      <x:c r="K1" s="112"/>
    </x:row>
    <x:row r="2" ht="28" customHeight="1">
      <x:c r="A2" s="117" t="str">
        <x:v>Each edge carries its own evidence and confidence. A period development statement, a collection association and an authenticated surviving prototype are three different relationships.</x:v>
      </x:c>
      <x:c r="B2" s="117"/>
      <x:c r="C2" s="117"/>
      <x:c r="D2" s="117"/>
      <x:c r="E2" s="117"/>
      <x:c r="F2" s="117"/>
      <x:c r="G2" s="117"/>
      <x:c r="H2" s="117"/>
      <x:c r="I2" s="117"/>
      <x:c r="J2" s="117"/>
      <x:c r="K2" s="117"/>
    </x:row>
    <x:row r="4">
      <x:c r="A4" s="122" t="str">
        <x:v>Relationship ID</x:v>
      </x:c>
      <x:c r="B4" s="122" t="str">
        <x:v>From</x:v>
      </x:c>
      <x:c r="C4" s="122" t="str">
        <x:v>From Type</x:v>
      </x:c>
      <x:c r="D4" s="122" t="str">
        <x:v>Relationship</x:v>
      </x:c>
      <x:c r="E4" s="122" t="str">
        <x:v>To</x:v>
      </x:c>
      <x:c r="F4" s="122" t="str">
        <x:v>To Type</x:v>
      </x:c>
      <x:c r="G4" s="122" t="str">
        <x:v>Date / Period</x:v>
      </x:c>
      <x:c r="H4" s="122" t="str">
        <x:v>Evidence</x:v>
      </x:c>
      <x:c r="I4" s="122" t="str">
        <x:v>Confidence</x:v>
      </x:c>
      <x:c r="J4" s="122" t="str">
        <x:v>Source URL</x:v>
      </x:c>
      <x:c r="K4" s="122" t="str">
        <x:v>Status</x:v>
      </x:c>
    </x:row>
    <x:row r="5" ht="68" customHeight="1">
      <x:c r="A5" s="26" t="str">
        <x:v>HLDB-REL-0001</x:v>
      </x:c>
      <x:c r="B5" s="26" t="str">
        <x:v>Harry Leary</x:v>
      </x:c>
      <x:c r="C5" s="26" t="str">
        <x:v>PERSON</x:v>
      </x:c>
      <x:c r="D5" s="26" t="str">
        <x:v>RACED_FOR</x:v>
      </x:c>
      <x:c r="E5" s="26" t="str">
        <x:v>Diamond Back</x:v>
      </x:c>
      <x:c r="F5" s="26" t="str">
        <x:v>BRAND</x:v>
      </x:c>
      <x:c r="G5" s="26" t="str">
        <x:v>1980s</x:v>
      </x:c>
      <x:c r="H5" s="26" t="str">
        <x:v>USA BMX memorial and period BMX Action material.</x:v>
      </x:c>
      <x:c r="I5" s="26" t="str">
        <x:v>HIGH</x:v>
      </x:c>
      <x:c r="J5" s="26" t="str">
        <x:v>https://www.usabmx.com/news-and-media/6/2024-09-10/The-Sport-of-BMX-loses-a-Legend-%3A%3A-HARRY-LEARY?id=2035</x:v>
      </x:c>
      <x:c r="K5" s="26" t="str">
        <x:v>Verified at summary level</x:v>
      </x:c>
    </x:row>
    <x:row r="6" ht="68" customHeight="1">
      <x:c r="A6" s="26" t="str">
        <x:v>HLDB-REL-0002</x:v>
      </x:c>
      <x:c r="B6" s="26" t="str">
        <x:v>Diamond Back</x:v>
      </x:c>
      <x:c r="C6" s="26" t="str">
        <x:v>BRAND</x:v>
      </x:c>
      <x:c r="D6" s="26" t="str">
        <x:v>NAMED_MODEL_FOR</x:v>
      </x:c>
      <x:c r="E6" s="26" t="str">
        <x:v>Harry Leary</x:v>
      </x:c>
      <x:c r="F6" s="26" t="str">
        <x:v>PERSON</x:v>
      </x:c>
      <x:c r="G6" s="26" t="str">
        <x:v>Early 1980s</x:v>
      </x:c>
      <x:c r="H6" s="26" t="str">
        <x:v>Period bike test plus Los Angeles Times profile.</x:v>
      </x:c>
      <x:c r="I6" s="26" t="str">
        <x:v>HIGH</x:v>
      </x:c>
      <x:c r="J6" s="26" t="str">
        <x:v>https://oldschoolmags.com/tests/DB_Turbo_BMXA8209.pdf</x:v>
      </x:c>
      <x:c r="K6" s="26" t="str">
        <x:v>Verified</x:v>
      </x:c>
    </x:row>
    <x:row r="7" ht="68" customHeight="1">
      <x:c r="A7" s="26" t="str">
        <x:v>HLDB-REL-0003</x:v>
      </x:c>
      <x:c r="B7" s="26" t="str">
        <x:v>Harry Leary Turbo</x:v>
      </x:c>
      <x:c r="C7" s="26" t="str">
        <x:v>MODEL</x:v>
      </x:c>
      <x:c r="D7" s="26" t="str">
        <x:v>DOCUMENTED_BY</x:v>
      </x:c>
      <x:c r="E7" s="26" t="str">
        <x:v>BMX Action September 1982 test</x:v>
      </x:c>
      <x:c r="F7" s="26" t="str">
        <x:v>PERIOD SOURCE</x:v>
      </x:c>
      <x:c r="G7" s="26" t="str">
        <x:v>1982</x:v>
      </x:c>
      <x:c r="H7" s="26" t="str">
        <x:v>Four-page contemporary test visually inspected.</x:v>
      </x:c>
      <x:c r="I7" s="26" t="str">
        <x:v>HIGH</x:v>
      </x:c>
      <x:c r="J7" s="26" t="str">
        <x:v>https://oldschoolmags.com/tests/DB_Turbo_BMXA8209.pdf</x:v>
      </x:c>
      <x:c r="K7" s="26" t="str">
        <x:v>Verified</x:v>
      </x:c>
    </x:row>
    <x:row r="8" ht="68" customHeight="1">
      <x:c r="A8" s="26" t="str">
        <x:v>HLDB-REL-0004</x:v>
      </x:c>
      <x:c r="B8" s="26" t="str">
        <x:v>Harry Leary Turbo</x:v>
      </x:c>
      <x:c r="C8" s="26" t="str">
        <x:v>MODEL</x:v>
      </x:c>
      <x:c r="D8" s="26" t="str">
        <x:v>REPRESENTED_BY</x:v>
      </x:c>
      <x:c r="E8" s="26" t="str">
        <x:v>BMXMuseum record 47631</x:v>
      </x:c>
      <x:c r="F8" s="26" t="str">
        <x:v>BIKE RECORD</x:v>
      </x:c>
      <x:c r="G8" s="26" t="str">
        <x:v>Submitted as 1982</x:v>
      </x:c>
      <x:c r="H8" s="26" t="str">
        <x:v>Exact public record ID/title exposed.</x:v>
      </x:c>
      <x:c r="I8" s="26" t="str">
        <x:v>HIGH for object; LOW for bike authentication</x:v>
      </x:c>
      <x:c r="J8" s="26" t="str">
        <x:v>https://bmxmuseum.com/bikes/diamondback/47631</x:v>
      </x:c>
      <x:c r="K8" s="26" t="str">
        <x:v>Index-only</x:v>
      </x:c>
    </x:row>
    <x:row r="9" ht="68" customHeight="1">
      <x:c r="A9" s="26" t="str">
        <x:v>HLDB-REL-0005</x:v>
      </x:c>
      <x:c r="B9" s="26" t="str">
        <x:v>Diamond Back HLT</x:v>
      </x:c>
      <x:c r="C9" s="26" t="str">
        <x:v>MODEL</x:v>
      </x:c>
      <x:c r="D9" s="26" t="str">
        <x:v>REPRESENTED_BY</x:v>
      </x:c>
      <x:c r="E9" s="26" t="str">
        <x:v>BMXMuseum record 12424</x:v>
      </x:c>
      <x:c r="F9" s="26" t="str">
        <x:v>BIKE RECORD</x:v>
      </x:c>
      <x:c r="G9" s="26" t="str">
        <x:v>Unknown</x:v>
      </x:c>
      <x:c r="H9" s="26" t="str">
        <x:v>Exact public record URL exposed; title only partially recovered.</x:v>
      </x:c>
      <x:c r="I9" s="26" t="str">
        <x:v>MEDIUM-HIGH</x:v>
      </x:c>
      <x:c r="J9" s="26" t="str">
        <x:v>https://bmxmuseum.com/bikes/diamondback/12424/2</x:v>
      </x:c>
      <x:c r="K9" s="26" t="str">
        <x:v>Index-only</x:v>
      </x:c>
    </x:row>
    <x:row r="10" ht="68" customHeight="1">
      <x:c r="A10" s="26" t="str">
        <x:v>HLDB-REL-0006</x:v>
      </x:c>
      <x:c r="B10" s="26" t="str">
        <x:v>Harry Leary</x:v>
      </x:c>
      <x:c r="C10" s="26" t="str">
        <x:v>PERSON</x:v>
      </x:c>
      <x:c r="D10" s="26" t="str">
        <x:v>SUBJECT_OF</x:v>
      </x:c>
      <x:c r="E10" s="26" t="str">
        <x:v>BMXMuseum forum 926823</x:v>
      </x:c>
      <x:c r="F10" s="26" t="str">
        <x:v>FORUM</x:v>
      </x:c>
      <x:c r="G10" s="26" t="str">
        <x:v>2024</x:v>
      </x:c>
      <x:c r="H10" s="26" t="str">
        <x:v>Publicly exposed memorial thread title.</x:v>
      </x:c>
      <x:c r="I10" s="26" t="str">
        <x:v>HIGH for object</x:v>
      </x:c>
      <x:c r="J10" s="26" t="str">
        <x:v>https://bmxmuseum.com/forums/viewtopic.php?id=926823</x:v>
      </x:c>
      <x:c r="K10" s="26" t="str">
        <x:v>Index-only</x:v>
      </x:c>
    </x:row>
    <x:row r="11" ht="68" customHeight="1">
      <x:c r="A11" s="26" t="str">
        <x:v>HLDB-REL-0007</x:v>
      </x:c>
      <x:c r="B11" s="26" t="str">
        <x:v>Harry Leary</x:v>
      </x:c>
      <x:c r="C11" s="26" t="str">
        <x:v>PERSON</x:v>
      </x:c>
      <x:c r="D11" s="26" t="str">
        <x:v>FOUNDED</x:v>
      </x:c>
      <x:c r="E11" s="26" t="str">
        <x:v>Dirtwerx</x:v>
      </x:c>
      <x:c r="F11" s="26" t="str">
        <x:v>BRAND</x:v>
      </x:c>
      <x:c r="G11" s="26" t="str">
        <x:v>1996</x:v>
      </x:c>
      <x:c r="H11" s="26" t="str">
        <x:v>First-person BMXUltra interview; USA BMX memorial confirms founder relationship.</x:v>
      </x:c>
      <x:c r="I11" s="26" t="str">
        <x:v>HIGH</x:v>
      </x:c>
      <x:c r="J11" s="26" t="str">
        <x:v>https://bmxultra.com/archive/prosection/interview/harryleary.htm</x:v>
      </x:c>
      <x:c r="K11" s="26" t="str">
        <x:v>Verified</x:v>
      </x:c>
    </x:row>
    <x:row r="12" ht="68" customHeight="1">
      <x:c r="A12" s="26" t="str">
        <x:v>HLDB-REL-0008</x:v>
      </x:c>
      <x:c r="B12" s="26" t="str">
        <x:v>Harry Leary</x:v>
      </x:c>
      <x:c r="C12" s="26" t="str">
        <x:v>PERSON</x:v>
      </x:c>
      <x:c r="D12" s="26" t="str">
        <x:v>OPERATED_TRACK_IN</x:v>
      </x:c>
      <x:c r="E12" s="26" t="str">
        <x:v>Ontario, California</x:v>
      </x:c>
      <x:c r="F12" s="26" t="str">
        <x:v>TRACK LOCATION</x:v>
      </x:c>
      <x:c r="G12" s="26" t="str">
        <x:v>Later career</x:v>
      </x:c>
      <x:c r="H12" s="26" t="str">
        <x:v>Official USA BMX memorial.</x:v>
      </x:c>
      <x:c r="I12" s="26" t="str">
        <x:v>HIGH at location level</x:v>
      </x:c>
      <x:c r="J12" s="26" t="str">
        <x:v>https://www.usabmx.com/news-and-media/6/2024-09-10/The-Sport-of-BMX-loses-a-Legend-%3A%3A-HARRY-LEARY?id=2035</x:v>
      </x:c>
      <x:c r="K12" s="26" t="str">
        <x:v>Exact track/date pending</x:v>
      </x:c>
    </x:row>
    <x:row r="13" ht="68" customHeight="1">
      <x:c r="A13" s="26" t="str">
        <x:v>HLDB-REL-0009</x:v>
      </x:c>
      <x:c r="B13" s="26" t="str">
        <x:v>Harry Leary</x:v>
      </x:c>
      <x:c r="C13" s="26" t="str">
        <x:v>PERSON</x:v>
      </x:c>
      <x:c r="D13" s="26" t="str">
        <x:v>OPERATED_TRACK_IN</x:v>
      </x:c>
      <x:c r="E13" s="26" t="str">
        <x:v>Kingman, Arizona</x:v>
      </x:c>
      <x:c r="F13" s="26" t="str">
        <x:v>TRACK LOCATION</x:v>
      </x:c>
      <x:c r="G13" s="26" t="str">
        <x:v>Later career</x:v>
      </x:c>
      <x:c r="H13" s="26" t="str">
        <x:v>Official USA BMX memorial.</x:v>
      </x:c>
      <x:c r="I13" s="26" t="str">
        <x:v>HIGH at location level</x:v>
      </x:c>
      <x:c r="J13" s="26" t="str">
        <x:v>https://www.usabmx.com/news-and-media/6/2024-09-10/The-Sport-of-BMX-loses-a-Legend-%3A%3A-HARRY-LEARY?id=2035</x:v>
      </x:c>
      <x:c r="K13" s="26" t="str">
        <x:v>Exact track/date pending</x:v>
      </x:c>
    </x:row>
    <x:row r="14" ht="68" customHeight="1">
      <x:c r="A14" s="26" t="str">
        <x:v>HLDB-REL-0010</x:v>
      </x:c>
      <x:c r="B14" s="26" t="str">
        <x:v>Harry Leary</x:v>
      </x:c>
      <x:c r="C14" s="26" t="str">
        <x:v>PERSON</x:v>
      </x:c>
      <x:c r="D14" s="26" t="str">
        <x:v>PLACED_SECOND</x:v>
      </x:c>
      <x:c r="E14" s="26" t="str">
        <x:v>2022 Vintage Nationals — 20-inch 1980–1984</x:v>
      </x:c>
      <x:c r="F14" s="26" t="str">
        <x:v>RESULT</x:v>
      </x:c>
      <x:c r="G14" s="26" t="str">
        <x:v>2022</x:v>
      </x:c>
      <x:c r="H14" s="26" t="str">
        <x:v>Official USA BMX event report.</x:v>
      </x:c>
      <x:c r="I14" s="26" t="str">
        <x:v>HIGH</x:v>
      </x:c>
      <x:c r="J14" s="26" t="str">
        <x:v>https://www.usabmx.com/news-and-media/General/2022-09-30/1st-ever-Vintage-Nationals-Bike-Show?id=1981</x:v>
      </x:c>
      <x:c r="K14" s="26" t="str">
        <x:v>Verified</x:v>
      </x:c>
    </x:row>
    <x:row r="15" ht="68" customHeight="1">
      <x:c r="A15" s="26" t="str">
        <x:v>HLDB-REL-0011</x:v>
      </x:c>
      <x:c r="B15" s="26" t="str">
        <x:v>Diamondback Turbo / Harry Leary</x:v>
      </x:c>
      <x:c r="C15" s="26" t="str">
        <x:v>BIKE/PERSON</x:v>
      </x:c>
      <x:c r="D15" s="26" t="str">
        <x:v>WON</x:v>
      </x:c>
      <x:c r="E15" s="26" t="str">
        <x:v>2022 Vintage Bike Show Best of Show</x:v>
      </x:c>
      <x:c r="F15" s="26" t="str">
        <x:v>RESULT</x:v>
      </x:c>
      <x:c r="G15" s="26" t="str">
        <x:v>2022</x:v>
      </x:c>
      <x:c r="H15" s="26" t="str">
        <x:v>Official USA BMX event report.</x:v>
      </x:c>
      <x:c r="I15" s="26" t="str">
        <x:v>HIGH</x:v>
      </x:c>
      <x:c r="J15" s="26" t="str">
        <x:v>https://www.usabmx.com/news-and-media/General/2022-09-30/1st-ever-Vintage-Nationals-Bike-Show?id=1981</x:v>
      </x:c>
      <x:c r="K15" s="26" t="str">
        <x:v>Verified; exact bike identity pending</x:v>
      </x:c>
    </x:row>
    <x:row r="16" ht="68" customHeight="1">
      <x:c r="A16" s="26" t="str">
        <x:v>HLDB-REL-0012</x:v>
      </x:c>
      <x:c r="B16" s="26" t="str">
        <x:v>Lititz artifact 26.0049</x:v>
      </x:c>
      <x:c r="C16" s="26" t="str">
        <x:v>ARTIFACT</x:v>
      </x:c>
      <x:c r="D16" s="26" t="str">
        <x:v>RELATED_TO</x:v>
      </x:c>
      <x:c r="E16" s="26" t="str">
        <x:v>Diamond Back HLT model family</x:v>
      </x:c>
      <x:c r="F16" s="26" t="str">
        <x:v>MODEL</x:v>
      </x:c>
      <x:c r="G16" s="26" t="str">
        <x:v>Early 1980s</x:v>
      </x:c>
      <x:c r="H16" s="26" t="str">
        <x:v>HLT3-stamped forks recorded in Lititz inventory.</x:v>
      </x:c>
      <x:c r="I16" s="26" t="str">
        <x:v>MEDIUM-HIGH</x:v>
      </x:c>
      <x:c r="J16" s="26" t="str">
        <x:v>https://sites.google.com/view/lititzbmxinventorylist/home/26-0049</x:v>
      </x:c>
      <x:c r="K16" s="26" t="str">
        <x:v>OEM/date verification pending</x:v>
      </x:c>
    </x:row>
    <x:row r="17" ht="68" customHeight="1">
      <x:c r="A17" s="26" t="str">
        <x:v>HLDB-REL-0013</x:v>
      </x:c>
      <x:c r="B17" s="26" t="str">
        <x:v>Lititz artifact 26.0053</x:v>
      </x:c>
      <x:c r="C17" s="26" t="str">
        <x:v>ARTIFACT</x:v>
      </x:c>
      <x:c r="D17" s="26" t="str">
        <x:v>ACQUIRED_ALONGSIDE</x:v>
      </x:c>
      <x:c r="E17" s="26" t="str">
        <x:v>24-inch Diamondback prototype</x:v>
      </x:c>
      <x:c r="F17" s="26" t="str">
        <x:v>ARTIFACT</x:v>
      </x:c>
      <x:c r="G17" s="26" t="str">
        <x:v>Acquisition date pending</x:v>
      </x:c>
      <x:c r="H17" s="26" t="str">
        <x:v>Lititz provenance record.</x:v>
      </x:c>
      <x:c r="I17" s="26" t="str">
        <x:v>MEDIUM-HIGH for association</x:v>
      </x:c>
      <x:c r="J17" s="26" t="str">
        <x:v>https://sites.google.com/view/lititzbmxinventorylist/home/26-0053</x:v>
      </x:c>
      <x:c r="K17" s="26" t="str">
        <x:v>Prototype authentication pending</x:v>
      </x:c>
    </x:row>
    <x:row r="18" ht="68" customHeight="1">
      <x:c r="A18" s="26" t="str">
        <x:v>HLDB-REL-0014</x:v>
      </x:c>
      <x:c r="B18" s="26" t="str">
        <x:v>1982 BMX Action Turbo test</x:v>
      </x:c>
      <x:c r="C18" s="26" t="str">
        <x:v>PERIOD SOURCE</x:v>
      </x:c>
      <x:c r="D18" s="26" t="str">
        <x:v>REPORTS_DEVELOPMENT_OF</x:v>
      </x:c>
      <x:c r="E18" s="26" t="str">
        <x:v>24-inch Turbo</x:v>
      </x:c>
      <x:c r="F18" s="26" t="str">
        <x:v>MODEL/PROTOTYPE</x:v>
      </x:c>
      <x:c r="G18" s="26" t="str">
        <x:v>1982</x:v>
      </x:c>
      <x:c r="H18" s="26" t="str">
        <x:v>Contemporary statement that a 24-inch Turbo was in the works.</x:v>
      </x:c>
      <x:c r="I18" s="26" t="str">
        <x:v>HIGH as statement</x:v>
      </x:c>
      <x:c r="J18" s="26" t="str">
        <x:v>https://oldschoolmags.com/tests/DB_Turbo_BMXA8209.pdf#page=4</x:v>
      </x:c>
      <x:c r="K18" s="26" t="str">
        <x:v>Does not authenticate survivor</x:v>
      </x:c>
    </x:row>
    <x:row r="19" ht="68" customHeight="1">
      <x:c r="A19" s="26" t="str">
        <x:v>HLDB-REL-0015</x:v>
      </x:c>
      <x:c r="B19" s="26" t="str">
        <x:v>Lititz artifact 26.0052</x:v>
      </x:c>
      <x:c r="C19" s="26" t="str">
        <x:v>ARTIFACT</x:v>
      </x:c>
      <x:c r="D19" s="26" t="str">
        <x:v>ATTRIBUTED_AS_OWNED_AND_RIDDEN_BY</x:v>
      </x:c>
      <x:c r="E19" s="26" t="str">
        <x:v>Harry Leary</x:v>
      </x:c>
      <x:c r="F19" s="26" t="str">
        <x:v>PERSON</x:v>
      </x:c>
      <x:c r="G19" s="26" t="str">
        <x:v>Late career</x:v>
      </x:c>
      <x:c r="H19" s="26" t="str">
        <x:v>Lititz inventory and Greg Mathias oral-history source.</x:v>
      </x:c>
      <x:c r="I19" s="26" t="str">
        <x:v>MEDIUM-HIGH</x:v>
      </x:c>
      <x:c r="J19" s="26" t="str">
        <x:v>https://sites.google.com/view/lititzbmxinventorylist/home/26-0052</x:v>
      </x:c>
      <x:c r="K19" s="26" t="str">
        <x:v>Chain of custody detail needed</x:v>
      </x:c>
    </x:row>
    <x:row r="20" ht="68" customHeight="1">
      <x:c r="A20" s="26" t="str">
        <x:v>HLDB-REL-0016</x:v>
      </x:c>
      <x:c r="B20" s="26" t="str">
        <x:v>Lititz artifact 26.0047</x:v>
      </x:c>
      <x:c r="C20" s="26" t="str">
        <x:v>ARTIFACT</x:v>
      </x:c>
      <x:c r="D20" s="26" t="str">
        <x:v>DEVELOPED_WITHIN</x:v>
      </x:c>
      <x:c r="E20" s="26" t="str">
        <x:v>Dirtwerx</x:v>
      </x:c>
      <x:c r="F20" s="26" t="str">
        <x:v>BRAND</x:v>
      </x:c>
      <x:c r="G20" s="26" t="str">
        <x:v>Post-1996</x:v>
      </x:c>
      <x:c r="H20" s="26" t="str">
        <x:v>PR12 prototype provenance plus first-person company history.</x:v>
      </x:c>
      <x:c r="I20" s="26" t="str">
        <x:v>MEDIUM-HIGH</x:v>
      </x:c>
      <x:c r="J20" s="26" t="str">
        <x:v>https://sites.google.com/view/lititzbmxinventorylist/home/26-0047</x:v>
      </x:c>
      <x:c r="K20" s="26" t="str">
        <x:v>Model chronology pending</x:v>
      </x:c>
    </x:row>
    <x:row r="21" ht="68" customHeight="1">
      <x:c r="A21" s="26" t="str">
        <x:v>HLDB-REL-0017</x:v>
      </x:c>
      <x:c r="B21" s="26" t="str">
        <x:v>Lititz artifact 26.0051</x:v>
      </x:c>
      <x:c r="C21" s="26" t="str">
        <x:v>PHOTOGRAPH</x:v>
      </x:c>
      <x:c r="D21" s="26" t="str">
        <x:v>DEPICTS_RELATED_ARTIFACTS</x:v>
      </x:c>
      <x:c r="E21" s="26" t="str">
        <x:v>Honda jersey and Specialized Hemi frame</x:v>
      </x:c>
      <x:c r="F21" s="26" t="str">
        <x:v>ARTIFACTS</x:v>
      </x:c>
      <x:c r="G21" s="26" t="str">
        <x:v>Date pending</x:v>
      </x:c>
      <x:c r="H21" s="26" t="str">
        <x:v>Lititz inventory.</x:v>
      </x:c>
      <x:c r="I21" s="26" t="str">
        <x:v>MEDIUM-HIGH</x:v>
      </x:c>
      <x:c r="J21" s="26" t="str">
        <x:v>https://sites.google.com/view/lititzbmxinventorylist/home/26-0051</x:v>
      </x:c>
      <x:c r="K21" s="26" t="str">
        <x:v>Original photo/date/rights pending</x:v>
      </x:c>
    </x:row>
    <x:row r="22" ht="68" customHeight="1">
      <x:c r="A22" s="26" t="str">
        <x:v>HLDB-REL-0018</x:v>
      </x:c>
      <x:c r="B22" s="26" t="str">
        <x:v>Harry Leary</x:v>
      </x:c>
      <x:c r="C22" s="26" t="str">
        <x:v>PERSON</x:v>
      </x:c>
      <x:c r="D22" s="26" t="str">
        <x:v>INDUCTED_INTO</x:v>
      </x:c>
      <x:c r="E22" s="26" t="str">
        <x:v>BMX Hall of Fame</x:v>
      </x:c>
      <x:c r="F22" s="26" t="str">
        <x:v>INSTITUTION/RESULT</x:v>
      </x:c>
      <x:c r="G22" s="26" t="str">
        <x:v>1986</x:v>
      </x:c>
      <x:c r="H22" s="26" t="str">
        <x:v>Official USA BMX memorial.</x:v>
      </x:c>
      <x:c r="I22" s="26" t="str">
        <x:v>HIGH</x:v>
      </x:c>
      <x:c r="J22" s="26" t="str">
        <x:v>https://www.usabmx.com/news-and-media/6/2024-09-10/The-Sport-of-BMX-loses-a-Legend-%3A%3A-HARRY-LEARY?id=2035</x:v>
      </x:c>
      <x:c r="K22" s="26" t="str">
        <x:v>Verified</x:v>
      </x:c>
    </x:row>
  </x:sheetData>
  <x:mergeCells>
    <x:mergeCell ref="A1:K1"/>
    <x:mergeCell ref="A2:K2"/>
  </x:mergeCells>
  <x:pageMargins left="0.7" right="0.7" top="0.75" bottom="0.75" header="0.3" footer="0.3"/>
  <x:tableParts count="1">
    <x:tablePart xmlns:r="http://schemas.openxmlformats.org/officeDocument/2006/relationships" r:id="Rda291a0a157445ca"/>
  </x:tableParts>
</x:worksheet>
</file>

<file path=xl/worksheets/sheet18.xml><?xml version="1.0" encoding="utf-8"?>
<x:worksheet xmlns:x="http://schemas.openxmlformats.org/spreadsheetml/2006/main">
  <x:sheetFormatPr defaultRowHeight="15"/>
  <x:cols>
    <x:col min="1" max="1" width="12" hidden="0" customWidth="1"/>
    <x:col min="2" max="2" width="50" hidden="0" customWidth="1"/>
    <x:col min="3" max="3" width="48" hidden="0" customWidth="1"/>
    <x:col min="4" max="4" width="62" hidden="0" customWidth="1"/>
    <x:col min="5" max="5" width="56" hidden="0" customWidth="1"/>
    <x:col min="6" max="6" width="52" hidden="0" customWidth="1"/>
  </x:cols>
  <x:sheetData>
    <x:row r="1" ht="28" customHeight="1">
      <x:c r="A1" s="112" t="str">
        <x:v>Harry Leary–Diamond Back Research Queue</x:v>
      </x:c>
      <x:c r="B1" s="112"/>
      <x:c r="C1" s="112"/>
      <x:c r="D1" s="112"/>
      <x:c r="E1" s="112"/>
      <x:c r="F1" s="112"/>
    </x:row>
    <x:row r="2" ht="28" customHeight="1">
      <x:c r="A2" s="117" t="str">
        <x:v>Priority is based on preservation value and the likelihood that new evidence will materially strengthen an existing Lititz BMX artifact or historical claim.</x:v>
      </x:c>
      <x:c r="B2" s="117"/>
      <x:c r="C2" s="117"/>
      <x:c r="D2" s="117"/>
      <x:c r="E2" s="117"/>
      <x:c r="F2" s="117"/>
    </x:row>
    <x:row r="4">
      <x:c r="A4" s="122" t="str">
        <x:v>Priority</x:v>
      </x:c>
      <x:c r="B4" s="122" t="str">
        <x:v>Question / Task</x:v>
      </x:c>
      <x:c r="C4" s="122" t="str">
        <x:v>Why It Matters</x:v>
      </x:c>
      <x:c r="D4" s="122" t="str">
        <x:v>Required Evidence</x:v>
      </x:c>
      <x:c r="E4" s="122" t="str">
        <x:v>Current Lead</x:v>
      </x:c>
      <x:c r="F4" s="122" t="str">
        <x:v>Completion Test</x:v>
      </x:c>
    </x:row>
    <x:row r="5" ht="68" customHeight="1">
      <x:c r="A5" s="26" t="n">
        <x:v>1</x:v>
      </x:c>
      <x:c r="B5" s="26" t="str">
        <x:v>Authenticate the Lititz 24-inch Diamondback prototype as a specific development or production-stage object.</x:v>
      </x:c>
      <x:c r="C5" s="26" t="str">
        <x:v>This may be one of the cluster's most important physical artifacts.</x:v>
      </x:c>
      <x:c r="D5" s="26" t="str">
        <x:v>Serial/markings; full measurements; weld/dropout comparison; chain of custody; period photographs; catalogs/ads; expert testimony.</x:v>
      </x:c>
      <x:c r="E5" s="26" t="str">
        <x:v>1982 BMX Action says a 24-inch Turbo was in development; artifact 26.0053 records associated provenance.</x:v>
      </x:c>
      <x:c r="F5" s="26" t="str">
        <x:v>A written dossier separates confirmed construction facts, provenance, comparisons, conflicts and final confidence.</x:v>
      </x:c>
    </x:row>
    <x:row r="6" ht="68" customHeight="1">
      <x:c r="A6" s="26" t="n">
        <x:v>2</x:v>
      </x:c>
      <x:c r="B6" s="26" t="str">
        <x:v>Determine the exact generations and date meaning of HLT, HLT2, HLT3 and HLT4 terminology.</x:v>
      </x:c>
      <x:c r="C6" s="26" t="str">
        <x:v>Needed to identify artifact 26.0049 and interpret the later Daylight/Harry lineage correctly.</x:v>
      </x:c>
      <x:c r="D6" s="26" t="str">
        <x:v>Period catalogs, advertisements, dropout-stamp photos, serial ranges, first-person design history and multiple known originals.</x:v>
      </x:c>
      <x:c r="E6" s="26" t="str">
        <x:v>HLT3 stamp in Lititz inventory; BMXMuseum records 47631 and 12424.</x:v>
      </x:c>
      <x:c r="F6" s="26" t="str">
        <x:v>A year-by-year generation table with no unsupported transitions.</x:v>
      </x:c>
    </x:row>
    <x:row r="7" ht="68" customHeight="1">
      <x:c r="A7" s="26" t="n">
        <x:v>3</x:v>
      </x:c>
      <x:c r="B7" s="26" t="str">
        <x:v>Recover every publicly exposed Harry Leary / Diamond Back BMXMuseum bike, reference and forum ID.</x:v>
      </x:c>
      <x:c r="C7" s="26" t="str">
        <x:v>Builds the complete discovery layer without bypassing site controls.</x:v>
      </x:c>
      <x:c r="D7" s="26" t="str">
        <x:v>Search-engine indexes, official social posts, public backlinks, citations and voluntary permission/export.</x:v>
      </x:c>
      <x:c r="E7" s="26" t="str">
        <x:v>Two exact bike IDs and two forum IDs recovered.</x:v>
      </x:c>
      <x:c r="F7" s="26" t="str">
        <x:v>Every object has canonical URL, discovery source, subject, confidence and rights status.</x:v>
      </x:c>
    </x:row>
    <x:row r="8" ht="68" customHeight="1">
      <x:c r="A8" s="26" t="n">
        <x:v>4</x:v>
      </x:c>
      <x:c r="B8" s="26" t="str">
        <x:v>Identify exact Ontario and Kingman track names, operator dates and events.</x:v>
      </x:c>
      <x:c r="C8" s="26" t="str">
        <x:v>Connects Leary's later career to track preservation and community history.</x:v>
      </x:c>
      <x:c r="D8" s="26" t="str">
        <x:v>USA BMX track directories, archived local pages, race flyers, newspapers and interviews.</x:v>
      </x:c>
      <x:c r="E8" s="26" t="str">
        <x:v>USA BMX memorial confirms the two locations.</x:v>
      </x:c>
      <x:c r="F8" s="26" t="str">
        <x:v>Track records include name, address/general location, active dates, sanction and Leary's role.</x:v>
      </x:c>
    </x:row>
    <x:row r="9" ht="68" customHeight="1">
      <x:c r="A9" s="26" t="n">
        <x:v>5</x:v>
      </x:c>
      <x:c r="B9" s="26" t="str">
        <x:v>Audit all titles and medal claims from Leary's 2000 first-person interview.</x:v>
      </x:c>
      <x:c r="C9" s="26" t="str">
        <x:v>Prevents repetition of inaccurate career summaries while preserving his own account.</x:v>
      </x:c>
      <x:c r="D9" s="26" t="str">
        <x:v>ABA/NBL year-end points, IBMXF/UCI results, NORBA/UCI MTB records and period magazines.</x:v>
      </x:c>
      <x:c r="E9" s="26" t="str">
        <x:v>Interview gives a concise claims list.</x:v>
      </x:c>
      <x:c r="F9" s="26" t="str">
        <x:v>Each result has event, year, class, placing, authority and verification level.</x:v>
      </x:c>
    </x:row>
    <x:row r="10" ht="68" customHeight="1">
      <x:c r="A10" s="26" t="n">
        <x:v>6</x:v>
      </x:c>
      <x:c r="B10" s="26" t="str">
        <x:v>Locate and inspect the August 1982 launch ad and 1983 Diamond Back team ads.</x:v>
      </x:c>
      <x:c r="C10" s="26" t="str">
        <x:v>Provides precise launch language, team roster, styling and model chronology.</x:v>
      </x:c>
      <x:c r="D10" s="26" t="str">
        <x:v>Page-rendered period issues or lawful scans.</x:v>
      </x:c>
      <x:c r="E10" s="26" t="str">
        <x:v>Search indexing exposed issue leads, but large PDFs were not fully rendered.</x:v>
      </x:c>
      <x:c r="F10" s="26" t="str">
        <x:v>Exact publication, issue, page, image description and supported claims recorded.</x:v>
      </x:c>
    </x:row>
    <x:row r="11" ht="68" customHeight="1">
      <x:c r="A11" s="26" t="n">
        <x:v>7</x:v>
      </x:c>
      <x:c r="B11" s="26" t="str">
        <x:v>Identify original publication/date/photographer for Lititz artifact 26.0051.</x:v>
      </x:c>
      <x:c r="C11" s="26" t="str">
        <x:v>Connects the signed copy to the exact Honda jersey and Specialized Hemi frame.</x:v>
      </x:c>
      <x:c r="D11" s="26" t="str">
        <x:v>Reverse citation search, magazine indexes, Linda Leary provenance and photographer records.</x:v>
      </x:c>
      <x:c r="E11" s="26" t="str">
        <x:v>Lititz inventory states the related artifacts are held.</x:v>
      </x:c>
      <x:c r="F11" s="26" t="str">
        <x:v>Bibliographic and rights record names the original source and relationship.</x:v>
      </x:c>
    </x:row>
    <x:row r="12" ht="68" customHeight="1">
      <x:c r="A12" s="26" t="n">
        <x:v>8</x:v>
      </x:c>
      <x:c r="B12" s="26" t="str">
        <x:v>Build Dirtwerx production/model chronology including PR12.</x:v>
      </x:c>
      <x:c r="C12" s="26" t="str">
        <x:v>Connects Leary's business history, international exports and Lititz prototype.</x:v>
      </x:c>
      <x:c r="D12" s="26" t="str">
        <x:v>Catalogs, advertisements, serials, BMXMuseum records, interviews and surviving examples.</x:v>
      </x:c>
      <x:c r="E12" s="26" t="str">
        <x:v>First-person 2000 interview lists products and export countries.</x:v>
      </x:c>
      <x:c r="F12" s="26" t="str">
        <x:v>Models, sizes, years, materials, riders and source evidence are mapped.</x:v>
      </x:c>
    </x:row>
  </x:sheetData>
  <x:mergeCells>
    <x:mergeCell ref="A1:F1"/>
    <x:mergeCell ref="A2:F2"/>
  </x:mergeCells>
  <x:pageMargins left="0.7" right="0.7" top="0.75" bottom="0.75" header="0.3" footer="0.3"/>
  <x:tableParts count="1">
    <x:tablePart xmlns:r="http://schemas.openxmlformats.org/officeDocument/2006/relationships" r:id="Ra9cae24e8f0b42cc"/>
  </x:tableParts>
</x:worksheet>
</file>

<file path=xl/worksheets/sheet19.xml><?xml version="1.0" encoding="utf-8"?>
<x:worksheet xmlns:x="http://schemas.openxmlformats.org/spreadsheetml/2006/main">
  <x:sheetFormatPr defaultRowHeight="15"/>
  <x:cols>
    <x:col min="1" max="1" width="18" hidden="0" customWidth="1"/>
    <x:col min="2" max="2" width="12" hidden="0" customWidth="1"/>
    <x:col min="3" max="3" width="22" hidden="0" customWidth="1"/>
    <x:col min="4" max="4" width="38" hidden="0" customWidth="1"/>
    <x:col min="5" max="5" width="30" hidden="0" customWidth="1"/>
    <x:col min="6" max="6" width="48" hidden="0" customWidth="1"/>
    <x:col min="7" max="7" width="44" hidden="0" customWidth="1"/>
    <x:col min="8" max="8" width="32" hidden="0" customWidth="1"/>
    <x:col min="9" max="9" width="44" hidden="0" customWidth="1"/>
    <x:col min="10" max="10" width="46" hidden="0" customWidth="1"/>
    <x:col min="11" max="11" width="42" hidden="0" customWidth="1"/>
    <x:col min="12" max="12" width="42" hidden="0" customWidth="1"/>
    <x:col min="13" max="13" width="38" hidden="0" customWidth="1"/>
  </x:cols>
  <x:sheetData>
    <x:row r="1">
      <x:c r="A1" s="148" t="str">
        <x:v>Locked Priority Expansion — BMXMuseum Public Knowledge Register v0.3.1</x:v>
      </x:c>
      <x:c r="B1" s="148"/>
      <x:c r="C1" s="148"/>
      <x:c r="D1" s="148"/>
      <x:c r="E1" s="148"/>
      <x:c r="F1" s="148"/>
      <x:c r="G1" s="148"/>
      <x:c r="H1" s="148"/>
      <x:c r="I1" s="148"/>
      <x:c r="J1" s="148"/>
      <x:c r="K1" s="148"/>
      <x:c r="L1" s="148"/>
      <x:c r="M1" s="148"/>
    </x:row>
    <x:row r="2">
      <x:c r="A2" s="152" t="str">
        <x:v>These nine clusters are formally in scope. A missing current inventory match or BMXMuseum ID means “open research,” never “not present.”</x:v>
      </x:c>
      <x:c r="B2" s="152"/>
      <x:c r="C2" s="152"/>
      <x:c r="D2" s="152"/>
      <x:c r="E2" s="152"/>
      <x:c r="F2" s="152"/>
      <x:c r="G2" s="152"/>
      <x:c r="H2" s="152"/>
      <x:c r="I2" s="152"/>
      <x:c r="J2" s="152"/>
      <x:c r="K2" s="152"/>
      <x:c r="L2" s="152"/>
      <x:c r="M2" s="152"/>
    </x:row>
    <x:row r="4">
      <x:c r="A4" s="157" t="str">
        <x:v>Cluster ID</x:v>
      </x:c>
      <x:c r="B4" s="157" t="str">
        <x:v>Status</x:v>
      </x:c>
      <x:c r="C4" s="157" t="str">
        <x:v>Canonical Cluster</x:v>
      </x:c>
      <x:c r="D4" s="157" t="str">
        <x:v>Aliases / Search Variants</x:v>
      </x:c>
      <x:c r="E4" s="157" t="str">
        <x:v>Primary Object Types</x:v>
      </x:c>
      <x:c r="F4" s="157" t="str">
        <x:v>Research Scope</x:v>
      </x:c>
      <x:c r="G4" s="157" t="str">
        <x:v>Known Lititz BMX Anchor(s)</x:v>
      </x:c>
      <x:c r="H4" s="157" t="str">
        <x:v>Anchor Status</x:v>
      </x:c>
      <x:c r="I4" s="157" t="str">
        <x:v>BMXMuseum Targets</x:v>
      </x:c>
      <x:c r="J4" s="157" t="str">
        <x:v>Independent Verification Targets</x:v>
      </x:c>
      <x:c r="K4" s="157" t="str">
        <x:v>Rights / Safety Rule</x:v>
      </x:c>
      <x:c r="L4" s="157" t="str">
        <x:v>Next Research Action</x:v>
      </x:c>
      <x:c r="M4" s="157" t="str">
        <x:v>Notes</x:v>
      </x:c>
    </x:row>
    <x:row r="5" ht="92" customHeight="1">
      <x:c r="A5" s="26" t="str">
        <x:v>BM-CLUSTER-001</x:v>
      </x:c>
      <x:c r="B5" s="161" t="str">
        <x:v>LOCKED</x:v>
      </x:c>
      <x:c r="C5" s="26" t="str">
        <x:v>Radical Rick</x:v>
      </x:c>
      <x:c r="D5" s="26" t="str">
        <x:v>Radical Rick; Damian Fulton; BMX Plus! comic; Radical Rick artwork; Rebuild Radical Rick</x:v>
      </x:c>
      <x:c r="E5" s="26" t="str">
        <x:v>Person; fictional character; publication; artwork; advertisement; campaign; merchandise</x:v>
      </x:c>
      <x:c r="F5" s="26" t="str">
        <x:v>Recover BMXMuseum references, forum discussions, advertisements, publication appearances, creator history, bike-industry collaborations and cultural influence.</x:v>
      </x:c>
      <x:c r="G5" s="26" t="str">
        <x:v>26.0056 press proof; 26.0057 Radical Rick/Bill Allen signed print; 26.0058 gold Supercross bobblehead; broader Radical Rick campaign archive.</x:v>
      </x:c>
      <x:c r="H5" s="26" t="str">
        <x:v>Confirmed Lititz holdings and campaign materials</x:v>
      </x:c>
      <x:c r="I5" s="26" t="str">
        <x:v>Reference titles/IDs; forum objects; BMX Plus! citations; related bike records; creator or collector posts.</x:v>
      </x:c>
      <x:c r="J5" s="26" t="str">
        <x:v>Damian Fulton first-person material; period BMX Plus! issues; publication records; rights-holder statements.</x:v>
      </x:c>
      <x:c r="K5" s="26" t="str">
        <x:v>Index metadata and relationships. Do not reproduce comic pages, artwork or scans without permission.</x:v>
      </x:c>
      <x:c r="L5" s="26" t="str">
        <x:v>Build creator–publication–character–artifact relationship map.</x:v>
      </x:c>
      <x:c r="M5" s="26" t="str">
        <x:v>Treat Radical Rick as BMX cultural history, not merely merchandise.</x:v>
      </x:c>
    </x:row>
    <x:row r="6" ht="92" customHeight="1">
      <x:c r="A6" s="26" t="str">
        <x:v>BM-CLUSTER-002</x:v>
      </x:c>
      <x:c r="B6" s="161" t="str">
        <x:v>LOCKED</x:v>
      </x:c>
      <x:c r="C6" s="26" t="str">
        <x:v>Team USA</x:v>
      </x:c>
      <x:c r="D6" s="26" t="str">
        <x:v>Team USA; USA BMX team; United States BMX team; U.S. Worlds team; UCI BMX Worlds Team USA</x:v>
      </x:c>
      <x:c r="E6" s="26" t="str">
        <x:v>Team; sanctioning body; event; rider; jersey; result; advertisement</x:v>
      </x:c>
      <x:c r="F6" s="26" t="str">
        <x:v>Document Team USA jerseys, rider rosters, UCI Worlds appearances, results, design influences, jersey trades and related BMXMuseum material.</x:v>
      </x:c>
      <x:c r="G6" s="26" t="str">
        <x:v>26.0024 Greg Mathias-signed 2022 Team USA jersey; historical 2017 Team USA “Leary” jersey recovered from the Leary Locker and transferred to Greg Mathias.</x:v>
      </x:c>
      <x:c r="H6" s="26" t="str">
        <x:v>One confirmed current holding; one historically documented exchanged artifact</x:v>
      </x:c>
      <x:c r="I6" s="26" t="str">
        <x:v>Team/rider discussions; event threads; jersey references; bike records tied to U.S. Worlds riders.</x:v>
      </x:c>
      <x:c r="J6" s="26" t="str">
        <x:v>USA BMX and UCI rosters/results; period event programs; rider testimony; jersey manufacturer records.</x:v>
      </x:c>
      <x:c r="K6" s="26" t="str">
        <x:v>Do not harvest athlete contact data. Separate official Team USA records from community descriptions.</x:v>
      </x:c>
      <x:c r="L6" s="26" t="str">
        <x:v>Create year-by-year Team USA event and jersey chronology.</x:v>
      </x:c>
      <x:c r="M6" s="26" t="str">
        <x:v>Keep 2017 and 2022 jersey stories separate.</x:v>
      </x:c>
    </x:row>
    <x:row r="7" ht="92" customHeight="1">
      <x:c r="A7" s="26" t="str">
        <x:v>BM-CLUSTER-003</x:v>
      </x:c>
      <x:c r="B7" s="161" t="str">
        <x:v>LOCKED</x:v>
      </x:c>
      <x:c r="C7" s="26" t="str">
        <x:v>Boss</x:v>
      </x:c>
      <x:c r="D7" s="26" t="str">
        <x:v>Boss; Boss BMX; Boss Racing; Boss Hogg; Boss Manufacturing; Livermore; CR01</x:v>
      </x:c>
      <x:c r="E7" s="26" t="str">
        <x:v>Brand; company; model; bicycle; serial system; manufacturer; advertisement</x:v>
      </x:c>
      <x:c r="F7" s="26" t="str">
        <x:v>Recover Boss company chronology, Livermore production, Boss Hogg models, serial systems, builders, catalogs, advertisements, riders and submitted examples.</x:v>
      </x:c>
      <x:c r="G7" s="26" t="str">
        <x:v>26.0055 First Livermore Boss Hogg complete, Serial CR01.</x:v>
      </x:c>
      <x:c r="H7" s="26" t="str">
        <x:v>Confirmed Lititz holding</x:v>
      </x:c>
      <x:c r="I7" s="26" t="str">
        <x:v>Boss brand gallery; exact bike records; serial-number threads; catalogs; forum histories; sale/provenance references.</x:v>
      </x:c>
      <x:c r="J7" s="26" t="str">
        <x:v>Company or builder testimony; period catalogs/ads; C4 Labs restoration documentation; surviving-frame comparison.</x:v>
      </x:c>
      <x:c r="K7" s="26" t="str">
        <x:v>Submitted examples do not independently prove production order or serial chronology.</x:v>
      </x:c>
      <x:c r="L7" s="26" t="str">
        <x:v>Build CR01 authentication and Livermore production dossier.</x:v>
      </x:c>
      <x:c r="M7" s="26" t="str">
        <x:v>Preserve “first Livermore” as a claim requiring layered verification.</x:v>
      </x:c>
    </x:row>
    <x:row r="8" ht="92" customHeight="1">
      <x:c r="A8" s="26" t="str">
        <x:v>BM-CLUSTER-004</x:v>
      </x:c>
      <x:c r="B8" s="161" t="str">
        <x:v>LOCKED</x:v>
      </x:c>
      <x:c r="C8" s="26" t="str">
        <x:v>JAD</x:v>
      </x:c>
      <x:c r="D8" s="26" t="str">
        <x:v>JAD; JAD BMX; JAD Sherman; Street Style; Street Style Sherman</x:v>
      </x:c>
      <x:c r="E8" s="26" t="str">
        <x:v>Brand; company; designer; model; prototype; frame; display stand</x:v>
      </x:c>
      <x:c r="F8" s="26" t="str">
        <x:v>Recover JAD company history, Sherman and Street Style chronology, production totals, unique builds, serials, advertisements and known surviving examples.</x:v>
      </x:c>
      <x:c r="G8" s="26" t="str">
        <x:v>JAD Street Style Sherman; claimed one of six; Street Style configuration claimed one of one; associated frame stand claimed one of one.</x:v>
      </x:c>
      <x:c r="H8" s="26" t="str">
        <x:v>Known Lititz holding; exact inventory ID pending in this workbook</x:v>
      </x:c>
      <x:c r="I8" s="26" t="str">
        <x:v>JAD brand gallery; exact bike records; model comparisons; forum histories; catalog and advertisement references.</x:v>
      </x:c>
      <x:c r="J8" s="26" t="str">
        <x:v>Designer/builder testimony; period catalogs/ads; serial and geometry comparison; provenance documents.</x:v>
      </x:c>
      <x:c r="K8" s="26" t="str">
        <x:v>Record rarity statements as attributed claims until independently confirmed.</x:v>
      </x:c>
      <x:c r="L8" s="26" t="str">
        <x:v>Locate exact Lititz artifact ID, then create rarity and configuration evidence ledger.</x:v>
      </x:c>
      <x:c r="M8" s="26" t="str">
        <x:v>Do not merge Sherman, Street Style and stand-production claims.</x:v>
      </x:c>
    </x:row>
    <x:row r="9" ht="92" customHeight="1">
      <x:c r="A9" s="26" t="str">
        <x:v>BM-CLUSTER-005</x:v>
      </x:c>
      <x:c r="B9" s="161" t="str">
        <x:v>LOCKED</x:v>
      </x:c>
      <x:c r="C9" s="26" t="str">
        <x:v>Auburn</x:v>
      </x:c>
      <x:c r="D9" s="26" t="str">
        <x:v>Auburn; Auburn BMX; Auburn Bicycles</x:v>
      </x:c>
      <x:c r="E9" s="26" t="str">
        <x:v>Brand; company; team; rider; frame; jersey; catalog; advertisement</x:v>
      </x:c>
      <x:c r="F9" s="26" t="str">
        <x:v>Recover Auburn model chronology, company ownership, riders, race program, catalogs, advertisements and BMXMuseum examples.</x:v>
      </x:c>
      <x:c r="G9" s="26" t="str">
        <x:v>26.0085 Auburn racing jersey.</x:v>
      </x:c>
      <x:c r="H9" s="26" t="str">
        <x:v>Confirmed Lititz holding</x:v>
      </x:c>
      <x:c r="I9" s="26" t="str">
        <x:v>Brand gallery; submitted bikes; team/rider threads; catalogs; advertisements; serial discussions.</x:v>
      </x:c>
      <x:c r="J9" s="26" t="str">
        <x:v>Period catalogs and magazines; company records; official rider histories; jersey-era identification.</x:v>
      </x:c>
      <x:c r="K9" s="26" t="str">
        <x:v>A jersey confirms brand representation, not a complete company chronology or a specific rider.</x:v>
      </x:c>
      <x:c r="L9" s="26" t="str">
        <x:v>Identify jersey year/team context and connect it to model and rider records.</x:v>
      </x:c>
      <x:c r="M9" s="26" t="str">
        <x:v>Correct the legacy inventory typo “`908's” during a later inventory revision.</x:v>
      </x:c>
    </x:row>
    <x:row r="10" ht="92" customHeight="1">
      <x:c r="A10" s="26" t="str">
        <x:v>BM-CLUSTER-006</x:v>
      </x:c>
      <x:c r="B10" s="161" t="str">
        <x:v>LOCKED</x:v>
      </x:c>
      <x:c r="C10" s="26" t="str">
        <x:v>ELF</x:v>
      </x:c>
      <x:c r="D10" s="26" t="str">
        <x:v>ELF; ELF BMX; Extra Light Frames</x:v>
      </x:c>
      <x:c r="E10" s="26" t="str">
        <x:v>Brand; company; catalog; model; frame; team; rider; advertisement</x:v>
      </x:c>
      <x:c r="F10" s="26" t="str">
        <x:v>Recover ELF company and model chronology, catalogs, advertisements, team riders, serial systems and surviving examples.</x:v>
      </x:c>
      <x:c r="G10" s="26" t="str">
        <x:v>26.0006 ELF catalog.</x:v>
      </x:c>
      <x:c r="H10" s="26" t="str">
        <x:v>Confirmed Lititz holding</x:v>
      </x:c>
      <x:c r="I10" s="26" t="str">
        <x:v>ELF brand gallery; reference/catalog IDs; bike records; forum identification and serial discussions.</x:v>
      </x:c>
      <x:c r="J10" s="26" t="str">
        <x:v>Catalog inspection; period advertising; company history; rider/team rosters; frame measurements.</x:v>
      </x:c>
      <x:c r="K10" s="26" t="str">
        <x:v>Index catalog bibliographic data; do not republish scans without a rights basis.</x:v>
      </x:c>
      <x:c r="L10" s="26" t="str">
        <x:v>Identify the catalog year, edition, page count and exact BMXMuseum matches.</x:v>
      </x:c>
      <x:c r="M10" s="26" t="str">
        <x:v>Missing or incomplete BMXMuseum matches remain open—not absent.</x:v>
      </x:c>
    </x:row>
    <x:row r="11" ht="92" customHeight="1">
      <x:c r="A11" s="26" t="str">
        <x:v>BM-CLUSTER-007</x:v>
      </x:c>
      <x:c r="B11" s="161" t="str">
        <x:v>LOCKED</x:v>
      </x:c>
      <x:c r="C11" s="26" t="str">
        <x:v>Kastan</x:v>
      </x:c>
      <x:c r="D11" s="26" t="str">
        <x:v>Kastan; Kastan BMX; KEX; Linn Kastan</x:v>
      </x:c>
      <x:c r="E11" s="26" t="str">
        <x:v>Person; brand; company; frame; model; manufacturing; catalog; advertisement</x:v>
      </x:c>
      <x:c r="F11" s="26" t="str">
        <x:v>Document Linn Kastan, Redline relationships, Kastan BMX/KEX chronology, BMX-to-MTB transition, catalogs, advertisements and BMXMuseum examples.</x:v>
      </x:c>
      <x:c r="G11" s="26" t="str">
        <x:v>26.0011 Kastan MTB frame.</x:v>
      </x:c>
      <x:c r="H11" s="26" t="str">
        <x:v>Confirmed Lititz holding</x:v>
      </x:c>
      <x:c r="I11" s="26" t="str">
        <x:v>Kastan brand pages; KEX records; Linn Kastan references; serial/manufacturing discussions; catalogs.</x:v>
      </x:c>
      <x:c r="J11" s="26" t="str">
        <x:v>First-person/company history; period Redline/Kastan catalogs; patents or technical documentation; frame comparison.</x:v>
      </x:c>
      <x:c r="K11" s="26" t="str">
        <x:v>Separate Linn Kastan’s biography, Redline history, Kastan BMX and later MTB production.</x:v>
      </x:c>
      <x:c r="L11" s="26" t="str">
        <x:v>Build person–company–model–artifact chronology.</x:v>
      </x:c>
      <x:c r="M11" s="26" t="str">
        <x:v>Do not infer that all Kastan-branded products share the same production period or facility.</x:v>
      </x:c>
    </x:row>
    <x:row r="12" ht="92" customHeight="1">
      <x:c r="A12" s="26" t="str">
        <x:v>BM-CLUSTER-008</x:v>
      </x:c>
      <x:c r="B12" s="161" t="str">
        <x:v>LOCKED</x:v>
      </x:c>
      <x:c r="C12" s="26" t="str">
        <x:v>Formula One / F-1</x:v>
      </x:c>
      <x:c r="D12" s="26" t="str">
        <x:v>Formula One; F-1; F1; Formula One Challenge; F-1 Challenge; F1 Challenge</x:v>
      </x:c>
      <x:c r="E12" s="26" t="str">
        <x:v>Event; series; trophy; bicycle; rider; advertisement; program; result</x:v>
      </x:c>
      <x:c r="F12" s="26" t="str">
        <x:v>Recover the BMX Formula One/F-1/F1 event or series identity, dates, tracks, rules, riders, results, trophies, bicycles, advertisements and programs.</x:v>
      </x:c>
      <x:c r="G12" s="26" t="str">
        <x:v>Lititz BMX F-1 Challenge trophy and matching F-1 bicycle; exact artifact IDs pending in this workbook.</x:v>
      </x:c>
      <x:c r="H12" s="26" t="str">
        <x:v>Known Lititz holdings; exact IDs pending</x:v>
      </x:c>
      <x:c r="I12" s="26" t="str">
        <x:v>Forum threads; reference objects; bike records; event discussions; advertisements; result or trophy references.</x:v>
      </x:c>
      <x:c r="J12" s="26" t="str">
        <x:v>Period race reports, sanctioning-body records, programs, advertisements, trophy inscriptions and bicycle identification.</x:v>
      </x:c>
      <x:c r="K12" s="26" t="str">
        <x:v>Always disambiguate from Formula 1 automobile racing and unrelated F1 bicycle models.</x:v>
      </x:c>
      <x:c r="L12" s="26" t="str">
        <x:v>Create alias-controlled event dossier and pair trophy evidence with bicycle evidence.</x:v>
      </x:c>
      <x:c r="M12" s="26" t="str">
        <x:v>The trophy remains the primary historical object; the bike is the interpretive hook.</x:v>
      </x:c>
    </x:row>
    <x:row r="13" ht="92" customHeight="1">
      <x:c r="A13" s="26" t="str">
        <x:v>BM-CLUSTER-009</x:v>
      </x:c>
      <x:c r="B13" s="161" t="str">
        <x:v>LOCKED</x:v>
      </x:c>
      <x:c r="C13" s="26" t="str">
        <x:v>Felicia Stancil</x:v>
      </x:c>
      <x:c r="D13" s="26" t="str">
        <x:v>Felicia Stancil</x:v>
      </x:c>
      <x:c r="E13" s="26" t="str">
        <x:v>Person; rider; result; event; team; bicycle; jersey; advertisement</x:v>
      </x:c>
      <x:c r="F13" s="26" t="str">
        <x:v>Recover rider biography, junior and elite results, Team USA/UCI relationships, GT equipment, BMXMuseum records, interviews and period media.</x:v>
      </x:c>
      <x:c r="G13" s="26" t="str">
        <x:v>26.0054 GT Speed Series used for double W1 wins at the 2012 UCI BMX World Championships.</x:v>
      </x:c>
      <x:c r="H13" s="26" t="str">
        <x:v>Confirmed Lititz holding</x:v>
      </x:c>
      <x:c r="I13" s="26" t="str">
        <x:v>Rider references; GT bike records; event/result threads; related model comparisons; advertisements or team material.</x:v>
      </x:c>
      <x:c r="J13" s="26" t="str">
        <x:v>UCI and USA BMX results; GT documentation; event programs; rider testimony; detailed bicycle provenance.</x:v>
      </x:c>
      <x:c r="K13" s="26" t="str">
        <x:v>Separate verified event results from claims about the exact surviving bicycle and its component originality.</x:v>
      </x:c>
      <x:c r="L13" s="26" t="str">
        <x:v>Build 2012 Worlds result-and-bike authentication dossier.</x:v>
      </x:c>
      <x:c r="M13" s="26" t="str">
        <x:v>Connect this cluster to Team USA, GT and women’s BMX history.</x:v>
      </x:c>
    </x:row>
  </x:sheetData>
  <x:mergeCells>
    <x:mergeCell ref="A1:M1"/>
    <x:mergeCell ref="A2:M2"/>
  </x:mergeCells>
  <x:conditionalFormatting sqref="B5:B13">
    <x:cfRule type="expression" dxfId="7" priority="1">
      <x:formula>B5="LOCKED"</x:formula>
    </x:cfRule>
    <x:cfRule type="expression" dxfId="8" priority="2">
      <x:formula>B5="IN PROGRESS"</x:formula>
    </x:cfRule>
  </x:conditionalFormatting>
  <x:dataValidations count="1">
    <x:dataValidation type="list" sqref="B5:B13">
      <x:formula1>"LOCKED,IN PROGRESS,DEFERRED,COMPLETE"</x:formula1>
    </x:dataValidation>
  </x:dataValidations>
  <x:pageMargins left="0.7" right="0.7" top="0.75" bottom="0.75" header="0.3" footer="0.3"/>
  <x:tableParts count="1">
    <x:tablePart xmlns:r="http://schemas.openxmlformats.org/officeDocument/2006/relationships" r:id="R367c0a2d78e047e7"/>
  </x:tableParts>
</x:worksheet>
</file>

<file path=xl/worksheets/sheet20.xml><?xml version="1.0" encoding="utf-8"?>
<x:worksheet xmlns:x="http://schemas.openxmlformats.org/spreadsheetml/2006/main">
  <x:sheetFormatPr defaultRowHeight="15"/>
  <x:cols>
    <x:col min="1" max="1" width="16" hidden="0" customWidth="1"/>
    <x:col min="2" max="2" width="24" hidden="0" customWidth="1"/>
    <x:col min="3" max="3" width="30" hidden="0" customWidth="1"/>
    <x:col min="4" max="4" width="28" hidden="0" customWidth="1"/>
    <x:col min="5" max="5" width="52" hidden="0" customWidth="1"/>
    <x:col min="6" max="6" width="14" hidden="0" customWidth="1"/>
    <x:col min="7" max="7" width="36" hidden="0" customWidth="1"/>
  </x:cols>
  <x:sheetData>
    <x:row r="1">
      <x:c r="A1" s="148" t="str">
        <x:v>Alias and Disambiguation Registry</x:v>
      </x:c>
      <x:c r="B1" s="148"/>
      <x:c r="C1" s="148"/>
      <x:c r="D1" s="148"/>
      <x:c r="E1" s="148"/>
      <x:c r="F1" s="148"/>
      <x:c r="G1" s="148"/>
    </x:row>
    <x:row r="2">
      <x:c r="A2" s="152" t="str">
        <x:v>Search variants are retained without collapsing distinct brands, events, people or products into one identity.</x:v>
      </x:c>
      <x:c r="B2" s="152"/>
      <x:c r="C2" s="152"/>
      <x:c r="D2" s="152"/>
      <x:c r="E2" s="152"/>
      <x:c r="F2" s="152"/>
      <x:c r="G2" s="152"/>
    </x:row>
    <x:row r="4">
      <x:c r="A4" s="157" t="str">
        <x:v>Alias ID</x:v>
      </x:c>
      <x:c r="B4" s="157" t="str">
        <x:v>Canonical Cluster</x:v>
      </x:c>
      <x:c r="C4" s="157" t="str">
        <x:v>Alias / Search Term</x:v>
      </x:c>
      <x:c r="D4" s="157" t="str">
        <x:v>Use</x:v>
      </x:c>
      <x:c r="E4" s="157" t="str">
        <x:v>Disambiguation Rule</x:v>
      </x:c>
      <x:c r="F4" s="157" t="str">
        <x:v>Status</x:v>
      </x:c>
      <x:c r="G4" s="157" t="str">
        <x:v>Notes</x:v>
      </x:c>
    </x:row>
    <x:row r="5" ht="38" customHeight="1">
      <x:c r="A5" s="26" t="str">
        <x:v>BM-ALIAS-0001</x:v>
      </x:c>
      <x:c r="B5" s="26" t="str">
        <x:v>Radical Rick</x:v>
      </x:c>
      <x:c r="C5" s="26" t="str">
        <x:v>Radical Rick</x:v>
      </x:c>
      <x:c r="D5" s="26" t="str">
        <x:v>Primary name</x:v>
      </x:c>
      <x:c r="E5" s="26" t="str"/>
      <x:c r="F5" s="26" t="str">
        <x:v>ACTIVE</x:v>
      </x:c>
      <x:c r="G5" s="26" t="str"/>
    </x:row>
    <x:row r="6" ht="38" customHeight="1">
      <x:c r="A6" s="26" t="str">
        <x:v>BM-ALIAS-0002</x:v>
      </x:c>
      <x:c r="B6" s="26" t="str">
        <x:v>Radical Rick</x:v>
      </x:c>
      <x:c r="C6" s="26" t="str">
        <x:v>Damian Fulton</x:v>
      </x:c>
      <x:c r="D6" s="26" t="str">
        <x:v>Creator/person relationship</x:v>
      </x:c>
      <x:c r="E6" s="26" t="str"/>
      <x:c r="F6" s="26" t="str">
        <x:v>ACTIVE</x:v>
      </x:c>
      <x:c r="G6" s="26" t="str"/>
    </x:row>
    <x:row r="7" ht="38" customHeight="1">
      <x:c r="A7" s="26" t="str">
        <x:v>BM-ALIAS-0003</x:v>
      </x:c>
      <x:c r="B7" s="26" t="str">
        <x:v>Radical Rick</x:v>
      </x:c>
      <x:c r="C7" s="26" t="str">
        <x:v>BMX Plus!</x:v>
      </x:c>
      <x:c r="D7" s="26" t="str">
        <x:v>Publication relationship</x:v>
      </x:c>
      <x:c r="E7" s="26" t="str"/>
      <x:c r="F7" s="26" t="str">
        <x:v>ACTIVE</x:v>
      </x:c>
      <x:c r="G7" s="26" t="str"/>
    </x:row>
    <x:row r="8" ht="38" customHeight="1">
      <x:c r="A8" s="26" t="str">
        <x:v>BM-ALIAS-0004</x:v>
      </x:c>
      <x:c r="B8" s="26" t="str">
        <x:v>Radical Rick</x:v>
      </x:c>
      <x:c r="C8" s="26" t="str">
        <x:v>#RebuildRadicalRick</x:v>
      </x:c>
      <x:c r="D8" s="26" t="str">
        <x:v>Lititz campaign relationship</x:v>
      </x:c>
      <x:c r="E8" s="26" t="str"/>
      <x:c r="F8" s="26" t="str">
        <x:v>ACTIVE</x:v>
      </x:c>
      <x:c r="G8" s="26" t="str"/>
    </x:row>
    <x:row r="9" ht="38" customHeight="1">
      <x:c r="A9" s="26" t="str">
        <x:v>BM-ALIAS-0005</x:v>
      </x:c>
      <x:c r="B9" s="26" t="str">
        <x:v>Team USA</x:v>
      </x:c>
      <x:c r="C9" s="26" t="str">
        <x:v>Team USA</x:v>
      </x:c>
      <x:c r="D9" s="26" t="str">
        <x:v>Primary team name</x:v>
      </x:c>
      <x:c r="E9" s="26" t="str">
        <x:v>Require BMX/UCI/USA BMX context; do not merge with other U.S. national cycling teams.</x:v>
      </x:c>
      <x:c r="F9" s="26" t="str">
        <x:v>ACTIVE</x:v>
      </x:c>
      <x:c r="G9" s="26" t="str"/>
    </x:row>
    <x:row r="10" ht="38" customHeight="1">
      <x:c r="A10" s="26" t="str">
        <x:v>BM-ALIAS-0006</x:v>
      </x:c>
      <x:c r="B10" s="26" t="str">
        <x:v>Team USA</x:v>
      </x:c>
      <x:c r="C10" s="26" t="str">
        <x:v>USA BMX Team</x:v>
      </x:c>
      <x:c r="D10" s="26" t="str">
        <x:v>Sanctioning/team search</x:v>
      </x:c>
      <x:c r="E10" s="26" t="str">
        <x:v>Require BMX/UCI/USA BMX context; do not merge with other U.S. national cycling teams.</x:v>
      </x:c>
      <x:c r="F10" s="26" t="str">
        <x:v>ACTIVE</x:v>
      </x:c>
      <x:c r="G10" s="26" t="str"/>
    </x:row>
    <x:row r="11" ht="38" customHeight="1">
      <x:c r="A11" s="26" t="str">
        <x:v>BM-ALIAS-0007</x:v>
      </x:c>
      <x:c r="B11" s="26" t="str">
        <x:v>Team USA</x:v>
      </x:c>
      <x:c r="C11" s="26" t="str">
        <x:v>United States BMX Team</x:v>
      </x:c>
      <x:c r="D11" s="26" t="str">
        <x:v>Expanded search</x:v>
      </x:c>
      <x:c r="E11" s="26" t="str">
        <x:v>Require BMX/UCI/USA BMX context; do not merge with other U.S. national cycling teams.</x:v>
      </x:c>
      <x:c r="F11" s="26" t="str">
        <x:v>ACTIVE</x:v>
      </x:c>
      <x:c r="G11" s="26" t="str"/>
    </x:row>
    <x:row r="12" ht="38" customHeight="1">
      <x:c r="A12" s="26" t="str">
        <x:v>BM-ALIAS-0008</x:v>
      </x:c>
      <x:c r="B12" s="26" t="str">
        <x:v>Team USA</x:v>
      </x:c>
      <x:c r="C12" s="26" t="str">
        <x:v>U.S. Worlds Team</x:v>
      </x:c>
      <x:c r="D12" s="26" t="str">
        <x:v>Event-specific search</x:v>
      </x:c>
      <x:c r="E12" s="26" t="str">
        <x:v>Require BMX/UCI/USA BMX context; do not merge with other U.S. national cycling teams.</x:v>
      </x:c>
      <x:c r="F12" s="26" t="str">
        <x:v>ACTIVE</x:v>
      </x:c>
      <x:c r="G12" s="26" t="str"/>
    </x:row>
    <x:row r="13" ht="38" customHeight="1">
      <x:c r="A13" s="26" t="str">
        <x:v>BM-ALIAS-0009</x:v>
      </x:c>
      <x:c r="B13" s="26" t="str">
        <x:v>Team USA</x:v>
      </x:c>
      <x:c r="C13" s="26" t="str">
        <x:v>UCI BMX Worlds Team USA</x:v>
      </x:c>
      <x:c r="D13" s="26" t="str">
        <x:v>Event-specific search</x:v>
      </x:c>
      <x:c r="E13" s="26" t="str">
        <x:v>Require BMX/UCI/USA BMX context; do not merge with other U.S. national cycling teams.</x:v>
      </x:c>
      <x:c r="F13" s="26" t="str">
        <x:v>ACTIVE</x:v>
      </x:c>
      <x:c r="G13" s="26" t="str"/>
    </x:row>
    <x:row r="14" ht="38" customHeight="1">
      <x:c r="A14" s="26" t="str">
        <x:v>BM-ALIAS-0010</x:v>
      </x:c>
      <x:c r="B14" s="26" t="str">
        <x:v>Boss</x:v>
      </x:c>
      <x:c r="C14" s="26" t="str">
        <x:v>Boss BMX</x:v>
      </x:c>
      <x:c r="D14" s="26" t="str">
        <x:v>Brand search</x:v>
      </x:c>
      <x:c r="E14" s="26" t="str">
        <x:v>Require BMX/bicycle context; exclude unrelated companies and music products.</x:v>
      </x:c>
      <x:c r="F14" s="26" t="str">
        <x:v>ACTIVE</x:v>
      </x:c>
      <x:c r="G14" s="26" t="str"/>
    </x:row>
    <x:row r="15" ht="38" customHeight="1">
      <x:c r="A15" s="26" t="str">
        <x:v>BM-ALIAS-0011</x:v>
      </x:c>
      <x:c r="B15" s="26" t="str">
        <x:v>Boss</x:v>
      </x:c>
      <x:c r="C15" s="26" t="str">
        <x:v>Boss Hogg</x:v>
      </x:c>
      <x:c r="D15" s="26" t="str">
        <x:v>Model search</x:v>
      </x:c>
      <x:c r="E15" s="26" t="str">
        <x:v>Require BMX/bicycle context; exclude unrelated companies and music products.</x:v>
      </x:c>
      <x:c r="F15" s="26" t="str">
        <x:v>ACTIVE</x:v>
      </x:c>
      <x:c r="G15" s="26" t="str"/>
    </x:row>
    <x:row r="16" ht="38" customHeight="1">
      <x:c r="A16" s="26" t="str">
        <x:v>BM-ALIAS-0012</x:v>
      </x:c>
      <x:c r="B16" s="26" t="str">
        <x:v>Boss</x:v>
      </x:c>
      <x:c r="C16" s="26" t="str">
        <x:v>Boss Manufacturing</x:v>
      </x:c>
      <x:c r="D16" s="26" t="str">
        <x:v>Company search</x:v>
      </x:c>
      <x:c r="E16" s="26" t="str">
        <x:v>Require BMX/bicycle context; exclude unrelated companies and music products.</x:v>
      </x:c>
      <x:c r="F16" s="26" t="str">
        <x:v>ACTIVE</x:v>
      </x:c>
      <x:c r="G16" s="26" t="str"/>
    </x:row>
    <x:row r="17" ht="38" customHeight="1">
      <x:c r="A17" s="26" t="str">
        <x:v>BM-ALIAS-0013</x:v>
      </x:c>
      <x:c r="B17" s="26" t="str">
        <x:v>Boss</x:v>
      </x:c>
      <x:c r="C17" s="26" t="str">
        <x:v>Livermore</x:v>
      </x:c>
      <x:c r="D17" s="26" t="str">
        <x:v>Production-location search</x:v>
      </x:c>
      <x:c r="E17" s="26" t="str">
        <x:v>Require BMX/bicycle context; exclude unrelated companies and music products.</x:v>
      </x:c>
      <x:c r="F17" s="26" t="str">
        <x:v>ACTIVE</x:v>
      </x:c>
      <x:c r="G17" s="26" t="str"/>
    </x:row>
    <x:row r="18" ht="38" customHeight="1">
      <x:c r="A18" s="26" t="str">
        <x:v>BM-ALIAS-0014</x:v>
      </x:c>
      <x:c r="B18" s="26" t="str">
        <x:v>Boss</x:v>
      </x:c>
      <x:c r="C18" s="26" t="str">
        <x:v>CR01</x:v>
      </x:c>
      <x:c r="D18" s="26" t="str">
        <x:v>Serial/provenance search</x:v>
      </x:c>
      <x:c r="E18" s="26" t="str">
        <x:v>Require BMX/bicycle context; exclude unrelated companies and music products.</x:v>
      </x:c>
      <x:c r="F18" s="26" t="str">
        <x:v>ACTIVE</x:v>
      </x:c>
      <x:c r="G18" s="26" t="str"/>
    </x:row>
    <x:row r="19" ht="38" customHeight="1">
      <x:c r="A19" s="26" t="str">
        <x:v>BM-ALIAS-0015</x:v>
      </x:c>
      <x:c r="B19" s="26" t="str">
        <x:v>JAD</x:v>
      </x:c>
      <x:c r="C19" s="26" t="str">
        <x:v>JAD BMX</x:v>
      </x:c>
      <x:c r="D19" s="26" t="str">
        <x:v>Brand search</x:v>
      </x:c>
      <x:c r="E19" s="26" t="str"/>
      <x:c r="F19" s="26" t="str">
        <x:v>ACTIVE</x:v>
      </x:c>
      <x:c r="G19" s="26" t="str"/>
    </x:row>
    <x:row r="20" ht="38" customHeight="1">
      <x:c r="A20" s="26" t="str">
        <x:v>BM-ALIAS-0016</x:v>
      </x:c>
      <x:c r="B20" s="26" t="str">
        <x:v>JAD</x:v>
      </x:c>
      <x:c r="C20" s="26" t="str">
        <x:v>JAD Sherman</x:v>
      </x:c>
      <x:c r="D20" s="26" t="str">
        <x:v>Model search</x:v>
      </x:c>
      <x:c r="E20" s="26" t="str"/>
      <x:c r="F20" s="26" t="str">
        <x:v>ACTIVE</x:v>
      </x:c>
      <x:c r="G20" s="26" t="str"/>
    </x:row>
    <x:row r="21" ht="38" customHeight="1">
      <x:c r="A21" s="26" t="str">
        <x:v>BM-ALIAS-0017</x:v>
      </x:c>
      <x:c r="B21" s="26" t="str">
        <x:v>JAD</x:v>
      </x:c>
      <x:c r="C21" s="26" t="str">
        <x:v>Street Style</x:v>
      </x:c>
      <x:c r="D21" s="26" t="str">
        <x:v>Model/configuration search</x:v>
      </x:c>
      <x:c r="E21" s="26" t="str"/>
      <x:c r="F21" s="26" t="str">
        <x:v>ACTIVE</x:v>
      </x:c>
      <x:c r="G21" s="26" t="str"/>
    </x:row>
    <x:row r="22" ht="38" customHeight="1">
      <x:c r="A22" s="26" t="str">
        <x:v>BM-ALIAS-0018</x:v>
      </x:c>
      <x:c r="B22" s="26" t="str">
        <x:v>JAD</x:v>
      </x:c>
      <x:c r="C22" s="26" t="str">
        <x:v>Street Style Sherman</x:v>
      </x:c>
      <x:c r="D22" s="26" t="str">
        <x:v>Combined model search</x:v>
      </x:c>
      <x:c r="E22" s="26" t="str"/>
      <x:c r="F22" s="26" t="str">
        <x:v>ACTIVE</x:v>
      </x:c>
      <x:c r="G22" s="26" t="str"/>
    </x:row>
    <x:row r="23" ht="38" customHeight="1">
      <x:c r="A23" s="26" t="str">
        <x:v>BM-ALIAS-0019</x:v>
      </x:c>
      <x:c r="B23" s="26" t="str">
        <x:v>Auburn</x:v>
      </x:c>
      <x:c r="C23" s="26" t="str">
        <x:v>Auburn BMX</x:v>
      </x:c>
      <x:c r="D23" s="26" t="str">
        <x:v>Brand search</x:v>
      </x:c>
      <x:c r="E23" s="26" t="str"/>
      <x:c r="F23" s="26" t="str">
        <x:v>ACTIVE</x:v>
      </x:c>
      <x:c r="G23" s="26" t="str"/>
    </x:row>
    <x:row r="24" ht="38" customHeight="1">
      <x:c r="A24" s="26" t="str">
        <x:v>BM-ALIAS-0020</x:v>
      </x:c>
      <x:c r="B24" s="26" t="str">
        <x:v>Auburn</x:v>
      </x:c>
      <x:c r="C24" s="26" t="str">
        <x:v>Auburn Bicycles</x:v>
      </x:c>
      <x:c r="D24" s="26" t="str">
        <x:v>Company/brand search</x:v>
      </x:c>
      <x:c r="E24" s="26" t="str"/>
      <x:c r="F24" s="26" t="str">
        <x:v>ACTIVE</x:v>
      </x:c>
      <x:c r="G24" s="26" t="str"/>
    </x:row>
    <x:row r="25" ht="38" customHeight="1">
      <x:c r="A25" s="26" t="str">
        <x:v>BM-ALIAS-0021</x:v>
      </x:c>
      <x:c r="B25" s="26" t="str">
        <x:v>ELF</x:v>
      </x:c>
      <x:c r="C25" s="26" t="str">
        <x:v>ELF BMX</x:v>
      </x:c>
      <x:c r="D25" s="26" t="str">
        <x:v>Brand search</x:v>
      </x:c>
      <x:c r="E25" s="26" t="str">
        <x:v>Require BMX/frame/catalog context; exclude unrelated acronym uses.</x:v>
      </x:c>
      <x:c r="F25" s="26" t="str">
        <x:v>ACTIVE</x:v>
      </x:c>
      <x:c r="G25" s="26" t="str"/>
    </x:row>
    <x:row r="26" ht="38" customHeight="1">
      <x:c r="A26" s="26" t="str">
        <x:v>BM-ALIAS-0022</x:v>
      </x:c>
      <x:c r="B26" s="26" t="str">
        <x:v>ELF</x:v>
      </x:c>
      <x:c r="C26" s="26" t="str">
        <x:v>Extra Light Frames</x:v>
      </x:c>
      <x:c r="D26" s="26" t="str">
        <x:v>Expanded-name search</x:v>
      </x:c>
      <x:c r="E26" s="26" t="str">
        <x:v>Require BMX/frame/catalog context; exclude unrelated acronym uses.</x:v>
      </x:c>
      <x:c r="F26" s="26" t="str">
        <x:v>ACTIVE</x:v>
      </x:c>
      <x:c r="G26" s="26" t="str"/>
    </x:row>
    <x:row r="27" ht="38" customHeight="1">
      <x:c r="A27" s="26" t="str">
        <x:v>BM-ALIAS-0023</x:v>
      </x:c>
      <x:c r="B27" s="26" t="str">
        <x:v>Kastan</x:v>
      </x:c>
      <x:c r="C27" s="26" t="str">
        <x:v>Kastan BMX</x:v>
      </x:c>
      <x:c r="D27" s="26" t="str">
        <x:v>Brand search</x:v>
      </x:c>
      <x:c r="E27" s="26" t="str"/>
      <x:c r="F27" s="26" t="str">
        <x:v>ACTIVE</x:v>
      </x:c>
      <x:c r="G27" s="26" t="str"/>
    </x:row>
    <x:row r="28" ht="38" customHeight="1">
      <x:c r="A28" s="26" t="str">
        <x:v>BM-ALIAS-0024</x:v>
      </x:c>
      <x:c r="B28" s="26" t="str">
        <x:v>Kastan</x:v>
      </x:c>
      <x:c r="C28" s="26" t="str">
        <x:v>KEX</x:v>
      </x:c>
      <x:c r="D28" s="26" t="str">
        <x:v>Model-series search</x:v>
      </x:c>
      <x:c r="E28" s="26" t="str"/>
      <x:c r="F28" s="26" t="str">
        <x:v>ACTIVE</x:v>
      </x:c>
      <x:c r="G28" s="26" t="str"/>
    </x:row>
    <x:row r="29" ht="38" customHeight="1">
      <x:c r="A29" s="26" t="str">
        <x:v>BM-ALIAS-0025</x:v>
      </x:c>
      <x:c r="B29" s="26" t="str">
        <x:v>Kastan</x:v>
      </x:c>
      <x:c r="C29" s="26" t="str">
        <x:v>Linn Kastan</x:v>
      </x:c>
      <x:c r="D29" s="26" t="str">
        <x:v>Person/founder search</x:v>
      </x:c>
      <x:c r="E29" s="26" t="str"/>
      <x:c r="F29" s="26" t="str">
        <x:v>ACTIVE</x:v>
      </x:c>
      <x:c r="G29" s="26" t="str"/>
    </x:row>
    <x:row r="30" ht="38" customHeight="1">
      <x:c r="A30" s="26" t="str">
        <x:v>BM-ALIAS-0026</x:v>
      </x:c>
      <x:c r="B30" s="26" t="str">
        <x:v>Formula One / F-1</x:v>
      </x:c>
      <x:c r="C30" s="26" t="str">
        <x:v>Formula One</x:v>
      </x:c>
      <x:c r="D30" s="26" t="str">
        <x:v>Primary phrase</x:v>
      </x:c>
      <x:c r="E30" s="26" t="str">
        <x:v>Require BMX context; exclude Formula 1 auto racing and unrelated F1 products.</x:v>
      </x:c>
      <x:c r="F30" s="26" t="str">
        <x:v>ACTIVE</x:v>
      </x:c>
      <x:c r="G30" s="26" t="str"/>
    </x:row>
    <x:row r="31" ht="38" customHeight="1">
      <x:c r="A31" s="26" t="str">
        <x:v>BM-ALIAS-0027</x:v>
      </x:c>
      <x:c r="B31" s="26" t="str">
        <x:v>Formula One / F-1</x:v>
      </x:c>
      <x:c r="C31" s="26" t="str">
        <x:v>F-1</x:v>
      </x:c>
      <x:c r="D31" s="26" t="str">
        <x:v>Hyphenated alias</x:v>
      </x:c>
      <x:c r="E31" s="26" t="str">
        <x:v>Require BMX context; exclude Formula 1 auto racing and unrelated F1 products.</x:v>
      </x:c>
      <x:c r="F31" s="26" t="str">
        <x:v>ACTIVE</x:v>
      </x:c>
      <x:c r="G31" s="26" t="str"/>
    </x:row>
    <x:row r="32" ht="38" customHeight="1">
      <x:c r="A32" s="26" t="str">
        <x:v>BM-ALIAS-0028</x:v>
      </x:c>
      <x:c r="B32" s="26" t="str">
        <x:v>Formula One / F-1</x:v>
      </x:c>
      <x:c r="C32" s="26" t="str">
        <x:v>F1</x:v>
      </x:c>
      <x:c r="D32" s="26" t="str">
        <x:v>Compact alias</x:v>
      </x:c>
      <x:c r="E32" s="26" t="str">
        <x:v>Require BMX context; exclude Formula 1 auto racing and unrelated F1 products.</x:v>
      </x:c>
      <x:c r="F32" s="26" t="str">
        <x:v>ACTIVE</x:v>
      </x:c>
      <x:c r="G32" s="26" t="str"/>
    </x:row>
    <x:row r="33" ht="38" customHeight="1">
      <x:c r="A33" s="26" t="str">
        <x:v>BM-ALIAS-0029</x:v>
      </x:c>
      <x:c r="B33" s="26" t="str">
        <x:v>Formula One / F-1</x:v>
      </x:c>
      <x:c r="C33" s="26" t="str">
        <x:v>Formula One Challenge</x:v>
      </x:c>
      <x:c r="D33" s="26" t="str">
        <x:v>Event search</x:v>
      </x:c>
      <x:c r="E33" s="26" t="str">
        <x:v>Require BMX context; exclude Formula 1 auto racing and unrelated F1 products.</x:v>
      </x:c>
      <x:c r="F33" s="26" t="str">
        <x:v>ACTIVE</x:v>
      </x:c>
      <x:c r="G33" s="26" t="str"/>
    </x:row>
    <x:row r="34" ht="38" customHeight="1">
      <x:c r="A34" s="26" t="str">
        <x:v>BM-ALIAS-0030</x:v>
      </x:c>
      <x:c r="B34" s="26" t="str">
        <x:v>Formula One / F-1</x:v>
      </x:c>
      <x:c r="C34" s="26" t="str">
        <x:v>F-1 Challenge</x:v>
      </x:c>
      <x:c r="D34" s="26" t="str">
        <x:v>Event search</x:v>
      </x:c>
      <x:c r="E34" s="26" t="str">
        <x:v>Require BMX context; exclude Formula 1 auto racing and unrelated F1 products.</x:v>
      </x:c>
      <x:c r="F34" s="26" t="str">
        <x:v>ACTIVE</x:v>
      </x:c>
      <x:c r="G34" s="26" t="str"/>
    </x:row>
    <x:row r="35" ht="38" customHeight="1">
      <x:c r="A35" s="26" t="str">
        <x:v>BM-ALIAS-0031</x:v>
      </x:c>
      <x:c r="B35" s="26" t="str">
        <x:v>Formula One / F-1</x:v>
      </x:c>
      <x:c r="C35" s="26" t="str">
        <x:v>F1 Challenge</x:v>
      </x:c>
      <x:c r="D35" s="26" t="str">
        <x:v>Event search</x:v>
      </x:c>
      <x:c r="E35" s="26" t="str">
        <x:v>Require BMX context; exclude Formula 1 auto racing and unrelated F1 products.</x:v>
      </x:c>
      <x:c r="F35" s="26" t="str">
        <x:v>ACTIVE</x:v>
      </x:c>
      <x:c r="G35" s="26" t="str"/>
    </x:row>
    <x:row r="36" ht="38" customHeight="1">
      <x:c r="A36" s="26" t="str">
        <x:v>BM-ALIAS-0032</x:v>
      </x:c>
      <x:c r="B36" s="26" t="str">
        <x:v>Felicia Stancil</x:v>
      </x:c>
      <x:c r="C36" s="26" t="str">
        <x:v>Felicia Stancil</x:v>
      </x:c>
      <x:c r="D36" s="26" t="str">
        <x:v>Primary rider name</x:v>
      </x:c>
      <x:c r="E36" s="26" t="str"/>
      <x:c r="F36" s="26" t="str">
        <x:v>ACTIVE</x:v>
      </x:c>
      <x:c r="G36" s="26" t="str"/>
    </x:row>
    <x:row r="37" ht="38" customHeight="1">
      <x:c r="A37" s="26" t="str">
        <x:v>BM-ALIAS-0033</x:v>
      </x:c>
      <x:c r="B37" s="26" t="str">
        <x:v>Felicia Stancil</x:v>
      </x:c>
      <x:c r="C37" s="26" t="str">
        <x:v>2012 UCI BMX World Championships</x:v>
      </x:c>
      <x:c r="D37" s="26" t="str">
        <x:v>Key event relationship</x:v>
      </x:c>
      <x:c r="E37" s="26" t="str"/>
      <x:c r="F37" s="26" t="str">
        <x:v>ACTIVE</x:v>
      </x:c>
      <x:c r="G37" s="26" t="str"/>
    </x:row>
    <x:row r="38" ht="38" customHeight="1">
      <x:c r="A38" s="26" t="str">
        <x:v>BM-ALIAS-0034</x:v>
      </x:c>
      <x:c r="B38" s="26" t="str">
        <x:v>Felicia Stancil</x:v>
      </x:c>
      <x:c r="C38" s="26" t="str">
        <x:v>GT Speed Series</x:v>
      </x:c>
      <x:c r="D38" s="26" t="str">
        <x:v>Key bicycle/model relationship</x:v>
      </x:c>
      <x:c r="E38" s="26" t="str"/>
      <x:c r="F38" s="26" t="str">
        <x:v>ACTIVE</x:v>
      </x:c>
      <x:c r="G38" s="26" t="str"/>
    </x:row>
    <x:row r="39" ht="38" customHeight="1">
      <x:c r="A39" s="26" t="str">
        <x:v>BM-ALIAS-0035</x:v>
      </x:c>
      <x:c r="B39" s="26" t="str">
        <x:v>Felicia Stancil</x:v>
      </x:c>
      <x:c r="C39" s="26" t="str">
        <x:v>W1</x:v>
      </x:c>
      <x:c r="D39" s="26" t="str">
        <x:v>Result/plate relationship</x:v>
      </x:c>
      <x:c r="E39" s="26" t="str">
        <x:v>Use only with named rider, event, class and year.</x:v>
      </x:c>
      <x:c r="F39" s="26" t="str">
        <x:v>ACTIVE</x:v>
      </x:c>
      <x:c r="G39" s="26" t="str"/>
    </x:row>
  </x:sheetData>
  <x:mergeCells>
    <x:mergeCell ref="A1:G1"/>
    <x:mergeCell ref="A2:G2"/>
  </x:mergeCells>
  <x:pageMargins left="0.7" right="0.7" top="0.75" bottom="0.75" header="0.3" footer="0.3"/>
  <x:tableParts count="1">
    <x:tablePart xmlns:r="http://schemas.openxmlformats.org/officeDocument/2006/relationships" r:id="Ra96d9eb35ed54485"/>
  </x:tableParts>
</x:worksheet>
</file>

<file path=xl/worksheets/sheet21.xml><?xml version="1.0" encoding="utf-8"?>
<x:worksheet xmlns:x="http://schemas.openxmlformats.org/spreadsheetml/2006/main">
  <x:sheetFormatPr defaultRowHeight="15"/>
  <x:cols>
    <x:col min="1" max="1" width="22" hidden="0" customWidth="1"/>
    <x:col min="2" max="2" width="12" hidden="0" customWidth="1"/>
    <x:col min="3" max="3" width="18" hidden="0" customWidth="1"/>
    <x:col min="4" max="4" width="19" hidden="0" customWidth="1"/>
    <x:col min="5" max="5" width="15" hidden="0" customWidth="1"/>
    <x:col min="6" max="6" width="14" hidden="0" customWidth="1"/>
    <x:col min="7" max="7" width="48" hidden="0" customWidth="1"/>
    <x:col min="8" max="8" width="27" hidden="0" customWidth="1"/>
    <x:col min="9" max="9" width="43" hidden="0" customWidth="1"/>
    <x:col min="10" max="10" width="45" hidden="0" customWidth="1"/>
    <x:col min="11" max="11" width="13" hidden="0" customWidth="1"/>
  </x:cols>
  <x:sheetData>
    <x:row r="1" ht="30" customHeight="1">
      <x:c r="A1" s="182" t="str">
        <x:v>v0.4 Priority Cluster Scan — Status by Subject</x:v>
      </x:c>
      <x:c r="B1" s="182"/>
      <x:c r="C1" s="182"/>
      <x:c r="D1" s="182"/>
      <x:c r="E1" s="182"/>
      <x:c r="F1" s="182"/>
      <x:c r="G1" s="182"/>
      <x:c r="H1" s="182"/>
      <x:c r="I1" s="182"/>
      <x:c r="J1" s="182"/>
      <x:c r="K1" s="182"/>
    </x:row>
    <x:row r="2" ht="30" customHeight="1">
      <x:c r="A2" s="186" t="str">
        <x:v>Counts describe this lawful Green-route scan only. Zero exact IDs means no ID was recovered through public indexing/backlinks; it does not mean BMXMuseum lacks relevant material.</x:v>
      </x:c>
      <x:c r="B2" s="186"/>
      <x:c r="C2" s="186"/>
      <x:c r="D2" s="186"/>
      <x:c r="E2" s="186"/>
      <x:c r="F2" s="186"/>
      <x:c r="G2" s="186"/>
      <x:c r="H2" s="186"/>
      <x:c r="I2" s="186"/>
      <x:c r="J2" s="186"/>
      <x:c r="K2" s="186"/>
    </x:row>
    <x:row r="4">
      <x:c r="A4" s="191" t="str">
        <x:v>Cluster</x:v>
      </x:c>
      <x:c r="B4" s="191" t="str">
        <x:v>Exact BMXMuseum IDs</x:v>
      </x:c>
      <x:c r="C4" s="191" t="str">
        <x:v>Gallery / Search Endpoints</x:v>
      </x:c>
      <x:c r="D4" s="191" t="str">
        <x:v>Title-only / Community Leads</x:v>
      </x:c>
      <x:c r="E4" s="191" t="str">
        <x:v>Independent Sources</x:v>
      </x:c>
      <x:c r="F4" s="191" t="str">
        <x:v>Lititz Anchors</x:v>
      </x:c>
      <x:c r="G4" s="191" t="str">
        <x:v>Current Assessment</x:v>
      </x:c>
      <x:c r="H4" s="191" t="str">
        <x:v>Confidence</x:v>
      </x:c>
      <x:c r="I4" s="191" t="str">
        <x:v>Primary Gap</x:v>
      </x:c>
      <x:c r="J4" s="191" t="str">
        <x:v>Next Action</x:v>
      </x:c>
      <x:c r="K4" s="191" t="str">
        <x:v>Scan Date</x:v>
      </x:c>
    </x:row>
    <x:row r="5" ht="74" customHeight="1">
      <x:c r="A5" s="34" t="str">
        <x:v>Radical Rick</x:v>
      </x:c>
      <x:c r="B5" s="193" t="n">
        <x:v>0</x:v>
      </x:c>
      <x:c r="C5" s="193" t="n">
        <x:v>0</x:v>
      </x:c>
      <x:c r="D5" s="193" t="n">
        <x:v>0</x:v>
      </x:c>
      <x:c r="E5" s="193" t="n">
        <x:v>6</x:v>
      </x:c>
      <x:c r="F5" s="193" t="n">
        <x:v>3</x:v>
      </x:c>
      <x:c r="G5" s="34" t="str">
        <x:v>Rights-holder and period-history layer is strong; no exact BMXMuseum object ID recovered in this scan.</x:v>
      </x:c>
      <x:c r="H5" s="34" t="str">
        <x:v>HIGH for external history / OPEN for BMXMuseum coverage</x:v>
      </x:c>
      <x:c r="I5" s="34" t="str">
        <x:v>Exact BMXMuseum references, forum IDs, or submitted-bike links.</x:v>
      </x:c>
      <x:c r="J5" s="34" t="str">
        <x:v>Search BMXMuseum backlinks by episode, BMX Plus!, Damian Fulton, Haro and Supercross relationships.</x:v>
      </x:c>
      <x:c r="K5" s="34" t="str">
        <x:v>2026-07-30</x:v>
      </x:c>
    </x:row>
    <x:row r="6" ht="74" customHeight="1">
      <x:c r="A6" s="34" t="str">
        <x:v>Team USA</x:v>
      </x:c>
      <x:c r="B6" s="193" t="n">
        <x:v>0</x:v>
      </x:c>
      <x:c r="C6" s="193" t="n">
        <x:v>0</x:v>
      </x:c>
      <x:c r="D6" s="193" t="n">
        <x:v>0</x:v>
      </x:c>
      <x:c r="E6" s="193" t="n">
        <x:v>5</x:v>
      </x:c>
      <x:c r="F6" s="193" t="n">
        <x:v>3</x:v>
      </x:c>
      <x:c r="G6" s="34" t="str">
        <x:v>Official roster and jersey evidence is strong; BMXMuseum-specific Team USA object IDs remain open.</x:v>
      </x:c>
      <x:c r="H6" s="34" t="str">
        <x:v>HIGH for official Team USA history / OPEN for BMXMuseum coverage</x:v>
      </x:c>
      <x:c r="I6" s="34" t="str">
        <x:v>BMXMuseum jersey, rider and Worlds-thread IDs.</x:v>
      </x:c>
      <x:c r="J6" s="34" t="str">
        <x:v>Scan year-by-year Worlds rosters and jersey discussions, beginning 2017 and 2022.</x:v>
      </x:c>
      <x:c r="K6" s="34" t="str">
        <x:v>2026-07-30</x:v>
      </x:c>
    </x:row>
    <x:row r="7" ht="74" customHeight="1">
      <x:c r="A7" s="34" t="str">
        <x:v>Boss</x:v>
      </x:c>
      <x:c r="B7" s="193" t="n">
        <x:v>0</x:v>
      </x:c>
      <x:c r="C7" s="193" t="n">
        <x:v>0</x:v>
      </x:c>
      <x:c r="D7" s="193" t="n">
        <x:v>2</x:v>
      </x:c>
      <x:c r="E7" s="193" t="n">
        <x:v>4</x:v>
      </x:c>
      <x:c r="F7" s="193" t="n">
        <x:v>1</x:v>
      </x:c>
      <x:c r="G7" s="34" t="str">
        <x:v>Current first-party brand history and rider relationships recovered; no exact BMXMuseum Boss record ID yet.</x:v>
      </x:c>
      <x:c r="H7" s="34" t="str">
        <x:v>MEDIUM-HIGH for company self-history / OPEN for record IDs</x:v>
      </x:c>
      <x:c r="I7" s="34" t="str">
        <x:v>Livermore production chronology and CR01 authentication evidence.</x:v>
      </x:c>
      <x:c r="J7" s="34" t="str">
        <x:v>Target Boss Hogg, Bad Boy, Curb Dogg, Prime Time and serial-number backlinks.</x:v>
      </x:c>
      <x:c r="K7" s="34" t="str">
        <x:v>2026-07-30</x:v>
      </x:c>
    </x:row>
    <x:row r="8" ht="74" customHeight="1">
      <x:c r="A8" s="34" t="str">
        <x:v>JAD</x:v>
      </x:c>
      <x:c r="B8" s="193" t="n">
        <x:v>0</x:v>
      </x:c>
      <x:c r="C8" s="193" t="n">
        <x:v>0</x:v>
      </x:c>
      <x:c r="D8" s="193" t="n">
        <x:v>2</x:v>
      </x:c>
      <x:c r="E8" s="193" t="n">
        <x:v>2</x:v>
      </x:c>
      <x:c r="F8" s="193" t="n">
        <x:v>1</x:v>
      </x:c>
      <x:c r="G8" s="34" t="str">
        <x:v>Public documentary record is thin. Community identification comments confirm BMXMuseum comparisons exist but do not expose IDs.</x:v>
      </x:c>
      <x:c r="H8" s="34" t="str">
        <x:v>LOW-MEDIUM</x:v>
      </x:c>
      <x:c r="I8" s="34" t="str">
        <x:v>Company chronology, model list, production totals and exact BMXMuseum records.</x:v>
      </x:c>
      <x:c r="J8" s="34" t="str">
        <x:v>Preserve rarity claims as attributed; seek builder/designer testimony and period advertisements.</x:v>
      </x:c>
      <x:c r="K8" s="34" t="str">
        <x:v>2026-07-30</x:v>
      </x:c>
    </x:row>
    <x:row r="9" ht="74" customHeight="1">
      <x:c r="A9" s="34" t="str">
        <x:v>Auburn</x:v>
      </x:c>
      <x:c r="B9" s="193" t="n">
        <x:v>4</x:v>
      </x:c>
      <x:c r="C9" s="193" t="n">
        <x:v>1</x:v>
      </x:c>
      <x:c r="D9" s="193" t="n">
        <x:v>4</x:v>
      </x:c>
      <x:c r="E9" s="193" t="n">
        <x:v>7</x:v>
      </x:c>
      <x:c r="F9" s="193" t="n">
        <x:v>1</x:v>
      </x:c>
      <x:c r="G9" s="34" t="str">
        <x:v>Best BMXMuseum recovery in this tranche: four exact records plus a gallery endpoint and strong first-person/company-history leads.</x:v>
      </x:c>
      <x:c r="H9" s="34" t="str">
        <x:v>HIGH for object identities / MEDIUM-HIGH for chronology</x:v>
      </x:c>
      <x:c r="I9" s="34" t="str">
        <x:v>Exact year and team context of the Lititz jersey.</x:v>
      </x:c>
      <x:c r="J9" s="34" t="str">
        <x:v>Build CR-20R/CR-20RX/JR-20RX model chronology and GT ownership relationship.</x:v>
      </x:c>
      <x:c r="K9" s="34" t="str">
        <x:v>2026-07-30</x:v>
      </x:c>
    </x:row>
    <x:row r="10" ht="74" customHeight="1">
      <x:c r="A10" s="34" t="str">
        <x:v>ELF</x:v>
      </x:c>
      <x:c r="B10" s="193" t="n">
        <x:v>0</x:v>
      </x:c>
      <x:c r="C10" s="193" t="n">
        <x:v>1</x:v>
      </x:c>
      <x:c r="D10" s="193" t="n">
        <x:v>14</x:v>
      </x:c>
      <x:c r="E10" s="193" t="n">
        <x:v>5</x:v>
      </x:c>
      <x:c r="F10" s="193" t="n">
        <x:v>1</x:v>
      </x:c>
      <x:c r="G10" s="34" t="str">
        <x:v>Strong current first-party history and a broad title-only BMXMuseum model layer; exact record IDs remain unresolved.</x:v>
      </x:c>
      <x:c r="H10" s="34" t="str">
        <x:v>MEDIUM-HIGH for brand history / LOW-MEDIUM for title-only records</x:v>
      </x:c>
      <x:c r="I10" s="34" t="str">
        <x:v>Year/edition of the Lititz ELF catalog and exact BMXMuseum IDs.</x:v>
      </x:c>
      <x:c r="J10" s="34" t="str">
        <x:v>Index catalog contents, then match model titles and serial features.</x:v>
      </x:c>
      <x:c r="K10" s="34" t="str">
        <x:v>2026-07-30</x:v>
      </x:c>
    </x:row>
    <x:row r="11" ht="74" customHeight="1">
      <x:c r="A11" s="34" t="str">
        <x:v>Kastan</x:v>
      </x:c>
      <x:c r="B11" s="193" t="n">
        <x:v>1</x:v>
      </x:c>
      <x:c r="C11" s="193" t="n">
        <x:v>1</x:v>
      </x:c>
      <x:c r="D11" s="193" t="n">
        <x:v>3</x:v>
      </x:c>
      <x:c r="E11" s="193" t="n">
        <x:v>6</x:v>
      </x:c>
      <x:c r="F11" s="193" t="n">
        <x:v>1</x:v>
      </x:c>
      <x:c r="G11" s="34" t="str">
        <x:v>One exact BMXMuseum record recovered; strong first-person Redline/Kastan background and clear disambiguation needs.</x:v>
      </x:c>
      <x:c r="H11" s="34" t="str">
        <x:v>HIGH for exact record / MEDIUM-HIGH for corporate chronology</x:v>
      </x:c>
      <x:c r="I11" s="34" t="str">
        <x:v>Exact model and date of the Lititz Kastan MTB frame.</x:v>
      </x:c>
      <x:c r="J11" s="34" t="str">
        <x:v>Separate Linn Kastan, Redline, KEX, Kastan BMX and MTB lines in a chronology.</x:v>
      </x:c>
      <x:c r="K11" s="34" t="str">
        <x:v>2026-07-30</x:v>
      </x:c>
    </x:row>
    <x:row r="12" ht="74" customHeight="1">
      <x:c r="A12" s="34" t="str">
        <x:v>Formula One / F-1 / F1</x:v>
      </x:c>
      <x:c r="B12" s="193" t="n">
        <x:v>0</x:v>
      </x:c>
      <x:c r="C12" s="193" t="n">
        <x:v>0</x:v>
      </x:c>
      <x:c r="D12" s="193" t="n">
        <x:v>0</x:v>
      </x:c>
      <x:c r="E12" s="193" t="n">
        <x:v>4</x:v>
      </x:c>
      <x:c r="F12" s="193" t="n">
        <x:v>2</x:v>
      </x:c>
      <x:c r="G12" s="34" t="str">
        <x:v>Period advertising verifies the Diamond Back Formula One model. The Lititz trophy/bicycle event relationship remains unresolved.</x:v>
      </x:c>
      <x:c r="H12" s="34" t="str">
        <x:v>HIGH for model existence / LOW for event identity</x:v>
      </x:c>
      <x:c r="I12" s="34" t="str">
        <x:v>Whether 'F-1 Challenge' was a race, promotion, award program or artifact-specific label.</x:v>
      </x:c>
      <x:c r="J12" s="34" t="str">
        <x:v>Inspect trophy inscriptions and bicycle markings; search exact phrase in period results and advertisements.</x:v>
      </x:c>
      <x:c r="K12" s="34" t="str">
        <x:v>2026-07-30</x:v>
      </x:c>
    </x:row>
    <x:row r="13" ht="74" customHeight="1">
      <x:c r="A13" s="34" t="str">
        <x:v>Felicia Stancil</x:v>
      </x:c>
      <x:c r="B13" s="193" t="n">
        <x:v>0</x:v>
      </x:c>
      <x:c r="C13" s="193" t="n">
        <x:v>0</x:v>
      </x:c>
      <x:c r="D13" s="193" t="n">
        <x:v>0</x:v>
      </x:c>
      <x:c r="E13" s="193" t="n">
        <x:v>6</x:v>
      </x:c>
      <x:c r="F13" s="193" t="n">
        <x:v>1</x:v>
      </x:c>
      <x:c r="G13" s="34" t="str">
        <x:v>Official 2012 double-title and Team USA history verified. No exact BMXMuseum bike or rider object ID recovered yet.</x:v>
      </x:c>
      <x:c r="H13" s="34" t="str">
        <x:v>HIGH for results / OPEN for BMXMuseum coverage</x:v>
      </x:c>
      <x:c r="I13" s="34" t="str">
        <x:v>Authentication of the exact surviving GT bicycle and component originality.</x:v>
      </x:c>
      <x:c r="J13" s="34" t="str">
        <x:v>Create bike-specific provenance, serial, photo and component comparison dossier.</x:v>
      </x:c>
      <x:c r="K13" s="34" t="str">
        <x:v>2026-07-30</x:v>
      </x:c>
    </x:row>
  </x:sheetData>
  <x:mergeCells>
    <x:mergeCell ref="A1:K1"/>
    <x:mergeCell ref="A2:K2"/>
  </x:mergeCells>
  <x:pageMargins left="0.7" right="0.7" top="0.75" bottom="0.75" header="0.3" footer="0.3"/>
  <x:tableParts count="1">
    <x:tablePart xmlns:r="http://schemas.openxmlformats.org/officeDocument/2006/relationships" r:id="R606f2e10c610480c"/>
  </x:tableParts>
</x:worksheet>
</file>

<file path=xl/worksheets/sheet22.xml><?xml version="1.0" encoding="utf-8"?>
<x:worksheet xmlns:x="http://schemas.openxmlformats.org/spreadsheetml/2006/main">
  <x:sheetFormatPr defaultRowHeight="15"/>
  <x:cols>
    <x:col min="1" max="1" width="17" hidden="0" customWidth="1"/>
    <x:col min="2" max="2" width="18" hidden="0" customWidth="1"/>
    <x:col min="3" max="3" width="20" hidden="0" customWidth="1"/>
    <x:col min="4" max="4" width="20" hidden="0" customWidth="1"/>
    <x:col min="5" max="5" width="30" hidden="0" customWidth="1"/>
    <x:col min="6" max="6" width="45" hidden="0" customWidth="1"/>
    <x:col min="7" max="7" width="38" hidden="0" customWidth="1"/>
    <x:col min="8" max="8" width="27" hidden="0" customWidth="1"/>
    <x:col min="9" max="9" width="18" hidden="0" customWidth="1"/>
    <x:col min="10" max="10" width="34" hidden="0" customWidth="1"/>
    <x:col min="11" max="11" width="45" hidden="0" customWidth="1"/>
    <x:col min="12" max="12" width="15" hidden="0" customWidth="1"/>
    <x:col min="13" max="13" width="13" hidden="0" customWidth="1"/>
  </x:cols>
  <x:sheetData>
    <x:row r="1" ht="30" customHeight="1">
      <x:c r="A1" s="182" t="str">
        <x:v>v0.4 BMXMuseum Objects and Publicly Exposed Leads</x:v>
      </x:c>
      <x:c r="B1" s="182"/>
      <x:c r="C1" s="182"/>
      <x:c r="D1" s="182"/>
      <x:c r="E1" s="182"/>
      <x:c r="F1" s="182"/>
      <x:c r="G1" s="182"/>
      <x:c r="H1" s="182"/>
      <x:c r="I1" s="182"/>
      <x:c r="J1" s="182"/>
      <x:c r="K1" s="182"/>
      <x:c r="L1" s="182"/>
      <x:c r="M1" s="182"/>
    </x:row>
    <x:row r="2" ht="30" customHeight="1">
      <x:c r="A2" s="186" t="str">
        <x:v>Exact records are separated from title-only leads, gallery endpoints and community comparisons. No BMXMuseum page was crawled or mirrored.</x:v>
      </x:c>
      <x:c r="B2" s="186"/>
      <x:c r="C2" s="186"/>
      <x:c r="D2" s="186"/>
      <x:c r="E2" s="186"/>
      <x:c r="F2" s="186"/>
      <x:c r="G2" s="186"/>
      <x:c r="H2" s="186"/>
      <x:c r="I2" s="186"/>
      <x:c r="J2" s="186"/>
      <x:c r="K2" s="186"/>
      <x:c r="L2" s="186"/>
      <x:c r="M2" s="186"/>
    </x:row>
    <x:row r="4">
      <x:c r="A4" s="191" t="str">
        <x:v>Object ID</x:v>
      </x:c>
      <x:c r="B4" s="191" t="str">
        <x:v>Cluster</x:v>
      </x:c>
      <x:c r="C4" s="191" t="str">
        <x:v>Object Type</x:v>
      </x:c>
      <x:c r="D4" s="191" t="str">
        <x:v>BMXMuseum ID / Path</x:v>
      </x:c>
      <x:c r="E4" s="191" t="str">
        <x:v>Submitted / Exposed Title</x:v>
      </x:c>
      <x:c r="F4" s="191" t="str">
        <x:v>Canonical URL</x:v>
      </x:c>
      <x:c r="G4" s="191" t="str">
        <x:v>Discovery Route</x:v>
      </x:c>
      <x:c r="H4" s="191" t="str">
        <x:v>Evidence Class</x:v>
      </x:c>
      <x:c r="I4" s="191" t="str">
        <x:v>Confidence</x:v>
      </x:c>
      <x:c r="J4" s="191" t="str">
        <x:v>Usefulness</x:v>
      </x:c>
      <x:c r="K4" s="191" t="str">
        <x:v>Limitation</x:v>
      </x:c>
      <x:c r="L4" s="191" t="str">
        <x:v>Rights Code</x:v>
      </x:c>
      <x:c r="M4" s="191" t="str">
        <x:v>Accessed</x:v>
      </x:c>
    </x:row>
    <x:row r="5" ht="74" customHeight="1">
      <x:c r="A5" s="34" t="str">
        <x:v>V04-BMXM-0001</x:v>
      </x:c>
      <x:c r="B5" s="34" t="str">
        <x:v>Auburn</x:v>
      </x:c>
      <x:c r="C5" s="34" t="str">
        <x:v>Bike record</x:v>
      </x:c>
      <x:c r="D5" s="34" t="str">
        <x:v>7968</x:v>
      </x:c>
      <x:c r="E5" s="34" t="str">
        <x:v>Auburn CR-20RX</x:v>
      </x:c>
      <x:c r="F5" s="34" t="str">
        <x:v>https://bmxmuseum.com/bikes/auburn_racing/7968</x:v>
      </x:c>
      <x:c r="G5" s="34" t="str">
        <x:v>External identification answer links exact record</x:v>
      </x:c>
      <x:c r="H5" s="34" t="str">
        <x:v>EXACT-BACKLINK</x:v>
      </x:c>
      <x:c r="I5" s="34" t="str">
        <x:v>HIGH</x:v>
      </x:c>
      <x:c r="J5" s="34" t="str">
        <x:v>Model/frame comparison and gallery navigation.</x:v>
      </x:c>
      <x:c r="K5" s="34" t="str">
        <x:v>The external identifier initially proposed CR-20RX; comments note structural differences and alternative models.</x:v>
      </x:c>
      <x:c r="L5" s="34" t="str">
        <x:v>INDEX-ONLY</x:v>
      </x:c>
      <x:c r="M5" s="34" t="str">
        <x:v>2026-07-30</x:v>
      </x:c>
    </x:row>
    <x:row r="6" ht="74" customHeight="1">
      <x:c r="A6" s="34" t="str">
        <x:v>V04-BMXM-0002</x:v>
      </x:c>
      <x:c r="B6" s="34" t="str">
        <x:v>Auburn</x:v>
      </x:c>
      <x:c r="C6" s="34" t="str">
        <x:v>Bike record</x:v>
      </x:c>
      <x:c r="D6" s="34" t="str">
        <x:v>67331</x:v>
      </x:c>
      <x:c r="E6" s="34" t="str">
        <x:v>1994 Auburn JR-20RX</x:v>
      </x:c>
      <x:c r="F6" s="34" t="str">
        <x:v>https://bmxmuseum.com/bikes/auburn_racing/67331</x:v>
      </x:c>
      <x:c r="G6" s="34" t="str">
        <x:v>External identification discussion links exact record</x:v>
      </x:c>
      <x:c r="H6" s="34" t="str">
        <x:v>EXACT-BACKLINK</x:v>
      </x:c>
      <x:c r="I6" s="34" t="str">
        <x:v>HIGH</x:v>
      </x:c>
      <x:c r="J6" s="34" t="str">
        <x:v>Year/model comparison.</x:v>
      </x:c>
      <x:c r="K6" s="34" t="str">
        <x:v>Record title is exposed through an external comment; individual-bike originality remains unverified.</x:v>
      </x:c>
      <x:c r="L6" s="34" t="str">
        <x:v>INDEX-ONLY</x:v>
      </x:c>
      <x:c r="M6" s="34" t="str">
        <x:v>2026-07-30</x:v>
      </x:c>
    </x:row>
    <x:row r="7" ht="74" customHeight="1">
      <x:c r="A7" s="34" t="str">
        <x:v>V04-BMXM-0003</x:v>
      </x:c>
      <x:c r="B7" s="34" t="str">
        <x:v>Auburn</x:v>
      </x:c>
      <x:c r="C7" s="34" t="str">
        <x:v>Bike record</x:v>
      </x:c>
      <x:c r="D7" s="34" t="str">
        <x:v>11076</x:v>
      </x:c>
      <x:c r="E7" s="34" t="str">
        <x:v>1994 Auburn JR-20RX</x:v>
      </x:c>
      <x:c r="F7" s="34" t="str">
        <x:v>https://bmxmuseum.com/bikes/auburn_racing/11076</x:v>
      </x:c>
      <x:c r="G7" s="34" t="str">
        <x:v>External identification discussion links exact record</x:v>
      </x:c>
      <x:c r="H7" s="34" t="str">
        <x:v>EXACT-BACKLINK</x:v>
      </x:c>
      <x:c r="I7" s="34" t="str">
        <x:v>HIGH</x:v>
      </x:c>
      <x:c r="J7" s="34" t="str">
        <x:v>Second comparison example for model variation.</x:v>
      </x:c>
      <x:c r="K7" s="34" t="str">
        <x:v>Submitted configuration must not be treated as universal factory specification.</x:v>
      </x:c>
      <x:c r="L7" s="34" t="str">
        <x:v>INDEX-ONLY</x:v>
      </x:c>
      <x:c r="M7" s="34" t="str">
        <x:v>2026-07-30</x:v>
      </x:c>
    </x:row>
    <x:row r="8" ht="74" customHeight="1">
      <x:c r="A8" s="34" t="str">
        <x:v>V04-BMXM-0004</x:v>
      </x:c>
      <x:c r="B8" s="34" t="str">
        <x:v>Auburn</x:v>
      </x:c>
      <x:c r="C8" s="34" t="str">
        <x:v>Bike record</x:v>
      </x:c>
      <x:c r="D8" s="34" t="str">
        <x:v>36235</x:v>
      </x:c>
      <x:c r="E8" s="34" t="str">
        <x:v>1994 Auburn JR-20RX</x:v>
      </x:c>
      <x:c r="F8" s="34" t="str">
        <x:v>https://bmxmuseum.com/bikes/auburn_racing/36235</x:v>
      </x:c>
      <x:c r="G8" s="34" t="str">
        <x:v>External identification discussion links exact record</x:v>
      </x:c>
      <x:c r="H8" s="34" t="str">
        <x:v>EXACT-BACKLINK</x:v>
      </x:c>
      <x:c r="I8" s="34" t="str">
        <x:v>HIGH</x:v>
      </x:c>
      <x:c r="J8" s="34" t="str">
        <x:v>Third comparison example for year/model identification.</x:v>
      </x:c>
      <x:c r="K8" s="34" t="str">
        <x:v>Submitted configuration and restoration status remain unknown.</x:v>
      </x:c>
      <x:c r="L8" s="34" t="str">
        <x:v>INDEX-ONLY</x:v>
      </x:c>
      <x:c r="M8" s="34" t="str">
        <x:v>2026-07-30</x:v>
      </x:c>
    </x:row>
    <x:row r="9" ht="74" customHeight="1">
      <x:c r="A9" s="34" t="str">
        <x:v>V04-BMXM-0005</x:v>
      </x:c>
      <x:c r="B9" s="34" t="str">
        <x:v>Auburn</x:v>
      </x:c>
      <x:c r="C9" s="34" t="str">
        <x:v>Brand gallery</x:v>
      </x:c>
      <x:c r="D9" s="34" t="str">
        <x:v>auburn_racing</x:v>
      </x:c>
      <x:c r="E9" s="34" t="str">
        <x:v>Auburn Racing gallery</x:v>
      </x:c>
      <x:c r="F9" s="34" t="str">
        <x:v>https://bmxmuseum.com/bikes/auburn_racing/</x:v>
      </x:c>
      <x:c r="G9" s="34" t="str">
        <x:v>External answer links the public brand collection</x:v>
      </x:c>
      <x:c r="H9" s="34" t="str">
        <x:v>GALLERY-ENDPOINT</x:v>
      </x:c>
      <x:c r="I9" s="34" t="str">
        <x:v>HIGH</x:v>
      </x:c>
      <x:c r="J9" s="34" t="str">
        <x:v>Brand-normalized discovery endpoint.</x:v>
      </x:c>
      <x:c r="K9" s="34" t="str">
        <x:v>Direct automated traversal was not used.</x:v>
      </x:c>
      <x:c r="L9" s="34" t="str">
        <x:v>INDEX-ONLY</x:v>
      </x:c>
      <x:c r="M9" s="34" t="str">
        <x:v>2026-07-30</x:v>
      </x:c>
    </x:row>
    <x:row r="10" ht="74" customHeight="1">
      <x:c r="A10" s="34" t="str">
        <x:v>V04-BMXM-0006</x:v>
      </x:c>
      <x:c r="B10" s="34" t="str">
        <x:v>Kastan</x:v>
      </x:c>
      <x:c r="C10" s="34" t="str">
        <x:v>Bike record</x:v>
      </x:c>
      <x:c r="D10" s="34" t="str">
        <x:v>126864</x:v>
      </x:c>
      <x:c r="E10" s="34" t="str">
        <x:v>1989 Kastan Pro-S</x:v>
      </x:c>
      <x:c r="F10" s="34" t="str">
        <x:v>https://bmxmuseum.com/bikes/kastan/126864</x:v>
      </x:c>
      <x:c r="G10" s="34" t="str">
        <x:v>Public Reddit post exposes exact BMXMuseum link</x:v>
      </x:c>
      <x:c r="H10" s="34" t="str">
        <x:v>EXACT-SOCIAL-BACKLINK</x:v>
      </x:c>
      <x:c r="I10" s="34" t="str">
        <x:v>HIGH</x:v>
      </x:c>
      <x:c r="J10" s="34" t="str">
        <x:v>Model/year lead and surviving-example index.</x:v>
      </x:c>
      <x:c r="K10" s="34" t="str">
        <x:v>Exact-bike originality, serial and specifications remain unverified.</x:v>
      </x:c>
      <x:c r="L10" s="34" t="str">
        <x:v>INDEX-ONLY</x:v>
      </x:c>
      <x:c r="M10" s="34" t="str">
        <x:v>2026-07-30</x:v>
      </x:c>
    </x:row>
    <x:row r="11" ht="74" customHeight="1">
      <x:c r="A11" s="34" t="str">
        <x:v>V04-BMXM-0007</x:v>
      </x:c>
      <x:c r="B11" s="34" t="str">
        <x:v>Kastan</x:v>
      </x:c>
      <x:c r="C11" s="34" t="str">
        <x:v>Brand gallery</x:v>
      </x:c>
      <x:c r="D11" s="34" t="str">
        <x:v>kastan</x:v>
      </x:c>
      <x:c r="E11" s="34" t="str">
        <x:v>Kastan gallery</x:v>
      </x:c>
      <x:c r="F11" s="34" t="str">
        <x:v>https://bmxmuseum.com/bikes/kastan/</x:v>
      </x:c>
      <x:c r="G11" s="34" t="str">
        <x:v>Derived from exact record path and public brand structure</x:v>
      </x:c>
      <x:c r="H11" s="34" t="str">
        <x:v>GALLERY-ENDPOINT</x:v>
      </x:c>
      <x:c r="I11" s="34" t="str">
        <x:v>MEDIUM-HIGH</x:v>
      </x:c>
      <x:c r="J11" s="34" t="str">
        <x:v>Brand-normalized discovery endpoint.</x:v>
      </x:c>
      <x:c r="K11" s="34" t="str">
        <x:v>Direct automated traversal was not used.</x:v>
      </x:c>
      <x:c r="L11" s="34" t="str">
        <x:v>INDEX-ONLY</x:v>
      </x:c>
      <x:c r="M11" s="34" t="str">
        <x:v>2026-07-30</x:v>
      </x:c>
    </x:row>
    <x:row r="12" ht="74" customHeight="1">
      <x:c r="A12" s="34" t="str">
        <x:v>V04-BMXM-0008</x:v>
      </x:c>
      <x:c r="B12" s="34" t="str">
        <x:v>JAD</x:v>
      </x:c>
      <x:c r="C12" s="34" t="str">
        <x:v>Community comparison</x:v>
      </x:c>
      <x:c r="D12" s="34" t="str">
        <x:v>ID unresolved</x:v>
      </x:c>
      <x:c r="E12" s="34" t="str">
        <x:v>JAD comparison set on BMXMuseum</x:v>
      </x:c>
      <x:c r="F12" s="34" t="str"/>
      <x:c r="G12" s="34" t="str">
        <x:v>Reddit identification discussion says multiple JAD examples were compared on BMXMuseum</x:v>
      </x:c>
      <x:c r="H12" s="34" t="str">
        <x:v>COMMUNITY-CITATION</x:v>
      </x:c>
      <x:c r="I12" s="34" t="str">
        <x:v>MEDIUM</x:v>
      </x:c>
      <x:c r="J12" s="34" t="str">
        <x:v>Confirms BMXMuseum contains JAD comparison material.</x:v>
      </x:c>
      <x:c r="K12" s="34" t="str">
        <x:v>No exact record ID or model title was exposed; comments conflict on identification.</x:v>
      </x:c>
      <x:c r="L12" s="34" t="str">
        <x:v>INDEX-ONLY</x:v>
      </x:c>
      <x:c r="M12" s="34" t="str">
        <x:v>2026-07-30</x:v>
      </x:c>
    </x:row>
    <x:row r="13" ht="74" customHeight="1">
      <x:c r="A13" s="34" t="str">
        <x:v>V04-BMXM-0009</x:v>
      </x:c>
      <x:c r="B13" s="34" t="str">
        <x:v>Boss</x:v>
      </x:c>
      <x:c r="C13" s="34" t="str">
        <x:v>Community model lead</x:v>
      </x:c>
      <x:c r="D13" s="34" t="str">
        <x:v>ID unresolved</x:v>
      </x:c>
      <x:c r="E13" s="34" t="str">
        <x:v>Boss Bad Boy</x:v>
      </x:c>
      <x:c r="F13" s="34" t="str"/>
      <x:c r="G13" s="34" t="str">
        <x:v>Public collector discussion names remembered Boss model</x:v>
      </x:c>
      <x:c r="H13" s="34" t="str">
        <x:v>COMMUNITY-LEAD</x:v>
      </x:c>
      <x:c r="I13" s="34" t="str">
        <x:v>LOW-MEDIUM</x:v>
      </x:c>
      <x:c r="J13" s="34" t="str">
        <x:v>Model vocabulary for targeted search.</x:v>
      </x:c>
      <x:c r="K13" s="34" t="str">
        <x:v>Memory-based and not a BMXMuseum object citation.</x:v>
      </x:c>
      <x:c r="L13" s="34" t="str">
        <x:v>INDEX-ONLY</x:v>
      </x:c>
      <x:c r="M13" s="34" t="str">
        <x:v>2026-07-30</x:v>
      </x:c>
    </x:row>
    <x:row r="14" ht="74" customHeight="1">
      <x:c r="A14" s="34" t="str">
        <x:v>V04-BMXM-0010</x:v>
      </x:c>
      <x:c r="B14" s="34" t="str">
        <x:v>Boss</x:v>
      </x:c>
      <x:c r="C14" s="34" t="str">
        <x:v>Community model lead</x:v>
      </x:c>
      <x:c r="D14" s="34" t="str">
        <x:v>ID unresolved</x:v>
      </x:c>
      <x:c r="E14" s="34" t="str">
        <x:v>Boss Curb Dogg / Butthead / Latdog</x:v>
      </x:c>
      <x:c r="F14" s="34" t="str"/>
      <x:c r="G14" s="34" t="str">
        <x:v>Public Livermore-area collector discussion</x:v>
      </x:c>
      <x:c r="H14" s="34" t="str">
        <x:v>COMMUNITY-LEAD</x:v>
      </x:c>
      <x:c r="I14" s="34" t="str">
        <x:v>LOW-MEDIUM</x:v>
      </x:c>
      <x:c r="J14" s="34" t="str">
        <x:v>Alias and model vocabulary.</x:v>
      </x:c>
      <x:c r="K14" s="34" t="str">
        <x:v>Names and rarity claims require catalogs or company evidence.</x:v>
      </x:c>
      <x:c r="L14" s="34" t="str">
        <x:v>INDEX-ONLY</x:v>
      </x:c>
      <x:c r="M14" s="34" t="str">
        <x:v>2026-07-30</x:v>
      </x:c>
    </x:row>
    <x:row r="15" ht="74" customHeight="1">
      <x:c r="A15" s="34" t="str">
        <x:v>V04-BMXM-0011</x:v>
      </x:c>
      <x:c r="B15" s="34" t="str">
        <x:v>ELF</x:v>
      </x:c>
      <x:c r="C15" s="34" t="str">
        <x:v>Brand gallery</x:v>
      </x:c>
      <x:c r="D15" s="34" t="str">
        <x:v>elf</x:v>
      </x:c>
      <x:c r="E15" s="34" t="str">
        <x:v>ELF gallery</x:v>
      </x:c>
      <x:c r="F15" s="34" t="str">
        <x:v>https://bmxmuseum.com/bikes/elf/</x:v>
      </x:c>
      <x:c r="G15" s="34" t="str">
        <x:v>External enthusiast page links BMXMuseum ELF collection</x:v>
      </x:c>
      <x:c r="H15" s="34" t="str">
        <x:v>GALLERY-ENDPOINT</x:v>
      </x:c>
      <x:c r="I15" s="34" t="str">
        <x:v>MEDIUM-HIGH</x:v>
      </x:c>
      <x:c r="J15" s="34" t="str">
        <x:v>Brand discovery endpoint.</x:v>
      </x:c>
      <x:c r="K15" s="34" t="str">
        <x:v>Direct automated traversal was not used.</x:v>
      </x:c>
      <x:c r="L15" s="34" t="str">
        <x:v>INDEX-ONLY</x:v>
      </x:c>
      <x:c r="M15" s="34" t="str">
        <x:v>2026-07-30</x:v>
      </x:c>
    </x:row>
    <x:row r="16" ht="74" customHeight="1">
      <x:c r="A16" s="34" t="str">
        <x:v>V04-BMXM-0012</x:v>
      </x:c>
      <x:c r="B16" s="34" t="str">
        <x:v>ELF</x:v>
      </x:c>
      <x:c r="C16" s="34" t="str">
        <x:v>Title-only lead</x:v>
      </x:c>
      <x:c r="D16" s="34" t="str">
        <x:v>ID unresolved</x:v>
      </x:c>
      <x:c r="E16" s="34" t="str">
        <x:v>1983 ELF Pro</x:v>
      </x:c>
      <x:c r="F16" s="34" t="str"/>
      <x:c r="G16" s="34" t="str">
        <x:v>Public search indexing of BMXMuseum-derived titles</x:v>
      </x:c>
      <x:c r="H16" s="34" t="str">
        <x:v>TITLE-ONLY</x:v>
      </x:c>
      <x:c r="I16" s="34" t="str">
        <x:v>LOW-MEDIUM</x:v>
      </x:c>
      <x:c r="J16" s="34" t="str">
        <x:v>Model/year lead.</x:v>
      </x:c>
      <x:c r="K16" s="34" t="str">
        <x:v>Exact record ID and submitted-bike status unresolved.</x:v>
      </x:c>
      <x:c r="L16" s="34" t="str">
        <x:v>INDEX-ONLY</x:v>
      </x:c>
      <x:c r="M16" s="34" t="str">
        <x:v>2026-07-30</x:v>
      </x:c>
    </x:row>
    <x:row r="17" ht="74" customHeight="1">
      <x:c r="A17" s="34" t="str">
        <x:v>V04-BMXM-0013</x:v>
      </x:c>
      <x:c r="B17" s="34" t="str">
        <x:v>ELF</x:v>
      </x:c>
      <x:c r="C17" s="34" t="str">
        <x:v>Title-only lead</x:v>
      </x:c>
      <x:c r="D17" s="34" t="str">
        <x:v>ID unresolved</x:v>
      </x:c>
      <x:c r="E17" s="34" t="str">
        <x:v>1985 ELF Styler</x:v>
      </x:c>
      <x:c r="F17" s="34" t="str"/>
      <x:c r="G17" s="34" t="str">
        <x:v>Public search indexing of BMXMuseum-derived titles</x:v>
      </x:c>
      <x:c r="H17" s="34" t="str">
        <x:v>TITLE-ONLY</x:v>
      </x:c>
      <x:c r="I17" s="34" t="str">
        <x:v>LOW-MEDIUM</x:v>
      </x:c>
      <x:c r="J17" s="34" t="str">
        <x:v>Freestyle/model chronology lead.</x:v>
      </x:c>
      <x:c r="K17" s="34" t="str">
        <x:v>Exact record ID unresolved.</x:v>
      </x:c>
      <x:c r="L17" s="34" t="str">
        <x:v>INDEX-ONLY</x:v>
      </x:c>
      <x:c r="M17" s="34" t="str">
        <x:v>2026-07-30</x:v>
      </x:c>
    </x:row>
    <x:row r="18" ht="74" customHeight="1">
      <x:c r="A18" s="34" t="str">
        <x:v>V04-BMXM-0014</x:v>
      </x:c>
      <x:c r="B18" s="34" t="str">
        <x:v>ELF</x:v>
      </x:c>
      <x:c r="C18" s="34" t="str">
        <x:v>Title-only lead</x:v>
      </x:c>
      <x:c r="D18" s="34" t="str">
        <x:v>ID unresolved</x:v>
      </x:c>
      <x:c r="E18" s="34" t="str">
        <x:v>1985 ELF Pro Cruiser 24</x:v>
      </x:c>
      <x:c r="F18" s="34" t="str"/>
      <x:c r="G18" s="34" t="str">
        <x:v>Public search indexing of BMXMuseum-derived titles</x:v>
      </x:c>
      <x:c r="H18" s="34" t="str">
        <x:v>TITLE-ONLY</x:v>
      </x:c>
      <x:c r="I18" s="34" t="str">
        <x:v>LOW-MEDIUM</x:v>
      </x:c>
      <x:c r="J18" s="34" t="str">
        <x:v>Cruiser chronology lead.</x:v>
      </x:c>
      <x:c r="K18" s="34" t="str">
        <x:v>Exact record ID unresolved.</x:v>
      </x:c>
      <x:c r="L18" s="34" t="str">
        <x:v>INDEX-ONLY</x:v>
      </x:c>
      <x:c r="M18" s="34" t="str">
        <x:v>2026-07-30</x:v>
      </x:c>
    </x:row>
    <x:row r="19" ht="74" customHeight="1">
      <x:c r="A19" s="34" t="str">
        <x:v>V04-BMXM-0015</x:v>
      </x:c>
      <x:c r="B19" s="34" t="str">
        <x:v>ELF</x:v>
      </x:c>
      <x:c r="C19" s="34" t="str">
        <x:v>Title-only lead</x:v>
      </x:c>
      <x:c r="D19" s="34" t="str">
        <x:v>ID unresolved</x:v>
      </x:c>
      <x:c r="E19" s="34" t="str">
        <x:v>1986 ELF Mini</x:v>
      </x:c>
      <x:c r="F19" s="34" t="str"/>
      <x:c r="G19" s="34" t="str">
        <x:v>Public search indexing of BMXMuseum-derived titles</x:v>
      </x:c>
      <x:c r="H19" s="34" t="str">
        <x:v>TITLE-ONLY</x:v>
      </x:c>
      <x:c r="I19" s="34" t="str">
        <x:v>LOW-MEDIUM</x:v>
      </x:c>
      <x:c r="J19" s="34" t="str">
        <x:v>Mini model lead.</x:v>
      </x:c>
      <x:c r="K19" s="34" t="str">
        <x:v>Exact record ID unresolved.</x:v>
      </x:c>
      <x:c r="L19" s="34" t="str">
        <x:v>INDEX-ONLY</x:v>
      </x:c>
      <x:c r="M19" s="34" t="str">
        <x:v>2026-07-30</x:v>
      </x:c>
    </x:row>
    <x:row r="20" ht="74" customHeight="1">
      <x:c r="A20" s="34" t="str">
        <x:v>V04-BMXM-0016</x:v>
      </x:c>
      <x:c r="B20" s="34" t="str">
        <x:v>ELF</x:v>
      </x:c>
      <x:c r="C20" s="34" t="str">
        <x:v>Title-only lead</x:v>
      </x:c>
      <x:c r="D20" s="34" t="str">
        <x:v>ID unresolved</x:v>
      </x:c>
      <x:c r="E20" s="34" t="str">
        <x:v>1987 ELF Pro</x:v>
      </x:c>
      <x:c r="F20" s="34" t="str"/>
      <x:c r="G20" s="34" t="str">
        <x:v>Public search indexing of BMXMuseum-derived titles</x:v>
      </x:c>
      <x:c r="H20" s="34" t="str">
        <x:v>TITLE-ONLY</x:v>
      </x:c>
      <x:c r="I20" s="34" t="str">
        <x:v>LOW-MEDIUM</x:v>
      </x:c>
      <x:c r="J20" s="34" t="str">
        <x:v>Model chronology lead.</x:v>
      </x:c>
      <x:c r="K20" s="34" t="str">
        <x:v>Exact record ID unresolved.</x:v>
      </x:c>
      <x:c r="L20" s="34" t="str">
        <x:v>INDEX-ONLY</x:v>
      </x:c>
      <x:c r="M20" s="34" t="str">
        <x:v>2026-07-30</x:v>
      </x:c>
    </x:row>
    <x:row r="21" ht="74" customHeight="1">
      <x:c r="A21" s="34" t="str">
        <x:v>V04-BMXM-0017</x:v>
      </x:c>
      <x:c r="B21" s="34" t="str">
        <x:v>ELF</x:v>
      </x:c>
      <x:c r="C21" s="34" t="str">
        <x:v>Title-only lead</x:v>
      </x:c>
      <x:c r="D21" s="34" t="str">
        <x:v>ID unresolved</x:v>
      </x:c>
      <x:c r="E21" s="34" t="str">
        <x:v>1987 ELF Pro XL</x:v>
      </x:c>
      <x:c r="F21" s="34" t="str"/>
      <x:c r="G21" s="34" t="str">
        <x:v>Public search indexing of BMXMuseum-derived titles</x:v>
      </x:c>
      <x:c r="H21" s="34" t="str">
        <x:v>TITLE-ONLY</x:v>
      </x:c>
      <x:c r="I21" s="34" t="str">
        <x:v>LOW-MEDIUM</x:v>
      </x:c>
      <x:c r="J21" s="34" t="str">
        <x:v>Model/size chronology lead.</x:v>
      </x:c>
      <x:c r="K21" s="34" t="str">
        <x:v>Exact record ID unresolved.</x:v>
      </x:c>
      <x:c r="L21" s="34" t="str">
        <x:v>INDEX-ONLY</x:v>
      </x:c>
      <x:c r="M21" s="34" t="str">
        <x:v>2026-07-30</x:v>
      </x:c>
    </x:row>
    <x:row r="22" ht="74" customHeight="1">
      <x:c r="A22" s="34" t="str">
        <x:v>V04-BMXM-0018</x:v>
      </x:c>
      <x:c r="B22" s="34" t="str">
        <x:v>ELF</x:v>
      </x:c>
      <x:c r="C22" s="34" t="str">
        <x:v>Title-only lead</x:v>
      </x:c>
      <x:c r="D22" s="34" t="str">
        <x:v>ID unresolved</x:v>
      </x:c>
      <x:c r="E22" s="34" t="str">
        <x:v>1987 ELF 24</x:v>
      </x:c>
      <x:c r="F22" s="34" t="str"/>
      <x:c r="G22" s="34" t="str">
        <x:v>Public search indexing of BMXMuseum-derived titles</x:v>
      </x:c>
      <x:c r="H22" s="34" t="str">
        <x:v>TITLE-ONLY</x:v>
      </x:c>
      <x:c r="I22" s="34" t="str">
        <x:v>LOW-MEDIUM</x:v>
      </x:c>
      <x:c r="J22" s="34" t="str">
        <x:v>Cruiser chronology lead.</x:v>
      </x:c>
      <x:c r="K22" s="34" t="str">
        <x:v>Exact record ID unresolved.</x:v>
      </x:c>
      <x:c r="L22" s="34" t="str">
        <x:v>INDEX-ONLY</x:v>
      </x:c>
      <x:c r="M22" s="34" t="str">
        <x:v>2026-07-30</x:v>
      </x:c>
    </x:row>
    <x:row r="23" ht="74" customHeight="1">
      <x:c r="A23" s="34" t="str">
        <x:v>V04-BMXM-0019</x:v>
      </x:c>
      <x:c r="B23" s="34" t="str">
        <x:v>ELF</x:v>
      </x:c>
      <x:c r="C23" s="34" t="str">
        <x:v>Title-only lead</x:v>
      </x:c>
      <x:c r="D23" s="34" t="str">
        <x:v>ID unresolved</x:v>
      </x:c>
      <x:c r="E23" s="34" t="str">
        <x:v>1988 ELF Pro Cruiser 24</x:v>
      </x:c>
      <x:c r="F23" s="34" t="str"/>
      <x:c r="G23" s="34" t="str">
        <x:v>Public search indexing of BMXMuseum-derived titles</x:v>
      </x:c>
      <x:c r="H23" s="34" t="str">
        <x:v>TITLE-ONLY</x:v>
      </x:c>
      <x:c r="I23" s="34" t="str">
        <x:v>LOW-MEDIUM</x:v>
      </x:c>
      <x:c r="J23" s="34" t="str">
        <x:v>Cruiser chronology lead.</x:v>
      </x:c>
      <x:c r="K23" s="34" t="str">
        <x:v>Exact record ID unresolved.</x:v>
      </x:c>
      <x:c r="L23" s="34" t="str">
        <x:v>INDEX-ONLY</x:v>
      </x:c>
      <x:c r="M23" s="34" t="str">
        <x:v>2026-07-30</x:v>
      </x:c>
    </x:row>
    <x:row r="24" ht="74" customHeight="1">
      <x:c r="A24" s="34" t="str">
        <x:v>V04-BMXM-0020</x:v>
      </x:c>
      <x:c r="B24" s="34" t="str">
        <x:v>ELF</x:v>
      </x:c>
      <x:c r="C24" s="34" t="str">
        <x:v>Title-only lead</x:v>
      </x:c>
      <x:c r="D24" s="34" t="str">
        <x:v>ID unresolved</x:v>
      </x:c>
      <x:c r="E24" s="34" t="str">
        <x:v>1989 ELF 24</x:v>
      </x:c>
      <x:c r="F24" s="34" t="str"/>
      <x:c r="G24" s="34" t="str">
        <x:v>Public search indexing of BMXMuseum-derived titles</x:v>
      </x:c>
      <x:c r="H24" s="34" t="str">
        <x:v>TITLE-ONLY</x:v>
      </x:c>
      <x:c r="I24" s="34" t="str">
        <x:v>LOW-MEDIUM</x:v>
      </x:c>
      <x:c r="J24" s="34" t="str">
        <x:v>Cruiser chronology lead.</x:v>
      </x:c>
      <x:c r="K24" s="34" t="str">
        <x:v>Exact record ID unresolved.</x:v>
      </x:c>
      <x:c r="L24" s="34" t="str">
        <x:v>INDEX-ONLY</x:v>
      </x:c>
      <x:c r="M24" s="34" t="str">
        <x:v>2026-07-30</x:v>
      </x:c>
    </x:row>
    <x:row r="25" ht="74" customHeight="1">
      <x:c r="A25" s="34" t="str">
        <x:v>V04-BMXM-0021</x:v>
      </x:c>
      <x:c r="B25" s="34" t="str">
        <x:v>ELF</x:v>
      </x:c>
      <x:c r="C25" s="34" t="str">
        <x:v>Title-only lead</x:v>
      </x:c>
      <x:c r="D25" s="34" t="str">
        <x:v>ID unresolved</x:v>
      </x:c>
      <x:c r="E25" s="34" t="str">
        <x:v>1991 ELF Doublecross</x:v>
      </x:c>
      <x:c r="F25" s="34" t="str"/>
      <x:c r="G25" s="34" t="str">
        <x:v>Public search indexing; model independently supported by ELF</x:v>
      </x:c>
      <x:c r="H25" s="34" t="str">
        <x:v>TITLE-ONLY + FIRST-PARTY-CONTEXT</x:v>
      </x:c>
      <x:c r="I25" s="34" t="str">
        <x:v>MEDIUM</x:v>
      </x:c>
      <x:c r="J25" s="34" t="str">
        <x:v>Connects title lead with first-party model history.</x:v>
      </x:c>
      <x:c r="K25" s="34" t="str">
        <x:v>Exact record ID unresolved; submitted bike not authenticated.</x:v>
      </x:c>
      <x:c r="L25" s="34" t="str">
        <x:v>INDEX-ONLY</x:v>
      </x:c>
      <x:c r="M25" s="34" t="str">
        <x:v>2026-07-30</x:v>
      </x:c>
    </x:row>
    <x:row r="26" ht="74" customHeight="1">
      <x:c r="A26" s="34" t="str">
        <x:v>V04-BMXM-0022</x:v>
      </x:c>
      <x:c r="B26" s="34" t="str">
        <x:v>ELF</x:v>
      </x:c>
      <x:c r="C26" s="34" t="str">
        <x:v>Title-only lead</x:v>
      </x:c>
      <x:c r="D26" s="34" t="str">
        <x:v>ID unresolved</x:v>
      </x:c>
      <x:c r="E26" s="34" t="str">
        <x:v>1992 ELF Doublecross 24 / Cruiser</x:v>
      </x:c>
      <x:c r="F26" s="34" t="str"/>
      <x:c r="G26" s="34" t="str">
        <x:v>Public search indexing of BMXMuseum-derived titles</x:v>
      </x:c>
      <x:c r="H26" s="34" t="str">
        <x:v>TITLE-ONLY</x:v>
      </x:c>
      <x:c r="I26" s="34" t="str">
        <x:v>LOW-MEDIUM</x:v>
      </x:c>
      <x:c r="J26" s="34" t="str">
        <x:v>Doublecross cruiser lead.</x:v>
      </x:c>
      <x:c r="K26" s="34" t="str">
        <x:v>Exact record ID unresolved.</x:v>
      </x:c>
      <x:c r="L26" s="34" t="str">
        <x:v>INDEX-ONLY</x:v>
      </x:c>
      <x:c r="M26" s="34" t="str">
        <x:v>2026-07-30</x:v>
      </x:c>
    </x:row>
    <x:row r="27" ht="74" customHeight="1">
      <x:c r="A27" s="34" t="str">
        <x:v>V04-BMXM-0023</x:v>
      </x:c>
      <x:c r="B27" s="34" t="str">
        <x:v>ELF</x:v>
      </x:c>
      <x:c r="C27" s="34" t="str">
        <x:v>Title-only lead</x:v>
      </x:c>
      <x:c r="D27" s="34" t="str">
        <x:v>ID unresolved</x:v>
      </x:c>
      <x:c r="E27" s="34" t="str">
        <x:v>1994 ELF Pro</x:v>
      </x:c>
      <x:c r="F27" s="34" t="str"/>
      <x:c r="G27" s="34" t="str">
        <x:v>Public search indexing of BMXMuseum-derived titles</x:v>
      </x:c>
      <x:c r="H27" s="34" t="str">
        <x:v>TITLE-ONLY</x:v>
      </x:c>
      <x:c r="I27" s="34" t="str">
        <x:v>LOW-MEDIUM</x:v>
      </x:c>
      <x:c r="J27" s="34" t="str">
        <x:v>Later model chronology lead.</x:v>
      </x:c>
      <x:c r="K27" s="34" t="str">
        <x:v>Exact record ID unresolved.</x:v>
      </x:c>
      <x:c r="L27" s="34" t="str">
        <x:v>INDEX-ONLY</x:v>
      </x:c>
      <x:c r="M27" s="34" t="str">
        <x:v>2026-07-30</x:v>
      </x:c>
    </x:row>
    <x:row r="28" ht="74" customHeight="1">
      <x:c r="A28" s="34" t="str">
        <x:v>V04-BMXM-0024</x:v>
      </x:c>
      <x:c r="B28" s="34" t="str">
        <x:v>Kastan</x:v>
      </x:c>
      <x:c r="C28" s="34" t="str">
        <x:v>Title-only lead</x:v>
      </x:c>
      <x:c r="D28" s="34" t="str">
        <x:v>ID unresolved</x:v>
      </x:c>
      <x:c r="E28" s="34" t="str">
        <x:v>1989 Kastan KEX Pro</x:v>
      </x:c>
      <x:c r="F28" s="34" t="str"/>
      <x:c r="G28" s="34" t="str">
        <x:v>Public indexed title</x:v>
      </x:c>
      <x:c r="H28" s="34" t="str">
        <x:v>TITLE-ONLY</x:v>
      </x:c>
      <x:c r="I28" s="34" t="str">
        <x:v>LOW-MEDIUM</x:v>
      </x:c>
      <x:c r="J28" s="34" t="str">
        <x:v>KEX/model chronology lead.</x:v>
      </x:c>
      <x:c r="K28" s="34" t="str">
        <x:v>Exact record ID unresolved.</x:v>
      </x:c>
      <x:c r="L28" s="34" t="str">
        <x:v>INDEX-ONLY</x:v>
      </x:c>
      <x:c r="M28" s="34" t="str">
        <x:v>2026-07-30</x:v>
      </x:c>
    </x:row>
    <x:row r="29" ht="74" customHeight="1">
      <x:c r="A29" s="34" t="str">
        <x:v>V04-BMXM-0025</x:v>
      </x:c>
      <x:c r="B29" s="34" t="str">
        <x:v>Kastan</x:v>
      </x:c>
      <x:c r="C29" s="34" t="str">
        <x:v>Title-only lead</x:v>
      </x:c>
      <x:c r="D29" s="34" t="str">
        <x:v>ID unresolved</x:v>
      </x:c>
      <x:c r="E29" s="34" t="str">
        <x:v>1991 Kastan KEX Pro 24</x:v>
      </x:c>
      <x:c r="F29" s="34" t="str"/>
      <x:c r="G29" s="34" t="str">
        <x:v>Public indexed title</x:v>
      </x:c>
      <x:c r="H29" s="34" t="str">
        <x:v>TITLE-ONLY</x:v>
      </x:c>
      <x:c r="I29" s="34" t="str">
        <x:v>LOW-MEDIUM</x:v>
      </x:c>
      <x:c r="J29" s="34" t="str">
        <x:v>KEX cruiser chronology lead.</x:v>
      </x:c>
      <x:c r="K29" s="34" t="str">
        <x:v>Exact record ID unresolved.</x:v>
      </x:c>
      <x:c r="L29" s="34" t="str">
        <x:v>INDEX-ONLY</x:v>
      </x:c>
      <x:c r="M29" s="34" t="str">
        <x:v>2026-07-30</x:v>
      </x:c>
    </x:row>
  </x:sheetData>
  <x:mergeCells>
    <x:mergeCell ref="A1:M1"/>
    <x:mergeCell ref="A2:M2"/>
  </x:mergeCells>
  <x:pageMargins left="0.7" right="0.7" top="0.75" bottom="0.75" header="0.3" footer="0.3"/>
  <x:tableParts count="1">
    <x:tablePart xmlns:r="http://schemas.openxmlformats.org/officeDocument/2006/relationships" r:id="R8bd5a179daf14042"/>
  </x:tableParts>
</x:worksheet>
</file>

<file path=xl/worksheets/sheet23.xml><?xml version="1.0" encoding="utf-8"?>
<x:worksheet xmlns:x="http://schemas.openxmlformats.org/spreadsheetml/2006/main">
  <x:sheetFormatPr defaultRowHeight="15"/>
  <x:cols>
    <x:col min="1" max="1" width="16" hidden="0" customWidth="1"/>
    <x:col min="2" max="2" width="20" hidden="0" customWidth="1"/>
    <x:col min="3" max="3" width="55" hidden="0" customWidth="1"/>
    <x:col min="4" max="4" width="20" hidden="0" customWidth="1"/>
    <x:col min="5" max="5" width="28" hidden="0" customWidth="1"/>
    <x:col min="6" max="6" width="16" hidden="0" customWidth="1"/>
    <x:col min="7" max="7" width="24" hidden="0" customWidth="1"/>
    <x:col min="8" max="8" width="48" hidden="0" customWidth="1"/>
    <x:col min="9" max="9" width="48" hidden="0" customWidth="1"/>
    <x:col min="10" max="10" width="55" hidden="0" customWidth="1"/>
    <x:col min="11" max="11" width="48" hidden="0" customWidth="1"/>
  </x:cols>
  <x:sheetData>
    <x:row r="1" ht="30" customHeight="1">
      <x:c r="A1" s="182" t="str">
        <x:v>v0.4 Verification and Claims Ledger</x:v>
      </x:c>
      <x:c r="B1" s="182"/>
      <x:c r="C1" s="182"/>
      <x:c r="D1" s="182"/>
      <x:c r="E1" s="182"/>
      <x:c r="F1" s="182"/>
      <x:c r="G1" s="182"/>
      <x:c r="H1" s="182"/>
      <x:c r="I1" s="182"/>
      <x:c r="J1" s="182"/>
      <x:c r="K1" s="182"/>
    </x:row>
    <x:row r="2" ht="30" customHeight="1">
      <x:c r="A2" s="186" t="str">
        <x:v>Evidence levels: V1 discovery lead; V2 attributed/community or archive claim; V3 period/exact public object evidence; V4 official, first-party or named first-person evidence; V5 multiple independent authoritative sources.</x:v>
      </x:c>
      <x:c r="B2" s="186"/>
      <x:c r="C2" s="186"/>
      <x:c r="D2" s="186"/>
      <x:c r="E2" s="186"/>
      <x:c r="F2" s="186"/>
      <x:c r="G2" s="186"/>
      <x:c r="H2" s="186"/>
      <x:c r="I2" s="186"/>
      <x:c r="J2" s="186"/>
      <x:c r="K2" s="186"/>
    </x:row>
    <x:row r="4">
      <x:c r="A4" s="191" t="str">
        <x:v>Finding ID</x:v>
      </x:c>
      <x:c r="B4" s="191" t="str">
        <x:v>Cluster</x:v>
      </x:c>
      <x:c r="C4" s="191" t="str">
        <x:v>Claim / Finding</x:v>
      </x:c>
      <x:c r="D4" s="191" t="str">
        <x:v>Date / Period</x:v>
      </x:c>
      <x:c r="E4" s="191" t="str">
        <x:v>Source Class</x:v>
      </x:c>
      <x:c r="F4" s="191" t="str">
        <x:v>Evidence Level</x:v>
      </x:c>
      <x:c r="G4" s="191" t="str">
        <x:v>Status</x:v>
      </x:c>
      <x:c r="H4" s="191" t="str">
        <x:v>Primary URL</x:v>
      </x:c>
      <x:c r="I4" s="191" t="str">
        <x:v>Corroborating URL</x:v>
      </x:c>
      <x:c r="J4" s="191" t="str">
        <x:v>Qualification / Safety Note</x:v>
      </x:c>
      <x:c r="K4" s="191" t="str">
        <x:v>Next Verification Action</x:v>
      </x:c>
    </x:row>
    <x:row r="5" ht="74" customHeight="1">
      <x:c r="A5" s="34" t="str">
        <x:v>V04-F-0001</x:v>
      </x:c>
      <x:c r="B5" s="34" t="str">
        <x:v>Radical Rick</x:v>
      </x:c>
      <x:c r="C5" s="34" t="str">
        <x:v>Damian Fulton created Radical Rick and MX Mug in November 1979; the first strip appeared in the January 1980 issue of BMX Plus! and the run continued through 1993.</x:v>
      </x:c>
      <x:c r="D5" s="34" t="str">
        <x:v>1979–1993</x:v>
      </x:c>
      <x:c r="E5" s="34" t="str">
        <x:v>Rights-holder first-party</x:v>
      </x:c>
      <x:c r="F5" s="192" t="str">
        <x:v>V4</x:v>
      </x:c>
      <x:c r="G5" s="34" t="str">
        <x:v>VERIFIED AT SUMMARY LEVEL</x:v>
      </x:c>
      <x:c r="H5" s="34" t="str">
        <x:v>https://radicalrickbmx.com/pages/about-radical-rick</x:v>
      </x:c>
      <x:c r="I5" s="34" t="str"/>
      <x:c r="J5" s="34" t="str">
        <x:v>Official creator/rights-holder history; exact issue-by-issue chronology still belongs in a publication ledger.</x:v>
      </x:c>
      <x:c r="K5" s="34" t="str">
        <x:v>Build issue and episode index without reproducing comic pages.</x:v>
      </x:c>
    </x:row>
    <x:row r="6" ht="74" customHeight="1">
      <x:c r="A6" s="34" t="str">
        <x:v>V04-F-0002</x:v>
      </x:c>
      <x:c r="B6" s="34" t="str">
        <x:v>Radical Rick</x:v>
      </x:c>
      <x:c r="C6" s="34" t="str">
        <x:v>The official site describes at least 150 episodes over 13 years, followed by reruns in the 2000s.</x:v>
      </x:c>
      <x:c r="D6" s="34" t="str">
        <x:v>1979–2000s</x:v>
      </x:c>
      <x:c r="E6" s="34" t="str">
        <x:v>Rights-holder first-person</x:v>
      </x:c>
      <x:c r="F6" s="192" t="str">
        <x:v>V4</x:v>
      </x:c>
      <x:c r="G6" s="34" t="str">
        <x:v>VERIFIED</x:v>
      </x:c>
      <x:c r="H6" s="34" t="str">
        <x:v>https://radicalrickbmx.com/pages/the-book</x:v>
      </x:c>
      <x:c r="I6" s="34" t="str"/>
      <x:c r="J6" s="34" t="str">
        <x:v>Use 'at least 150' rather than a fixed count until issue-level reconciliation is complete.</x:v>
      </x:c>
      <x:c r="K6" s="34" t="str">
        <x:v>Reconcile 150+ versus 153 references through a complete issue audit.</x:v>
      </x:c>
    </x:row>
    <x:row r="7" ht="74" customHeight="1">
      <x:c r="A7" s="34" t="str">
        <x:v>V04-F-0003</x:v>
      </x:c>
      <x:c r="B7" s="34" t="str">
        <x:v>Radical Rick</x:v>
      </x:c>
      <x:c r="C7" s="34" t="str">
        <x:v>Haro released a 2023 Radical Rick big-bike line in 24, 26 and 29-inch sizes with Damian Fulton graphics.</x:v>
      </x:c>
      <x:c r="D7" s="34" t="str">
        <x:v>2023</x:v>
      </x:c>
      <x:c r="E7" s="34" t="str">
        <x:v>Manufacturer archive</x:v>
      </x:c>
      <x:c r="F7" s="192" t="str">
        <x:v>V4</x:v>
      </x:c>
      <x:c r="G7" s="34" t="str">
        <x:v>VERIFIED</x:v>
      </x:c>
      <x:c r="H7" s="34" t="str">
        <x:v>https://archive.harobikes.com/bmx/2023-freestyle/radical-rick-24-2023</x:v>
      </x:c>
      <x:c r="I7" s="34" t="str"/>
      <x:c r="J7" s="34" t="str">
        <x:v>Manufacturer specifications apply to the 2023 line, not vintage comics or unrelated custom builds.</x:v>
      </x:c>
      <x:c r="K7" s="34" t="str">
        <x:v>Add each wheel-size model as a separate product object.</x:v>
      </x:c>
    </x:row>
    <x:row r="8" ht="74" customHeight="1">
      <x:c r="A8" s="34" t="str">
        <x:v>V04-F-0004</x:v>
      </x:c>
      <x:c r="B8" s="34" t="str">
        <x:v>Radical Rick</x:v>
      </x:c>
      <x:c r="C8" s="34" t="str">
        <x:v>Supercross and Damian Fulton produced a gold Radical Rick bobblehead limited to 45 signed and numbered units.</x:v>
      </x:c>
      <x:c r="D8" s="34" t="str">
        <x:v>45th-anniversary release</x:v>
      </x:c>
      <x:c r="E8" s="34" t="str">
        <x:v>First-party commercial source</x:v>
      </x:c>
      <x:c r="F8" s="192" t="str">
        <x:v>V4</x:v>
      </x:c>
      <x:c r="G8" s="34" t="str">
        <x:v>VERIFIED AS RELEASE CLAIM</x:v>
      </x:c>
      <x:c r="H8" s="34" t="str">
        <x:v>https://www.supercrossbmx.com/collections/bobbleheads/products/supercross-bmx-radical-rick-bmx-bobble-head</x:v>
      </x:c>
      <x:c r="I8" s="34" t="str"/>
      <x:c r="J8" s="34" t="str">
        <x:v>Limited-edition count is a manufacturer/creator claim; Lititz artifact number and unit number remain separate fields.</x:v>
      </x:c>
      <x:c r="K8" s="34" t="str">
        <x:v>Capture release date and Lititz unit number.</x:v>
      </x:c>
    </x:row>
    <x:row r="9" ht="74" customHeight="1">
      <x:c r="A9" s="34" t="str">
        <x:v>V04-F-0005</x:v>
      </x:c>
      <x:c r="B9" s="34" t="str">
        <x:v>Radical Rick</x:v>
      </x:c>
      <x:c r="C9" s="34" t="str">
        <x:v>No exact BMXMuseum Radical Rick object ID was recovered through public indexing in this scan.</x:v>
      </x:c>
      <x:c r="D9" s="34" t="str">
        <x:v>2026-07-30</x:v>
      </x:c>
      <x:c r="E9" s="34" t="str">
        <x:v>Method finding</x:v>
      </x:c>
      <x:c r="F9" s="192" t="str">
        <x:v>V1</x:v>
      </x:c>
      <x:c r="G9" s="34" t="str">
        <x:v>OPEN</x:v>
      </x:c>
      <x:c r="H9" s="34" t="str"/>
      <x:c r="I9" s="34" t="str"/>
      <x:c r="J9" s="34" t="str">
        <x:v>Absence from public backlinks is not proof of absence on BMXMuseum.</x:v>
      </x:c>
      <x:c r="K9" s="34" t="str">
        <x:v>Search references by Damian Fulton, BMX Plus!, Haro Radical Rick and Supercross.</x:v>
      </x:c>
    </x:row>
    <x:row r="10" ht="74" customHeight="1">
      <x:c r="A10" s="34" t="str">
        <x:v>V04-F-0006</x:v>
      </x:c>
      <x:c r="B10" s="34" t="str">
        <x:v>Team USA</x:v>
      </x:c>
      <x:c r="C10" s="34" t="str">
        <x:v>USA BMX stated the 2022 Worlds jersey directly honored JMC Racing and Darrell Young.</x:v>
      </x:c>
      <x:c r="D10" s="34" t="str">
        <x:v>2022</x:v>
      </x:c>
      <x:c r="E10" s="34" t="str">
        <x:v>Official sanctioning body</x:v>
      </x:c>
      <x:c r="F10" s="192" t="str">
        <x:v>V4</x:v>
      </x:c>
      <x:c r="G10" s="34" t="str">
        <x:v>VERIFIED</x:v>
      </x:c>
      <x:c r="H10" s="34" t="str">
        <x:v>https://www.usabmx.com/news-and-media/6/2022-05-02/2022-TEAM-USA-Worlds-Jerseys-revealed?id=1951</x:v>
      </x:c>
      <x:c r="I10" s="34" t="str"/>
      <x:c r="J10" s="34" t="str">
        <x:v>The design relationship is official; ownership and wear history of the Lititz jersey remain artifact-specific.</x:v>
      </x:c>
      <x:c r="K10" s="34" t="str">
        <x:v>Document signature, size, manufacturer and chain of custody for artifact 26.0024.</x:v>
      </x:c>
    </x:row>
    <x:row r="11" ht="74" customHeight="1">
      <x:c r="A11" s="34" t="str">
        <x:v>V04-F-0007</x:v>
      </x:c>
      <x:c r="B11" s="34" t="str">
        <x:v>Team USA</x:v>
      </x:c>
      <x:c r="C11" s="34" t="str">
        <x:v>USA Cycling announced 22 athletes for the 2022 UCI BMX Racing World Championships in Nantes, including Felicia Stancil.</x:v>
      </x:c>
      <x:c r="D11" s="34" t="str">
        <x:v>2022</x:v>
      </x:c>
      <x:c r="E11" s="34" t="str">
        <x:v>National governing body</x:v>
      </x:c>
      <x:c r="F11" s="192" t="str">
        <x:v>V4</x:v>
      </x:c>
      <x:c r="G11" s="34" t="str">
        <x:v>VERIFIED</x:v>
      </x:c>
      <x:c r="H11" s="34" t="str">
        <x:v>https://usacycling.org/article/usa-cycling-announces-2022-bmx-racing-world-championship-team</x:v>
      </x:c>
      <x:c r="I11" s="34" t="str"/>
      <x:c r="J11" s="34" t="str">
        <x:v>Elite/U23/junior roster is distinct from USA BMX Challenge-class team lists.</x:v>
      </x:c>
      <x:c r="K11" s="34" t="str">
        <x:v>Maintain separate roster objects by category and governing program.</x:v>
      </x:c>
    </x:row>
    <x:row r="12" ht="74" customHeight="1">
      <x:c r="A12" s="34" t="str">
        <x:v>V04-F-0008</x:v>
      </x:c>
      <x:c r="B12" s="34" t="str">
        <x:v>Team USA</x:v>
      </x:c>
      <x:c r="C12" s="34" t="str">
        <x:v>The 2017 Team USA 'Leary' jersey was transferred from the Leary Locker to Greg Mathias, followed by Fall Risk Racing jersey gifts to Lititz BMX.</x:v>
      </x:c>
      <x:c r="D12" s="34" t="str">
        <x:v>2017 / later exchange</x:v>
      </x:c>
      <x:c r="E12" s="34" t="str">
        <x:v>Lititz provenance record</x:v>
      </x:c>
      <x:c r="F12" s="192" t="str">
        <x:v>V2</x:v>
      </x:c>
      <x:c r="G12" s="34" t="str">
        <x:v>DOCUMENTED IN ARCHIVE</x:v>
      </x:c>
      <x:c r="H12" s="34" t="str">
        <x:v>https://sites.google.com/view/lititzbmxinventorylist/home/26-0080</x:v>
      </x:c>
      <x:c r="I12" s="34" t="str">
        <x:v>https://sites.google.com/view/lititzbmxinventorylist/home/26-0081</x:v>
      </x:c>
      <x:c r="J12" s="34" t="str">
        <x:v>This records an exchange narrative, not proof of who originally wore the 2017 jersey.</x:v>
      </x:c>
      <x:c r="K12" s="34" t="str">
        <x:v>Recover photographs, maker tags and testimony identifying the 2017 jersey's intended wearer.</x:v>
      </x:c>
    </x:row>
    <x:row r="13" ht="74" customHeight="1">
      <x:c r="A13" s="34" t="str">
        <x:v>V04-F-0009</x:v>
      </x:c>
      <x:c r="B13" s="34" t="str">
        <x:v>Team USA</x:v>
      </x:c>
      <x:c r="C13" s="34" t="str">
        <x:v>No exact BMXMuseum Team USA jersey/thread ID was recovered in this scan.</x:v>
      </x:c>
      <x:c r="D13" s="34" t="str">
        <x:v>2026-07-30</x:v>
      </x:c>
      <x:c r="E13" s="34" t="str">
        <x:v>Method finding</x:v>
      </x:c>
      <x:c r="F13" s="192" t="str">
        <x:v>V1</x:v>
      </x:c>
      <x:c r="G13" s="34" t="str">
        <x:v>OPEN</x:v>
      </x:c>
      <x:c r="H13" s="34" t="str"/>
      <x:c r="I13" s="34" t="str"/>
      <x:c r="J13" s="34" t="str">
        <x:v>Do not infer no Team USA material exists on BMXMuseum.</x:v>
      </x:c>
      <x:c r="K13" s="34" t="str">
        <x:v>Search by year, event city, jersey manufacturer and rider names.</x:v>
      </x:c>
    </x:row>
    <x:row r="14" ht="74" customHeight="1">
      <x:c r="A14" s="34" t="str">
        <x:v>V04-F-0010</x:v>
      </x:c>
      <x:c r="B14" s="34" t="str">
        <x:v>Boss</x:v>
      </x:c>
      <x:c r="C14" s="34" t="str">
        <x:v>Current Boss Racing self-history says the company was founded in Oakland in 1969 and names Cecil Johns, Frank Post, Ronnie Anderson and Cheri Elliott as notable riders.</x:v>
      </x:c>
      <x:c r="D14" s="34" t="str">
        <x:v>1969–present</x:v>
      </x:c>
      <x:c r="E14" s="34" t="str">
        <x:v>Current company first-party</x:v>
      </x:c>
      <x:c r="F14" s="192" t="str">
        <x:v>V4</x:v>
      </x:c>
      <x:c r="G14" s="34" t="str">
        <x:v>VERIFIED AS SELF-HISTORY</x:v>
      </x:c>
      <x:c r="H14" s="34" t="str">
        <x:v>https://www.usboss.bike/</x:v>
      </x:c>
      <x:c r="I14" s="34" t="str"/>
      <x:c r="J14" s="34" t="str">
        <x:v>Current-brand narrative needs period-source corroboration for early dates and continuity.</x:v>
      </x:c>
      <x:c r="K14" s="34" t="str">
        <x:v>Locate incorporation, catalogs, period ads and original rider imagery.</x:v>
      </x:c>
    </x:row>
    <x:row r="15" ht="74" customHeight="1">
      <x:c r="A15" s="34" t="str">
        <x:v>V04-F-0011</x:v>
      </x:c>
      <x:c r="B15" s="34" t="str">
        <x:v>Boss</x:v>
      </x:c>
      <x:c r="C15" s="34" t="str">
        <x:v>USA BMX documents Greg Romero's Boss sponsorship under Cecil Johns and his 1994 transition to Auburn.</x:v>
      </x:c>
      <x:c r="D15" s="34" t="str">
        <x:v>Early 1990s–1994</x:v>
      </x:c>
      <x:c r="E15" s="34" t="str">
        <x:v>Official sanctioning-body biography</x:v>
      </x:c>
      <x:c r="F15" s="192" t="str">
        <x:v>V4</x:v>
      </x:c>
      <x:c r="G15" s="34" t="str">
        <x:v>VERIFIED</x:v>
      </x:c>
      <x:c r="H15" s="34" t="str">
        <x:v>https://www.usabmx.com/about/hall-of-fame/1697</x:v>
      </x:c>
      <x:c r="I15" s="34" t="str"/>
      <x:c r="J15" s="34" t="str">
        <x:v>Useful rider–brand bridge; not a full Boss roster.</x:v>
      </x:c>
      <x:c r="K15" s="34" t="str">
        <x:v>Build rider/team chronology and period race-result links.</x:v>
      </x:c>
    </x:row>
    <x:row r="16" ht="74" customHeight="1">
      <x:c r="A16" s="34" t="str">
        <x:v>V04-F-0012</x:v>
      </x:c>
      <x:c r="B16" s="34" t="str">
        <x:v>Boss</x:v>
      </x:c>
      <x:c r="C16" s="34" t="str">
        <x:v>Public Livermore-area collector memories name Bad Boy, Curb Dogg, Butthead and 'Latdog' as Boss models or local names.</x:v>
      </x:c>
      <x:c r="D16" s="34" t="str">
        <x:v>1980s–1990s</x:v>
      </x:c>
      <x:c r="E16" s="34" t="str">
        <x:v>Community testimony</x:v>
      </x:c>
      <x:c r="F16" s="192" t="str">
        <x:v>V2</x:v>
      </x:c>
      <x:c r="G16" s="34" t="str">
        <x:v>LEAD ONLY</x:v>
      </x:c>
      <x:c r="H16" s="34" t="str">
        <x:v>https://www.reddit.com/r/bmx/comments/1klvagp/looking_for_boss_bmx/</x:v>
      </x:c>
      <x:c r="I16" s="34" t="str"/>
      <x:c r="J16" s="34" t="str">
        <x:v>Spelling, official model status and rarity are unverified.</x:v>
      </x:c>
      <x:c r="K16" s="34" t="str">
        <x:v>Check catalogs, decals, serial records and builder testimony.</x:v>
      </x:c>
    </x:row>
    <x:row r="17" ht="74" customHeight="1">
      <x:c r="A17" s="34" t="str">
        <x:v>V04-F-0013</x:v>
      </x:c>
      <x:c r="B17" s="34" t="str">
        <x:v>Boss</x:v>
      </x:c>
      <x:c r="C17" s="34" t="str">
        <x:v>Lititz artifact 26.0055 carries serial CR01 and is cataloged as the first Livermore Boss Hogg; this remains an authentication claim requiring layered evidence.</x:v>
      </x:c>
      <x:c r="D17" s="34" t="str">
        <x:v>Livermore production era</x:v>
      </x:c>
      <x:c r="E17" s="34" t="str">
        <x:v>Lititz provenance record</x:v>
      </x:c>
      <x:c r="F17" s="192" t="str">
        <x:v>V2</x:v>
      </x:c>
      <x:c r="G17" s="34" t="str">
        <x:v>OPEN AUTHENTICATION</x:v>
      </x:c>
      <x:c r="H17" s="34" t="str">
        <x:v>https://sites.google.com/view/lititzbmxinventorylist/home/26-0055</x:v>
      </x:c>
      <x:c r="I17" s="34" t="str">
        <x:v>https://www.usboss.bike/</x:v>
      </x:c>
      <x:c r="J17" s="34" t="str">
        <x:v>Serial alone does not prove production order without a verified serial ledger.</x:v>
      </x:c>
      <x:c r="K17" s="34" t="str">
        <x:v>Obtain C4 Labs records, prior-owner chain, measurements, stamps and comparable serials.</x:v>
      </x:c>
    </x:row>
    <x:row r="18" ht="74" customHeight="1">
      <x:c r="A18" s="34" t="str">
        <x:v>V04-F-0014</x:v>
      </x:c>
      <x:c r="B18" s="34" t="str">
        <x:v>JAD</x:v>
      </x:c>
      <x:c r="C18" s="34" t="str">
        <x:v>A public identification thread explicitly says BMXMuseum contains multiple JAD examples used for frame comparison.</x:v>
      </x:c>
      <x:c r="D18" s="34" t="str">
        <x:v>2024</x:v>
      </x:c>
      <x:c r="E18" s="34" t="str">
        <x:v>Community backlink</x:v>
      </x:c>
      <x:c r="F18" s="192" t="str">
        <x:v>V2</x:v>
      </x:c>
      <x:c r="G18" s="34" t="str">
        <x:v>CONFIRMED AS COVERAGE LEAD</x:v>
      </x:c>
      <x:c r="H18" s="34" t="str">
        <x:v>https://www.reddit.com/r/bmx/comments/1h8v6oo/</x:v>
      </x:c>
      <x:c r="I18" s="34" t="str"/>
      <x:c r="J18" s="34" t="str">
        <x:v>The thread participants disagree about the pictured frame; no exact JAD ID is exposed.</x:v>
      </x:c>
      <x:c r="K18" s="34" t="str">
        <x:v>Recover exact records through public backlinks and model-specific searches.</x:v>
      </x:c>
    </x:row>
    <x:row r="19" ht="74" customHeight="1">
      <x:c r="A19" s="34" t="str">
        <x:v>V04-F-0015</x:v>
      </x:c>
      <x:c r="B19" s="34" t="str">
        <x:v>JAD</x:v>
      </x:c>
      <x:c r="C19" s="34" t="str">
        <x:v>A former rider described a JAD Sherman sponsorship frame and remembered it as front-heavy; this is subjective first-person riding testimony.</x:v>
      </x:c>
      <x:c r="D19" s="34" t="str">
        <x:v>1990s recollection</x:v>
      </x:c>
      <x:c r="E19" s="34" t="str">
        <x:v>First-person community testimony</x:v>
      </x:c>
      <x:c r="F19" s="192" t="str">
        <x:v>V2</x:v>
      </x:c>
      <x:c r="G19" s="34" t="str">
        <x:v>ATTRIBUTED ONLY</x:v>
      </x:c>
      <x:c r="H19" s="34" t="str">
        <x:v>https://www.radbmx.co.uk/forum/index.php?topic=112598.0</x:v>
      </x:c>
      <x:c r="I19" s="34" t="str"/>
      <x:c r="J19" s="34" t="str">
        <x:v>Do not generalize handling characteristics to every Sherman or Street Style build.</x:v>
      </x:c>
      <x:c r="K19" s="34" t="str">
        <x:v>Locate period tests, geometry sheets and builder testimony.</x:v>
      </x:c>
    </x:row>
    <x:row r="20" ht="74" customHeight="1">
      <x:c r="A20" s="34" t="str">
        <x:v>V04-F-0016</x:v>
      </x:c>
      <x:c r="B20" s="34" t="str">
        <x:v>JAD</x:v>
      </x:c>
      <x:c r="C20" s="34" t="str">
        <x:v>Searches for 'Sherman' produce unrelated Diamondback Sherman bicycles, creating a significant false-positive risk.</x:v>
      </x:c>
      <x:c r="D20" s="34" t="str">
        <x:v>Method finding</x:v>
      </x:c>
      <x:c r="E20" s="34" t="str">
        <x:v>Disambiguation analysis</x:v>
      </x:c>
      <x:c r="F20" s="192" t="str">
        <x:v>V3</x:v>
      </x:c>
      <x:c r="G20" s="34" t="str">
        <x:v>VERIFIED</x:v>
      </x:c>
      <x:c r="H20" s="34" t="str">
        <x:v>https://www.bicyclebluebook.com/value-guide/2004%20Diamondback%20Sherman/</x:v>
      </x:c>
      <x:c r="I20" s="34" t="str"/>
      <x:c r="J20" s="34" t="str">
        <x:v>Require JAD context, frame features or company identifiers before accepting a result.</x:v>
      </x:c>
      <x:c r="K20" s="34" t="str">
        <x:v>Add negative keyword rules and model-specific aliases.</x:v>
      </x:c>
    </x:row>
    <x:row r="21" ht="74" customHeight="1">
      <x:c r="A21" s="34" t="str">
        <x:v>V04-F-0017</x:v>
      </x:c>
      <x:c r="B21" s="34" t="str">
        <x:v>Auburn</x:v>
      </x:c>
      <x:c r="C21" s="34" t="str">
        <x:v>BMXMuseum record 7968 is publicly cited as an Auburn CR-20RX comparison.</x:v>
      </x:c>
      <x:c r="D21" s="34" t="str">
        <x:v>Record ID 7968</x:v>
      </x:c>
      <x:c r="E21" s="34" t="str">
        <x:v>Exact public backlink</x:v>
      </x:c>
      <x:c r="F21" s="192" t="str">
        <x:v>V3</x:v>
      </x:c>
      <x:c r="G21" s="34" t="str">
        <x:v>VERIFIED OBJECT ID</x:v>
      </x:c>
      <x:c r="H21" s="34" t="str">
        <x:v>https://bmxmuseum.com/bikes/auburn_racing/7968</x:v>
      </x:c>
      <x:c r="I21" s="34" t="str">
        <x:v>https://bicycles.stackexchange.com/questions/60013/id-like-to-know-what-kind-of-bmx-bike-i-have</x:v>
      </x:c>
      <x:c r="J21" s="34" t="str">
        <x:v>The external identification was debated and alternative Auburn models were proposed.</x:v>
      </x:c>
      <x:c r="K21" s="34" t="str">
        <x:v>Compare head-tube gusset, rear section and material.</x:v>
      </x:c>
    </x:row>
    <x:row r="22" ht="74" customHeight="1">
      <x:c r="A22" s="34" t="str">
        <x:v>V04-F-0018</x:v>
      </x:c>
      <x:c r="B22" s="34" t="str">
        <x:v>Auburn</x:v>
      </x:c>
      <x:c r="C22" s="34" t="str">
        <x:v>BMXMuseum records 67331, 11076 and 36235 are publicly identified as 1994 Auburn JR-20RX comparison records.</x:v>
      </x:c>
      <x:c r="D22" s="34" t="str">
        <x:v>1994</x:v>
      </x:c>
      <x:c r="E22" s="34" t="str">
        <x:v>Exact public backlinks</x:v>
      </x:c>
      <x:c r="F22" s="192" t="str">
        <x:v>V3</x:v>
      </x:c>
      <x:c r="G22" s="34" t="str">
        <x:v>VERIFIED OBJECT IDS</x:v>
      </x:c>
      <x:c r="H22" s="34" t="str">
        <x:v>https://bmxmuseum.com/bikes/auburn_racing/67331</x:v>
      </x:c>
      <x:c r="I22" s="34" t="str">
        <x:v>https://bmxmuseum.com/bikes/auburn_racing/11076</x:v>
      </x:c>
      <x:c r="J22" s="34" t="str">
        <x:v>Third record is separately logged; originality and specification remain record-specific.</x:v>
      </x:c>
      <x:c r="K22" s="34" t="str">
        <x:v>Create model variation matrix across all three records.</x:v>
      </x:c>
    </x:row>
    <x:row r="23" ht="74" customHeight="1">
      <x:c r="A23" s="34" t="str">
        <x:v>V04-F-0019</x:v>
      </x:c>
      <x:c r="B23" s="34" t="str">
        <x:v>Auburn</x:v>
      </x:c>
      <x:c r="C23" s="34" t="str">
        <x:v>Todd Huffman stated that Auburn was created in 1987–1988, named after the classic automobile, and that the first prototype was made in Taiwan before GT produced frames in Huntington Beach.</x:v>
      </x:c>
      <x:c r="D23" s="34" t="str">
        <x:v>1987–1988</x:v>
      </x:c>
      <x:c r="E23" s="34" t="str">
        <x:v>Named first-person comment</x:v>
      </x:c>
      <x:c r="F23" s="192" t="str">
        <x:v>V4</x:v>
      </x:c>
      <x:c r="G23" s="34" t="str">
        <x:v>VERIFIED AS FIRST-PERSON ACCOUNT</x:v>
      </x:c>
      <x:c r="H23" s="34" t="str">
        <x:v>https://auburnbmx.wordpress.com/about/</x:v>
      </x:c>
      <x:c r="I23" s="34" t="str"/>
      <x:c r="J23" s="34" t="str">
        <x:v>The comment is first-person but hosted in a community blog; preserve exact attribution.</x:v>
      </x:c>
      <x:c r="K23" s="34" t="str">
        <x:v>Corroborate with period ads, catalogs and company documents.</x:v>
      </x:c>
    </x:row>
    <x:row r="24" ht="74" customHeight="1">
      <x:c r="A24" s="34" t="str">
        <x:v>V04-F-0020</x:v>
      </x:c>
      <x:c r="B24" s="34" t="str">
        <x:v>Auburn</x:v>
      </x:c>
      <x:c r="C24" s="34" t="str">
        <x:v>Todd Huffman identified Rod Beckering as the first rider to race an Auburn, on the Taiwan prototype at an Irvine NBL race.</x:v>
      </x:c>
      <x:c r="D24" s="34" t="str">
        <x:v>Late 1980s</x:v>
      </x:c>
      <x:c r="E24" s="34" t="str">
        <x:v>Named first-person comment</x:v>
      </x:c>
      <x:c r="F24" s="192" t="str">
        <x:v>V4</x:v>
      </x:c>
      <x:c r="G24" s="34" t="str">
        <x:v>VERIFIED AS FIRST-PERSON ACCOUNT</x:v>
      </x:c>
      <x:c r="H24" s="34" t="str">
        <x:v>https://auburnbmx.wordpress.com/about/</x:v>
      </x:c>
      <x:c r="I24" s="34" t="str"/>
      <x:c r="J24" s="34" t="str">
        <x:v>Event date and result remain unresolved.</x:v>
      </x:c>
      <x:c r="K24" s="34" t="str">
        <x:v>Locate Irvine NBL program or race report.</x:v>
      </x:c>
    </x:row>
    <x:row r="25" ht="74" customHeight="1">
      <x:c r="A25" s="34" t="str">
        <x:v>V04-F-0021</x:v>
      </x:c>
      <x:c r="B25" s="34" t="str">
        <x:v>Auburn</x:v>
      </x:c>
      <x:c r="C25" s="34" t="str">
        <x:v>USA BMX confirms Greg Romero earned a factory Auburn ride after winning the 1994 ABA No.1 Age Group title.</x:v>
      </x:c>
      <x:c r="D25" s="34" t="str">
        <x:v>1994</x:v>
      </x:c>
      <x:c r="E25" s="34" t="str">
        <x:v>Official sanctioning-body biography</x:v>
      </x:c>
      <x:c r="F25" s="192" t="str">
        <x:v>V4</x:v>
      </x:c>
      <x:c r="G25" s="34" t="str">
        <x:v>VERIFIED</x:v>
      </x:c>
      <x:c r="H25" s="34" t="str">
        <x:v>https://www.usabmx.com/about/hall-of-fame/1697</x:v>
      </x:c>
      <x:c r="I25" s="34" t="str"/>
      <x:c r="J25" s="34" t="str">
        <x:v>Does not identify the Lititz jersey.</x:v>
      </x:c>
      <x:c r="K25" s="34" t="str">
        <x:v>Cross-reference 1994–1995 team ads and jersey design.</x:v>
      </x:c>
    </x:row>
    <x:row r="26" ht="74" customHeight="1">
      <x:c r="A26" s="34" t="str">
        <x:v>V04-F-0022</x:v>
      </x:c>
      <x:c r="B26" s="34" t="str">
        <x:v>Auburn</x:v>
      </x:c>
      <x:c r="C26" s="34" t="str">
        <x:v>Lititz artifact 26.0085 is an Auburn jersey, but its year, team program and wearer are not yet identified.</x:v>
      </x:c>
      <x:c r="D26" s="34" t="str">
        <x:v>Unknown</x:v>
      </x:c>
      <x:c r="E26" s="34" t="str">
        <x:v>Lititz artifact record</x:v>
      </x:c>
      <x:c r="F26" s="192" t="str">
        <x:v>V2</x:v>
      </x:c>
      <x:c r="G26" s="34" t="str">
        <x:v>OPEN</x:v>
      </x:c>
      <x:c r="H26" s="34" t="str">
        <x:v>https://sites.google.com/view/lititzbmxinventorylist/home/26-0085</x:v>
      </x:c>
      <x:c r="I26" s="34" t="str"/>
      <x:c r="J26" s="34" t="str">
        <x:v>A brand jersey alone cannot establish rider or season.</x:v>
      </x:c>
      <x:c r="K26" s="34" t="str">
        <x:v>Inspect labels, logos, sponsor set and construction.</x:v>
      </x:c>
    </x:row>
    <x:row r="27" ht="74" customHeight="1">
      <x:c r="A27" s="34" t="str">
        <x:v>V04-F-0023</x:v>
      </x:c>
      <x:c r="B27" s="34" t="str">
        <x:v>ELF</x:v>
      </x:c>
      <x:c r="C27" s="34" t="str">
        <x:v>Current ELF first-party history places the brand's origin in a Santa Ana garage in 1981.</x:v>
      </x:c>
      <x:c r="D27" s="34" t="str">
        <x:v>1981</x:v>
      </x:c>
      <x:c r="E27" s="34" t="str">
        <x:v>Current company first-party</x:v>
      </x:c>
      <x:c r="F27" s="192" t="str">
        <x:v>V4</x:v>
      </x:c>
      <x:c r="G27" s="34" t="str">
        <x:v>VERIFIED AS SELF-HISTORY</x:v>
      </x:c>
      <x:c r="H27" s="34" t="str">
        <x:v>https://www.elfbmxproducts.com/</x:v>
      </x:c>
      <x:c r="I27" s="34" t="str"/>
      <x:c r="J27" s="34" t="str">
        <x:v>Needs period corroboration for corporate continuity and exact founding details.</x:v>
      </x:c>
      <x:c r="K27" s="34" t="str">
        <x:v>Locate earliest catalogs, ads and business records.</x:v>
      </x:c>
    </x:row>
    <x:row r="28" ht="74" customHeight="1">
      <x:c r="A28" s="34" t="str">
        <x:v>V04-F-0024</x:v>
      </x:c>
      <x:c r="B28" s="34" t="str">
        <x:v>ELF</x:v>
      </x:c>
      <x:c r="C28" s="34" t="str">
        <x:v>ELF states Ken Pendergraft introduced the Doublecross frame in 1991 with a four-chainstay design.</x:v>
      </x:c>
      <x:c r="D28" s="34" t="str">
        <x:v>1991</x:v>
      </x:c>
      <x:c r="E28" s="34" t="str">
        <x:v>Current company first-party</x:v>
      </x:c>
      <x:c r="F28" s="192" t="str">
        <x:v>V4</x:v>
      </x:c>
      <x:c r="G28" s="34" t="str">
        <x:v>VERIFIED AS SELF-HISTORY</x:v>
      </x:c>
      <x:c r="H28" s="34" t="str">
        <x:v>https://www.elfbmxproducts.com/about-elf</x:v>
      </x:c>
      <x:c r="I28" s="34" t="str"/>
      <x:c r="J28" s="34" t="str">
        <x:v>Performance descriptions are manufacturer claims; geometry and variants require catalog evidence.</x:v>
      </x:c>
      <x:c r="K28" s="34" t="str">
        <x:v>Match catalog pages and BMXMuseum examples.</x:v>
      </x:c>
    </x:row>
    <x:row r="29" ht="74" customHeight="1">
      <x:c r="A29" s="34" t="str">
        <x:v>V04-F-0025</x:v>
      </x:c>
      <x:c r="B29" s="34" t="str">
        <x:v>ELF</x:v>
      </x:c>
      <x:c r="C29" s="34" t="str">
        <x:v>Public indexing exposes a broad model/year layer from 1983 through 1994, including Pro, Mini, Styler, 24-inch cruiser and Doublecross examples.</x:v>
      </x:c>
      <x:c r="D29" s="34" t="str">
        <x:v>1983–1994</x:v>
      </x:c>
      <x:c r="E29" s="34" t="str">
        <x:v>Title-only discovery</x:v>
      </x:c>
      <x:c r="F29" s="192" t="str">
        <x:v>V1</x:v>
      </x:c>
      <x:c r="G29" s="34" t="str">
        <x:v>LEAD SET</x:v>
      </x:c>
      <x:c r="H29" s="34" t="str">
        <x:v>https://bmxmuseum.com/bikes/elf/</x:v>
      </x:c>
      <x:c r="I29" s="34" t="str"/>
      <x:c r="J29" s="34" t="str">
        <x:v>Exact IDs were not recovered; titles may reflect submissions, restorations or custom builds.</x:v>
      </x:c>
      <x:c r="K29" s="34" t="str">
        <x:v>Resolve IDs individually and validate against catalogs.</x:v>
      </x:c>
    </x:row>
    <x:row r="30" ht="74" customHeight="1">
      <x:c r="A30" s="34" t="str">
        <x:v>V04-F-0026</x:v>
      </x:c>
      <x:c r="B30" s="34" t="str">
        <x:v>ELF</x:v>
      </x:c>
      <x:c r="C30" s="34" t="str">
        <x:v>Lititz artifact 26.0006 is an ELF catalog; year, edition and page count remain open.</x:v>
      </x:c>
      <x:c r="D30" s="34" t="str">
        <x:v>Unknown</x:v>
      </x:c>
      <x:c r="E30" s="34" t="str">
        <x:v>Lititz artifact record</x:v>
      </x:c>
      <x:c r="F30" s="192" t="str">
        <x:v>V2</x:v>
      </x:c>
      <x:c r="G30" s="34" t="str">
        <x:v>OPEN</x:v>
      </x:c>
      <x:c r="H30" s="34" t="str">
        <x:v>https://sites.google.com/view/lititzbmxinventorylist/home/26-0006</x:v>
      </x:c>
      <x:c r="I30" s="34" t="str"/>
      <x:c r="J30" s="34" t="str">
        <x:v>Catalog itself may become the strongest primary source after page inspection.</x:v>
      </x:c>
      <x:c r="K30" s="34" t="str">
        <x:v>Digitally inventory cover, date, pages, products and advertisements without republishing scans.</x:v>
      </x:c>
    </x:row>
    <x:row r="31" ht="74" customHeight="1">
      <x:c r="A31" s="34" t="str">
        <x:v>V04-F-0027</x:v>
      </x:c>
      <x:c r="B31" s="34" t="str">
        <x:v>Kastan</x:v>
      </x:c>
      <x:c r="C31" s="34" t="str">
        <x:v>A public BMX post exposes exact BMXMuseum record 126864 as a 1989 Kastan Pro-S.</x:v>
      </x:c>
      <x:c r="D31" s="34" t="str">
        <x:v>1989</x:v>
      </x:c>
      <x:c r="E31" s="34" t="str">
        <x:v>Exact social backlink</x:v>
      </x:c>
      <x:c r="F31" s="192" t="str">
        <x:v>V3</x:v>
      </x:c>
      <x:c r="G31" s="34" t="str">
        <x:v>VERIFIED OBJECT ID</x:v>
      </x:c>
      <x:c r="H31" s="34" t="str">
        <x:v>https://bmxmuseum.com/bikes/kastan/126864</x:v>
      </x:c>
      <x:c r="I31" s="34" t="str">
        <x:v>https://www.reddit.com/r/bmx/comments/1azsq6e/</x:v>
      </x:c>
      <x:c r="J31" s="34" t="str">
        <x:v>The post does not independently authenticate the submitted bicycle.</x:v>
      </x:c>
      <x:c r="K31" s="34" t="str">
        <x:v>Recover model-level catalog and serial evidence.</x:v>
      </x:c>
    </x:row>
    <x:row r="32" ht="74" customHeight="1">
      <x:c r="A32" s="34" t="str">
        <x:v>V04-F-0028</x:v>
      </x:c>
      <x:c r="B32" s="34" t="str">
        <x:v>Kastan</x:v>
      </x:c>
      <x:c r="C32" s="34" t="str">
        <x:v>Redline Racing Frames was founded in November 1970 by Linn Kastan and Mike Konle as a motorcycle-frame business.</x:v>
      </x:c>
      <x:c r="D32" s="34" t="str">
        <x:v>1970</x:v>
      </x:c>
      <x:c r="E32" s="34" t="str">
        <x:v>Specialist history with first-person sourcing</x:v>
      </x:c>
      <x:c r="F32" s="192" t="str">
        <x:v>V4</x:v>
      </x:c>
      <x:c r="G32" s="34" t="str">
        <x:v>VERIFIED AT COMPANY-ORIGIN LEVEL</x:v>
      </x:c>
      <x:c r="H32" s="34" t="str">
        <x:v>https://www.redlinevintagebmx.com/redline-history</x:v>
      </x:c>
      <x:c r="I32" s="34" t="str"/>
      <x:c r="J32" s="34" t="str">
        <x:v>Redline's motorcycle origin date must be distinguished from later BMX bicycle milestones.</x:v>
      </x:c>
      <x:c r="K32" s="34" t="str">
        <x:v>Build separate motorcycle, BMX component, frame and complete-bike dates.</x:v>
      </x:c>
    </x:row>
    <x:row r="33" ht="74" customHeight="1">
      <x:c r="A33" s="34" t="str">
        <x:v>V04-F-0029</x:v>
      </x:c>
      <x:c r="B33" s="34" t="str">
        <x:v>Kastan</x:v>
      </x:c>
      <x:c r="C33" s="34" t="str">
        <x:v>Public indexing exposes 1989 KEX Pro and 1991 KEX Pro 24 title leads.</x:v>
      </x:c>
      <x:c r="D33" s="34" t="str">
        <x:v>1989–1991</x:v>
      </x:c>
      <x:c r="E33" s="34" t="str">
        <x:v>Title-only discovery</x:v>
      </x:c>
      <x:c r="F33" s="192" t="str">
        <x:v>V1</x:v>
      </x:c>
      <x:c r="G33" s="34" t="str">
        <x:v>LEAD SET</x:v>
      </x:c>
      <x:c r="H33" s="34" t="str">
        <x:v>https://bmxmuseum.com/bikes/kastan/</x:v>
      </x:c>
      <x:c r="I33" s="34" t="str"/>
      <x:c r="J33" s="34" t="str">
        <x:v>Exact IDs and model authenticity unresolved.</x:v>
      </x:c>
      <x:c r="K33" s="34" t="str">
        <x:v>Match to catalogs and first-person Kastan histories.</x:v>
      </x:c>
    </x:row>
    <x:row r="34" ht="74" customHeight="1">
      <x:c r="A34" s="34" t="str">
        <x:v>V04-F-0030</x:v>
      </x:c>
      <x:c r="B34" s="34" t="str">
        <x:v>Kastan</x:v>
      </x:c>
      <x:c r="C34" s="34" t="str">
        <x:v>Lititz artifact 26.0011 is a Kastan MTB frame representing the BMX-to-MTB transition, but exact model and date remain unresolved.</x:v>
      </x:c>
      <x:c r="D34" s="34" t="str">
        <x:v>Late 1980s–early 1990s lead</x:v>
      </x:c>
      <x:c r="E34" s="34" t="str">
        <x:v>Lititz artifact record</x:v>
      </x:c>
      <x:c r="F34" s="192" t="str">
        <x:v>V2</x:v>
      </x:c>
      <x:c r="G34" s="34" t="str">
        <x:v>OPEN</x:v>
      </x:c>
      <x:c r="H34" s="34" t="str">
        <x:v>https://sites.google.com/view/lititzbmxinventorylist/home/26-0011</x:v>
      </x:c>
      <x:c r="I34" s="34" t="str"/>
      <x:c r="J34" s="34" t="str">
        <x:v>Do not assign KEX or a model year without markings/catalog match.</x:v>
      </x:c>
      <x:c r="K34" s="34" t="str">
        <x:v>Record serial, dimensions, tubing, decals and dropout details.</x:v>
      </x:c>
    </x:row>
    <x:row r="35" ht="74" customHeight="1">
      <x:c r="A35" s="34" t="str">
        <x:v>V04-F-0031</x:v>
      </x:c>
      <x:c r="B35" s="34" t="str">
        <x:v>Formula One / F-1 / F1</x:v>
      </x:c>
      <x:c r="C35" s="34" t="str">
        <x:v>A June 1984 BMX Action advertisement promoted the Diamond Back Formula One and a $50 rebate for purchases from May 1 through July 31, 1984.</x:v>
      </x:c>
      <x:c r="D35" s="34" t="str">
        <x:v>1984</x:v>
      </x:c>
      <x:c r="E35" s="34" t="str">
        <x:v>Period magazine advertisement</x:v>
      </x:c>
      <x:c r="F35" s="192" t="str">
        <x:v>V3</x:v>
      </x:c>
      <x:c r="G35" s="34" t="str">
        <x:v>VERIFIED</x:v>
      </x:c>
      <x:c r="H35" s="34" t="str">
        <x:v>https://previouspage.co.uk/magazines/BMX%20Action/issues/54-june-nineteen-eighty-four</x:v>
      </x:c>
      <x:c r="I35" s="34" t="str"/>
      <x:c r="J35" s="34" t="str">
        <x:v>The ad verifies the model and promotion, not the identity of the Lititz trophy.</x:v>
      </x:c>
      <x:c r="K35" s="34" t="str">
        <x:v>Record ad page 61 and obtain catalog specifications.</x:v>
      </x:c>
    </x:row>
    <x:row r="36" ht="74" customHeight="1">
      <x:c r="A36" s="34" t="str">
        <x:v>V04-F-0032</x:v>
      </x:c>
      <x:c r="B36" s="34" t="str">
        <x:v>Formula One / F-1 / F1</x:v>
      </x:c>
      <x:c r="C36" s="34" t="str">
        <x:v>A February 1988 BMX Plus! advertisement promoted an F-1-equipped Diamond Back Formula One with a Biopace chainring.</x:v>
      </x:c>
      <x:c r="D36" s="34" t="str">
        <x:v>1988</x:v>
      </x:c>
      <x:c r="E36" s="34" t="str">
        <x:v>Period magazine advertisement</x:v>
      </x:c>
      <x:c r="F36" s="192" t="str">
        <x:v>V3</x:v>
      </x:c>
      <x:c r="G36" s="34" t="str">
        <x:v>VERIFIED</x:v>
      </x:c>
      <x:c r="H36" s="34" t="str">
        <x:v>https://previouspage.co.uk/magazines/BMX%20Plus/issues/251-february-nineteen-eighty-eight</x:v>
      </x:c>
      <x:c r="I36" s="34" t="str"/>
      <x:c r="J36" s="34" t="str">
        <x:v>This confirms continued Formula One marketing but may represent a later generation.</x:v>
      </x:c>
      <x:c r="K36" s="34" t="str">
        <x:v>Build model-year change chronology.</x:v>
      </x:c>
    </x:row>
    <x:row r="37" ht="74" customHeight="1">
      <x:c r="A37" s="34" t="str">
        <x:v>V04-F-0033</x:v>
      </x:c>
      <x:c r="B37" s="34" t="str">
        <x:v>Formula One / F-1 / F1</x:v>
      </x:c>
      <x:c r="C37" s="34" t="str">
        <x:v>Broad web searches for 'F-1 Challenge' are dominated by automobile racing, games and unrelated products.</x:v>
      </x:c>
      <x:c r="D37" s="34" t="str">
        <x:v>Method finding</x:v>
      </x:c>
      <x:c r="E37" s="34" t="str">
        <x:v>Disambiguation analysis</x:v>
      </x:c>
      <x:c r="F37" s="192" t="str">
        <x:v>V3</x:v>
      </x:c>
      <x:c r="G37" s="34" t="str">
        <x:v>VERIFIED</x:v>
      </x:c>
      <x:c r="H37" s="34" t="str"/>
      <x:c r="I37" s="34" t="str"/>
      <x:c r="J37" s="34" t="str">
        <x:v>Exact BMX, Diamond Back, trophy and date terms are mandatory.</x:v>
      </x:c>
      <x:c r="K37" s="34" t="str">
        <x:v>Inspect physical inscriptions before further broad searching.</x:v>
      </x:c>
    </x:row>
    <x:row r="38" ht="74" customHeight="1">
      <x:c r="A38" s="34" t="str">
        <x:v>V04-F-0034</x:v>
      </x:c>
      <x:c r="B38" s="34" t="str">
        <x:v>Formula One / F-1 / F1</x:v>
      </x:c>
      <x:c r="C38" s="34" t="str">
        <x:v>The relationship between the Lititz F-1 trophy and matching bicycle remains unverified; the trophy should remain the primary historical object and the bike the interpretive hook.</x:v>
      </x:c>
      <x:c r="D38" s="34" t="str">
        <x:v>Unknown</x:v>
      </x:c>
      <x:c r="E38" s="34" t="str">
        <x:v>Lititz research policy</x:v>
      </x:c>
      <x:c r="F38" s="192" t="str">
        <x:v>V2</x:v>
      </x:c>
      <x:c r="G38" s="34" t="str">
        <x:v>OPEN</x:v>
      </x:c>
      <x:c r="H38" s="34" t="str"/>
      <x:c r="I38" s="34" t="str"/>
      <x:c r="J38" s="34" t="str">
        <x:v>Do not convert visual similarity or naming into event provenance.</x:v>
      </x:c>
      <x:c r="K38" s="34" t="str">
        <x:v>Assign artifact IDs, photograph inscriptions and establish acquisition chain.</x:v>
      </x:c>
    </x:row>
    <x:row r="39" ht="74" customHeight="1">
      <x:c r="A39" s="34" t="str">
        <x:v>V04-F-0035</x:v>
      </x:c>
      <x:c r="B39" s="34" t="str">
        <x:v>Felicia Stancil</x:v>
      </x:c>
      <x:c r="C39" s="34" t="str">
        <x:v>USA BMX records Felicia Stancil, riding for Factory GT, as the 2012 Junior Women's race world champion at Birmingham.</x:v>
      </x:c>
      <x:c r="D39" s="34" t="str">
        <x:v>2012</x:v>
      </x:c>
      <x:c r="E39" s="34" t="str">
        <x:v>Official sanctioning-body results</x:v>
      </x:c>
      <x:c r="F39" s="192" t="str">
        <x:v>V4</x:v>
      </x:c>
      <x:c r="G39" s="34" t="str">
        <x:v>VERIFIED</x:v>
      </x:c>
      <x:c r="H39" s="34" t="str">
        <x:v>https://www.usabmx.com/news-and-media/6/2012-05-27/UCI-Worlds-Update?id=586</x:v>
      </x:c>
      <x:c r="I39" s="34" t="str"/>
      <x:c r="J39" s="34" t="str">
        <x:v>Official result verifies athlete/title, not the surviving bicycle.</x:v>
      </x:c>
      <x:c r="K39" s="34" t="str">
        <x:v>Archive full results and event program.</x:v>
      </x:c>
    </x:row>
    <x:row r="40" ht="74" customHeight="1">
      <x:c r="A40" s="34" t="str">
        <x:v>V04-F-0036</x:v>
      </x:c>
      <x:c r="B40" s="34" t="str">
        <x:v>Felicia Stancil</x:v>
      </x:c>
      <x:c r="C40" s="34" t="str">
        <x:v>The same official report identifies Stancil as the previous day's Junior Women's time-trial superfinal winner.</x:v>
      </x:c>
      <x:c r="D40" s="34" t="str">
        <x:v>2012</x:v>
      </x:c>
      <x:c r="E40" s="34" t="str">
        <x:v>Official sanctioning-body report</x:v>
      </x:c>
      <x:c r="F40" s="192" t="str">
        <x:v>V4</x:v>
      </x:c>
      <x:c r="G40" s="34" t="str">
        <x:v>VERIFIED</x:v>
      </x:c>
      <x:c r="H40" s="34" t="str">
        <x:v>https://www.usabmx.com/news-and-media/6/2012-05-27/UCI-Worlds-Update?id=586</x:v>
      </x:c>
      <x:c r="I40" s="34" t="str"/>
      <x:c r="J40" s="34" t="str">
        <x:v>Supports the Lititz 'dual W1' context.</x:v>
      </x:c>
      <x:c r="K40" s="34" t="str">
        <x:v>Locate UCI full time-trial result sheet.</x:v>
      </x:c>
    </x:row>
    <x:row r="41" ht="74" customHeight="1">
      <x:c r="A41" s="34" t="str">
        <x:v>V04-F-0037</x:v>
      </x:c>
      <x:c r="B41" s="34" t="str">
        <x:v>Felicia Stancil</x:v>
      </x:c>
      <x:c r="C41" s="34" t="str">
        <x:v>USA Cycling listed Stancil on the 2022 U.S. Worlds roster and noted her fourth-place Olympic finish entering the event.</x:v>
      </x:c>
      <x:c r="D41" s="34" t="str">
        <x:v>2022</x:v>
      </x:c>
      <x:c r="E41" s="34" t="str">
        <x:v>National governing body</x:v>
      </x:c>
      <x:c r="F41" s="192" t="str">
        <x:v>V4</x:v>
      </x:c>
      <x:c r="G41" s="34" t="str">
        <x:v>VERIFIED</x:v>
      </x:c>
      <x:c r="H41" s="34" t="str">
        <x:v>https://usacycling.org/article/usa-cycling-announces-2022-bmx-racing-world-championship-team</x:v>
      </x:c>
      <x:c r="I41" s="34" t="str"/>
      <x:c r="J41" s="34" t="str">
        <x:v>Separate 2022 team/result history from the 2012 GT artifact.</x:v>
      </x:c>
      <x:c r="K41" s="34" t="str">
        <x:v>Build career timeline linked to teams and bicycles.</x:v>
      </x:c>
    </x:row>
    <x:row r="42" ht="74" customHeight="1">
      <x:c r="A42" s="34" t="str">
        <x:v>V04-F-0038</x:v>
      </x:c>
      <x:c r="B42" s="34" t="str">
        <x:v>Felicia Stancil</x:v>
      </x:c>
      <x:c r="C42" s="34" t="str">
        <x:v>USA Cycling's athlete profile lists GT Bicycles as her pro team from 2012 through 2016.</x:v>
      </x:c>
      <x:c r="D42" s="34" t="str">
        <x:v>2012–2016</x:v>
      </x:c>
      <x:c r="E42" s="34" t="str">
        <x:v>National governing body athlete profile</x:v>
      </x:c>
      <x:c r="F42" s="192" t="str">
        <x:v>V4</x:v>
      </x:c>
      <x:c r="G42" s="34" t="str">
        <x:v>VERIFIED</x:v>
      </x:c>
      <x:c r="H42" s="34" t="str">
        <x:v>https://usacycling.org/athlete/felicia-stancil</x:v>
      </x:c>
      <x:c r="I42" s="34" t="str"/>
      <x:c r="J42" s="34" t="str">
        <x:v>The page contains a possibly inconsistent world-champion year label elsewhere; use event-specific official sources for titles.</x:v>
      </x:c>
      <x:c r="K42" s="34" t="str">
        <x:v>Use the team period only as context for bike authentication.</x:v>
      </x:c>
    </x:row>
    <x:row r="43" ht="74" customHeight="1">
      <x:c r="A43" s="34" t="str">
        <x:v>V04-F-0039</x:v>
      </x:c>
      <x:c r="B43" s="34" t="str">
        <x:v>Felicia Stancil</x:v>
      </x:c>
      <x:c r="C43" s="34" t="str">
        <x:v>Lititz artifact 26.0054 is cataloged as the GT Speed Series used for Stancil's two 2012 Junior Women's world titles and retains the W1 plate.</x:v>
      </x:c>
      <x:c r="D43" s="34" t="str">
        <x:v>2012</x:v>
      </x:c>
      <x:c r="E43" s="34" t="str">
        <x:v>Lititz provenance record</x:v>
      </x:c>
      <x:c r="F43" s="192" t="str">
        <x:v>V2</x:v>
      </x:c>
      <x:c r="G43" s="34" t="str">
        <x:v>OPEN AUTHENTICATION</x:v>
      </x:c>
      <x:c r="H43" s="34" t="str">
        <x:v>https://sites.google.com/view/lititzbmxinventorylist/home/26-0054</x:v>
      </x:c>
      <x:c r="I43" s="34" t="str">
        <x:v>https://www.usabmx.com/news-and-media/6/2012-05-27/UCI-Worlds-Update?id=586</x:v>
      </x:c>
      <x:c r="J43" s="34" t="str">
        <x:v>Official results corroborate the achievement; serial, photos, transfer documentation and component continuity must authenticate the exact bike.</x:v>
      </x:c>
      <x:c r="K43" s="34" t="str">
        <x:v>Create complete physical and documentary provenance dossier.</x:v>
      </x:c>
    </x:row>
    <x:row r="44" ht="74" customHeight="1">
      <x:c r="A44" s="34" t="str">
        <x:v>V04-F-0040</x:v>
      </x:c>
      <x:c r="B44" s="34" t="str">
        <x:v>Felicia Stancil</x:v>
      </x:c>
      <x:c r="C44" s="34" t="str">
        <x:v>No exact BMXMuseum Felicia Stancil bike or rider object ID was recovered in this scan.</x:v>
      </x:c>
      <x:c r="D44" s="34" t="str">
        <x:v>2026-07-30</x:v>
      </x:c>
      <x:c r="E44" s="34" t="str">
        <x:v>Method finding</x:v>
      </x:c>
      <x:c r="F44" s="192" t="str">
        <x:v>V1</x:v>
      </x:c>
      <x:c r="G44" s="34" t="str">
        <x:v>OPEN</x:v>
      </x:c>
      <x:c r="H44" s="34" t="str"/>
      <x:c r="I44" s="34" t="str"/>
      <x:c r="J44" s="34" t="str">
        <x:v>This is an indexing gap, not proof of absence.</x:v>
      </x:c>
      <x:c r="K44" s="34" t="str">
        <x:v>Search GT Speed Series, 2012 Birmingham, W1 plate and rider-name backlinks.</x:v>
      </x:c>
    </x:row>
  </x:sheetData>
  <x:mergeCells>
    <x:mergeCell ref="A1:K1"/>
    <x:mergeCell ref="A2:K2"/>
  </x:mergeCells>
  <x:dataValidations count="1">
    <x:dataValidation type="list" sqref="G5:G44">
      <x:formula1>"VERIFIED,VERIFIED AT SUMMARY LEVEL,VERIFIED AS RELEASE CLAIM,VERIFIED AS SELF-HISTORY,VERIFIED AS FIRST-PERSON ACCOUNT,VERIFIED OBJECT ID,VERIFIED OBJECT IDS,DOCUMENTED IN ARCHIVE,CONFIRMED AS COVERAGE LEAD,ATTRIBUTED ONLY,LEAD ONLY,LEAD SET,OPEN,OPEN AUTHENTICATION"</x:formula1>
    </x:dataValidation>
  </x:dataValidations>
  <x:pageMargins left="0.7" right="0.7" top="0.75" bottom="0.75" header="0.3" footer="0.3"/>
  <x:tableParts count="1">
    <x:tablePart xmlns:r="http://schemas.openxmlformats.org/officeDocument/2006/relationships" r:id="Rb4cddc5912484d1b"/>
  </x:tableParts>
</x:worksheet>
</file>

<file path=xl/worksheets/sheet24.xml><?xml version="1.0" encoding="utf-8"?>
<x:worksheet xmlns:x="http://schemas.openxmlformats.org/spreadsheetml/2006/main">
  <x:sheetFormatPr defaultRowHeight="15"/>
  <x:cols>
    <x:col min="1" max="1" width="17" hidden="0" customWidth="1"/>
    <x:col min="2" max="2" width="20" hidden="0" customWidth="1"/>
    <x:col min="3" max="3" width="19" hidden="0" customWidth="1"/>
    <x:col min="4" max="4" width="34" hidden="0" customWidth="1"/>
    <x:col min="5" max="5" width="42" hidden="0" customWidth="1"/>
    <x:col min="6" max="6" width="42" hidden="0" customWidth="1"/>
    <x:col min="7" max="7" width="43" hidden="0" customWidth="1"/>
    <x:col min="8" max="8" width="31" hidden="0" customWidth="1"/>
    <x:col min="9" max="9" width="48" hidden="0" customWidth="1"/>
    <x:col min="10" max="10" width="46" hidden="0" customWidth="1"/>
  </x:cols>
  <x:sheetData>
    <x:row r="1" ht="30" customHeight="1">
      <x:c r="A1" s="182" t="str">
        <x:v>v0.4 Lititz BMX Artifact Crosswalk</x:v>
      </x:c>
      <x:c r="B1" s="182"/>
      <x:c r="C1" s="182"/>
      <x:c r="D1" s="182"/>
      <x:c r="E1" s="182"/>
      <x:c r="F1" s="182"/>
      <x:c r="G1" s="182"/>
      <x:c r="H1" s="182"/>
      <x:c r="I1" s="182"/>
      <x:c r="J1" s="182"/>
    </x:row>
    <x:row r="2" ht="30" customHeight="1">
      <x:c r="A2" s="186" t="str">
        <x:v>A comparable BMXMuseum bike is never treated as the exact Lititz artifact. Artifact provenance, model history and competitive results remain distinct evidence layers.</x:v>
      </x:c>
      <x:c r="B2" s="186"/>
      <x:c r="C2" s="186"/>
      <x:c r="D2" s="186"/>
      <x:c r="E2" s="186"/>
      <x:c r="F2" s="186"/>
      <x:c r="G2" s="186"/>
      <x:c r="H2" s="186"/>
      <x:c r="I2" s="186"/>
      <x:c r="J2" s="186"/>
    </x:row>
    <x:row r="4">
      <x:c r="A4" s="191" t="str">
        <x:v>Crosswalk ID</x:v>
      </x:c>
      <x:c r="B4" s="191" t="str">
        <x:v>Cluster</x:v>
      </x:c>
      <x:c r="C4" s="191" t="str">
        <x:v>Lititz Artifact ID</x:v>
      </x:c>
      <x:c r="D4" s="191" t="str">
        <x:v>Artifact / Holding</x:v>
      </x:c>
      <x:c r="E4" s="191" t="str">
        <x:v>Current Evidence</x:v>
      </x:c>
      <x:c r="F4" s="191" t="str">
        <x:v>BMXMuseum Relationship</x:v>
      </x:c>
      <x:c r="G4" s="191" t="str">
        <x:v>Independent Verification</x:v>
      </x:c>
      <x:c r="H4" s="191" t="str">
        <x:v>Authentication Status</x:v>
      </x:c>
      <x:c r="I4" s="191" t="str">
        <x:v>Highest-Priority Work</x:v>
      </x:c>
      <x:c r="J4" s="191" t="str">
        <x:v>Public URL</x:v>
      </x:c>
    </x:row>
    <x:row r="5" ht="74" customHeight="1">
      <x:c r="A5" s="34" t="str">
        <x:v>V04-X-0001</x:v>
      </x:c>
      <x:c r="B5" s="34" t="str">
        <x:v>Radical Rick</x:v>
      </x:c>
      <x:c r="C5" s="34" t="str">
        <x:v>26.0056</x:v>
      </x:c>
      <x:c r="D5" s="34" t="str">
        <x:v>Complete Episodes softcover press proof 2 of 8</x:v>
      </x:c>
      <x:c r="E5" s="34" t="str">
        <x:v>Signed/numbered proof cataloged by Lititz BMX.</x:v>
      </x:c>
      <x:c r="F5" s="34" t="str">
        <x:v>No exact BMXMuseum object recovered.</x:v>
      </x:c>
      <x:c r="G5" s="34" t="str">
        <x:v>Rights-holder site documents the book and 150+ episode history.</x:v>
      </x:c>
      <x:c r="H5" s="34" t="str">
        <x:v>Strong artifact identity; production-count verification remains creator-based.</x:v>
      </x:c>
      <x:c r="I5" s="34" t="str">
        <x:v>Record dimensions, seals, signature and chain of custody.</x:v>
      </x:c>
      <x:c r="J5" s="34" t="str">
        <x:v>https://sites.google.com/view/lititzbmxinventorylist/home/26-0056</x:v>
      </x:c>
    </x:row>
    <x:row r="6" ht="74" customHeight="1">
      <x:c r="A6" s="34" t="str">
        <x:v>V04-X-0002</x:v>
      </x:c>
      <x:c r="B6" s="34" t="str">
        <x:v>Radical Rick</x:v>
      </x:c>
      <x:c r="C6" s="34" t="str">
        <x:v>26.0057</x:v>
      </x:c>
      <x:c r="D6" s="34" t="str">
        <x:v>Radical Rick and Bill Allen signed print 57/100</x:v>
      </x:c>
      <x:c r="E6" s="34" t="str">
        <x:v>Lititz inventory and signatures.</x:v>
      </x:c>
      <x:c r="F6" s="34" t="str">
        <x:v>Potential forum/reference/cultural-history relationship.</x:v>
      </x:c>
      <x:c r="G6" s="34" t="str">
        <x:v>Creator and actor provenance should be documented separately.</x:v>
      </x:c>
      <x:c r="H6" s="34" t="str">
        <x:v>Moderate-high; edition and signatures need photographic record.</x:v>
      </x:c>
      <x:c r="I6" s="34" t="str">
        <x:v>Capture certificates, signatures, date and acquisition evidence.</x:v>
      </x:c>
      <x:c r="J6" s="34" t="str">
        <x:v>https://sites.google.com/view/lititzbmxinventorylist/home/26-0057</x:v>
      </x:c>
    </x:row>
    <x:row r="7" ht="74" customHeight="1">
      <x:c r="A7" s="34" t="str">
        <x:v>V04-X-0003</x:v>
      </x:c>
      <x:c r="B7" s="34" t="str">
        <x:v>Radical Rick</x:v>
      </x:c>
      <x:c r="C7" s="34" t="str">
        <x:v>26.0058</x:v>
      </x:c>
      <x:c r="D7" s="34" t="str">
        <x:v>Gold Radical Rick Supercross bobblehead</x:v>
      </x:c>
      <x:c r="E7" s="34" t="str">
        <x:v>Lititz inventory; limited-edition release.</x:v>
      </x:c>
      <x:c r="F7" s="34" t="str">
        <x:v>No exact BMXMuseum object recovered.</x:v>
      </x:c>
      <x:c r="G7" s="34" t="str">
        <x:v>Supercross first-party release material supports 45-unit claim.</x:v>
      </x:c>
      <x:c r="H7" s="34" t="str">
        <x:v>High at product level; Lititz unit number pending.</x:v>
      </x:c>
      <x:c r="I7" s="34" t="str">
        <x:v>Record unit number, packaging and signed markings.</x:v>
      </x:c>
      <x:c r="J7" s="34" t="str">
        <x:v>https://sites.google.com/view/lititzbmxinventorylist/home/26-0058</x:v>
      </x:c>
    </x:row>
    <x:row r="8" ht="74" customHeight="1">
      <x:c r="A8" s="34" t="str">
        <x:v>V04-X-0004</x:v>
      </x:c>
      <x:c r="B8" s="34" t="str">
        <x:v>Team USA</x:v>
      </x:c>
      <x:c r="C8" s="34" t="str">
        <x:v>26.0024</x:v>
      </x:c>
      <x:c r="D8" s="34" t="str">
        <x:v>Greg Mathias-signed 2022 Team USA jersey</x:v>
      </x:c>
      <x:c r="E8" s="34" t="str">
        <x:v>Artifact and signature recorded.</x:v>
      </x:c>
      <x:c r="F8" s="34" t="str">
        <x:v>BMXMuseum Team USA coverage remains open.</x:v>
      </x:c>
      <x:c r="G8" s="34" t="str">
        <x:v>USA BMX officially confirms JMC/Darrell Young-inspired design.</x:v>
      </x:c>
      <x:c r="H8" s="34" t="str">
        <x:v>High for design identity; wear/ownership history needs documentation.</x:v>
      </x:c>
      <x:c r="I8" s="34" t="str">
        <x:v>Photograph labels, signature, size and provenance.</x:v>
      </x:c>
      <x:c r="J8" s="34" t="str">
        <x:v>https://sites.google.com/view/lititzbmxinventorylist/home/26-0024</x:v>
      </x:c>
    </x:row>
    <x:row r="9" ht="74" customHeight="1">
      <x:c r="A9" s="34" t="str">
        <x:v>V04-X-0005</x:v>
      </x:c>
      <x:c r="B9" s="34" t="str">
        <x:v>Team USA</x:v>
      </x:c>
      <x:c r="C9" s="34" t="str">
        <x:v>HISTORICAL / transferred</x:v>
      </x:c>
      <x:c r="D9" s="34" t="str">
        <x:v>2017 Team USA 'Leary' jersey</x:v>
      </x:c>
      <x:c r="E9" s="34" t="str">
        <x:v>Recovered from Leary Locker and presented to Greg Mathias.</x:v>
      </x:c>
      <x:c r="F9" s="34" t="str">
        <x:v>Potential rider/jersey/thread relationship.</x:v>
      </x:c>
      <x:c r="G9" s="34" t="str">
        <x:v>Lititz exchange records documented through 26.0080 and 26.0081.</x:v>
      </x:c>
      <x:c r="H9" s="34" t="str">
        <x:v>Historical relationship documented; original wearer unresolved.</x:v>
      </x:c>
      <x:c r="I9" s="34" t="str">
        <x:v>Recover photographs and Mathias/Linda Leary testimony.</x:v>
      </x:c>
      <x:c r="J9" s="34" t="str"/>
    </x:row>
    <x:row r="10" ht="74" customHeight="1">
      <x:c r="A10" s="34" t="str">
        <x:v>V04-X-0006</x:v>
      </x:c>
      <x:c r="B10" s="34" t="str">
        <x:v>Team USA</x:v>
      </x:c>
      <x:c r="C10" s="34" t="str">
        <x:v>26.0080 / 26.0081</x:v>
      </x:c>
      <x:c r="D10" s="34" t="str">
        <x:v>Fall Risk Racing Leary and Mathias jerseys</x:v>
      </x:c>
      <x:c r="E10" s="34" t="str">
        <x:v>Gifts linked to 2017 Team USA jersey exchange.</x:v>
      </x:c>
      <x:c r="F10" s="34" t="str">
        <x:v>No exact BMXMuseum object recovered.</x:v>
      </x:c>
      <x:c r="G10" s="34" t="str">
        <x:v>Lititz provenance record.</x:v>
      </x:c>
      <x:c r="H10" s="34" t="str">
        <x:v>High for exchange; garment use context may need testimony.</x:v>
      </x:c>
      <x:c r="I10" s="34" t="str">
        <x:v>Preserve exchange as a relationship, not Team USA artifact status.</x:v>
      </x:c>
      <x:c r="J10" s="34" t="str">
        <x:v>https://sites.google.com/view/lititzbmxinventorylist/home/26-0080</x:v>
      </x:c>
    </x:row>
    <x:row r="11" ht="74" customHeight="1">
      <x:c r="A11" s="34" t="str">
        <x:v>V04-X-0007</x:v>
      </x:c>
      <x:c r="B11" s="34" t="str">
        <x:v>Boss</x:v>
      </x:c>
      <x:c r="C11" s="34" t="str">
        <x:v>26.0055</x:v>
      </x:c>
      <x:c r="D11" s="34" t="str">
        <x:v>First 'Livermore' Boss Hogg complete, serial CR01</x:v>
      </x:c>
      <x:c r="E11" s="34" t="str">
        <x:v>Serial and restoration history cataloged.</x:v>
      </x:c>
      <x:c r="F11" s="34" t="str">
        <x:v>Exact Boss BMXMuseum comparison records not yet recovered.</x:v>
      </x:c>
      <x:c r="G11" s="34" t="str">
        <x:v>Current Boss company history and official rider biographies provide context.</x:v>
      </x:c>
      <x:c r="H11" s="34" t="str">
        <x:v>Probable significant survivor; 'first' status unverified independently.</x:v>
      </x:c>
      <x:c r="I11" s="34" t="str">
        <x:v>Build CR01 authentication dossier.</x:v>
      </x:c>
      <x:c r="J11" s="34" t="str">
        <x:v>https://sites.google.com/view/lititzbmxinventorylist/home/26-0055</x:v>
      </x:c>
    </x:row>
    <x:row r="12" ht="74" customHeight="1">
      <x:c r="A12" s="34" t="str">
        <x:v>V04-X-0008</x:v>
      </x:c>
      <x:c r="B12" s="34" t="str">
        <x:v>JAD</x:v>
      </x:c>
      <x:c r="C12" s="34" t="str">
        <x:v>ID PENDING</x:v>
      </x:c>
      <x:c r="D12" s="34" t="str">
        <x:v>JAD Street Style Sherman and associated stand</x:v>
      </x:c>
      <x:c r="E12" s="34" t="str">
        <x:v>Known Lititz holding; rarity claims preserved as attributed.</x:v>
      </x:c>
      <x:c r="F12" s="34" t="str">
        <x:v>BMXMuseum contains JAD comparison examples; exact IDs unresolved.</x:v>
      </x:c>
      <x:c r="G12" s="34" t="str">
        <x:v>Community references only in this tranche.</x:v>
      </x:c>
      <x:c r="H12" s="34" t="str">
        <x:v>Open.</x:v>
      </x:c>
      <x:c r="I12" s="34" t="str">
        <x:v>Assign artifact ID, record serial/geometry, then seek builder documentation.</x:v>
      </x:c>
      <x:c r="J12" s="34" t="str"/>
    </x:row>
    <x:row r="13" ht="74" customHeight="1">
      <x:c r="A13" s="34" t="str">
        <x:v>V04-X-0009</x:v>
      </x:c>
      <x:c r="B13" s="34" t="str">
        <x:v>Auburn</x:v>
      </x:c>
      <x:c r="C13" s="34" t="str">
        <x:v>26.0085</x:v>
      </x:c>
      <x:c r="D13" s="34" t="str">
        <x:v>Auburn racing jersey</x:v>
      </x:c>
      <x:c r="E13" s="34" t="str">
        <x:v>Confirmed inventory object.</x:v>
      </x:c>
      <x:c r="F13" s="34" t="str">
        <x:v>Four exact Auburn BMXMuseum records recovered as model context.</x:v>
      </x:c>
      <x:c r="G13" s="34" t="str">
        <x:v>Todd Huffman first-person history and USA BMX rider biography.</x:v>
      </x:c>
      <x:c r="H13" s="34" t="str">
        <x:v>Artifact identity high; year/team/wearer open.</x:v>
      </x:c>
      <x:c r="I13" s="34" t="str">
        <x:v>Identify logos, labels, era and possible rider/team.</x:v>
      </x:c>
      <x:c r="J13" s="34" t="str">
        <x:v>https://sites.google.com/view/lititzbmxinventorylist/home/26-0085</x:v>
      </x:c>
    </x:row>
    <x:row r="14" ht="74" customHeight="1">
      <x:c r="A14" s="34" t="str">
        <x:v>V04-X-0010</x:v>
      </x:c>
      <x:c r="B14" s="34" t="str">
        <x:v>ELF</x:v>
      </x:c>
      <x:c r="C14" s="34" t="str">
        <x:v>26.0006</x:v>
      </x:c>
      <x:c r="D14" s="34" t="str">
        <x:v>ELF catalog</x:v>
      </x:c>
      <x:c r="E14" s="34" t="str">
        <x:v>Confirmed inventory object.</x:v>
      </x:c>
      <x:c r="F14" s="34" t="str">
        <x:v>ELF gallery and title-only model layer recovered.</x:v>
      </x:c>
      <x:c r="G14" s="34" t="str">
        <x:v>Current ELF first-party history.</x:v>
      </x:c>
      <x:c r="H14" s="34" t="str">
        <x:v>Catalog identity high; date/edition unresolved.</x:v>
      </x:c>
      <x:c r="I14" s="34" t="str">
        <x:v>Create page-by-page bibliographic inventory.</x:v>
      </x:c>
      <x:c r="J14" s="34" t="str">
        <x:v>https://sites.google.com/view/lititzbmxinventorylist/home/26-0006</x:v>
      </x:c>
    </x:row>
    <x:row r="15" ht="74" customHeight="1">
      <x:c r="A15" s="34" t="str">
        <x:v>V04-X-0011</x:v>
      </x:c>
      <x:c r="B15" s="34" t="str">
        <x:v>Kastan</x:v>
      </x:c>
      <x:c r="C15" s="34" t="str">
        <x:v>26.0011</x:v>
      </x:c>
      <x:c r="D15" s="34" t="str">
        <x:v>Kastan MTB frame</x:v>
      </x:c>
      <x:c r="E15" s="34" t="str">
        <x:v>Confirmed inventory object.</x:v>
      </x:c>
      <x:c r="F15" s="34" t="str">
        <x:v>Exact 1989 Kastan Pro-S BMXMuseum record gives brand/model context only.</x:v>
      </x:c>
      <x:c r="G15" s="34" t="str">
        <x:v>Redline/Kastan company-history sources.</x:v>
      </x:c>
      <x:c r="H15" s="34" t="str">
        <x:v>Artifact brand identity recorded; exact model/date open.</x:v>
      </x:c>
      <x:c r="I15" s="34" t="str">
        <x:v>Measure and photograph serial, decals, tubing and dropouts.</x:v>
      </x:c>
      <x:c r="J15" s="34" t="str">
        <x:v>https://sites.google.com/view/lititzbmxinventorylist/home/26-0011</x:v>
      </x:c>
    </x:row>
    <x:row r="16" ht="74" customHeight="1">
      <x:c r="A16" s="34" t="str">
        <x:v>V04-X-0012</x:v>
      </x:c>
      <x:c r="B16" s="34" t="str">
        <x:v>Formula One / F-1 / F1</x:v>
      </x:c>
      <x:c r="C16" s="34" t="str">
        <x:v>ID PENDING</x:v>
      </x:c>
      <x:c r="D16" s="34" t="str">
        <x:v>F-1 Challenge trophy</x:v>
      </x:c>
      <x:c r="E16" s="34" t="str">
        <x:v>Known Lititz holding; trophy is primary object.</x:v>
      </x:c>
      <x:c r="F16" s="34" t="str">
        <x:v>No exact BMXMuseum event/trophy object recovered.</x:v>
      </x:c>
      <x:c r="G16" s="34" t="str">
        <x:v>Period Formula One model advertising does not yet explain trophy.</x:v>
      </x:c>
      <x:c r="H16" s="34" t="str">
        <x:v>Open.</x:v>
      </x:c>
      <x:c r="I16" s="34" t="str">
        <x:v>Photograph all inscriptions; identify event, date, sanction and recipient.</x:v>
      </x:c>
      <x:c r="J16" s="34" t="str"/>
    </x:row>
    <x:row r="17" ht="74" customHeight="1">
      <x:c r="A17" s="34" t="str">
        <x:v>V04-X-0013</x:v>
      </x:c>
      <x:c r="B17" s="34" t="str">
        <x:v>Formula One / F-1 / F1</x:v>
      </x:c>
      <x:c r="C17" s="34" t="str">
        <x:v>ID PENDING</x:v>
      </x:c>
      <x:c r="D17" s="34" t="str">
        <x:v>Matching F-1 bicycle</x:v>
      </x:c>
      <x:c r="E17" s="34" t="str">
        <x:v>Known Lititz holding; used as interpretive hook.</x:v>
      </x:c>
      <x:c r="F17" s="34" t="str">
        <x:v>No exact BMXMuseum record recovered.</x:v>
      </x:c>
      <x:c r="G17" s="34" t="str">
        <x:v>1984 and 1988 Diamond Back Formula One ads verify model lineage.</x:v>
      </x:c>
      <x:c r="H17" s="34" t="str">
        <x:v>Open.</x:v>
      </x:c>
      <x:c r="I17" s="34" t="str">
        <x:v>Identify model year, serial, components and link—if any—to trophy.</x:v>
      </x:c>
      <x:c r="J17" s="34" t="str"/>
    </x:row>
    <x:row r="18" ht="74" customHeight="1">
      <x:c r="A18" s="34" t="str">
        <x:v>V04-X-0014</x:v>
      </x:c>
      <x:c r="B18" s="34" t="str">
        <x:v>Felicia Stancil</x:v>
      </x:c>
      <x:c r="C18" s="34" t="str">
        <x:v>26.0054</x:v>
      </x:c>
      <x:c r="D18" s="34" t="str">
        <x:v>2012 UCI Worlds dual-W1 GT Speed Series</x:v>
      </x:c>
      <x:c r="E18" s="34" t="str">
        <x:v>Bike and original W1 plate cataloged.</x:v>
      </x:c>
      <x:c r="F18" s="34" t="str">
        <x:v>No exact BMXMuseum record recovered.</x:v>
      </x:c>
      <x:c r="G18" s="34" t="str">
        <x:v>Official 2012 results verify both Junior Women's titles.</x:v>
      </x:c>
      <x:c r="H18" s="34" t="str">
        <x:v>Achievement verified; exact bicycle authentication remains open.</x:v>
      </x:c>
      <x:c r="I18" s="34" t="str">
        <x:v>Build serial/photo/component/provenance dossier.</x:v>
      </x:c>
      <x:c r="J18" s="34" t="str">
        <x:v>https://sites.google.com/view/lititzbmxinventorylist/home/26-0054</x:v>
      </x:c>
    </x:row>
  </x:sheetData>
  <x:mergeCells>
    <x:mergeCell ref="A1:J1"/>
    <x:mergeCell ref="A2:J2"/>
  </x:mergeCells>
  <x:pageMargins left="0.7" right="0.7" top="0.75" bottom="0.75" header="0.3" footer="0.3"/>
  <x:tableParts count="1">
    <x:tablePart xmlns:r="http://schemas.openxmlformats.org/officeDocument/2006/relationships" r:id="Rbcfe985d98484806"/>
  </x:tableParts>
</x:worksheet>
</file>

<file path=xl/worksheets/sheet25.xml><?xml version="1.0" encoding="utf-8"?>
<x:worksheet xmlns:x="http://schemas.openxmlformats.org/spreadsheetml/2006/main">
  <x:sheetFormatPr defaultRowHeight="15"/>
  <x:cols>
    <x:col min="1" max="1" width="16" hidden="0" customWidth="1"/>
    <x:col min="2" max="2" width="24" hidden="0" customWidth="1"/>
    <x:col min="3" max="3" width="38" hidden="0" customWidth="1"/>
    <x:col min="4" max="4" width="28" hidden="0" customWidth="1"/>
    <x:col min="5" max="5" width="55" hidden="0" customWidth="1"/>
    <x:col min="6" max="6" width="27" hidden="0" customWidth="1"/>
    <x:col min="7" max="7" width="46" hidden="0" customWidth="1"/>
    <x:col min="8" max="8" width="48" hidden="0" customWidth="1"/>
    <x:col min="9" max="9" width="13" hidden="0" customWidth="1"/>
  </x:cols>
  <x:sheetData>
    <x:row r="1" ht="30" customHeight="1">
      <x:c r="A1" s="182" t="str">
        <x:v>v0.4 Source Register</x:v>
      </x:c>
      <x:c r="B1" s="182"/>
      <x:c r="C1" s="182"/>
      <x:c r="D1" s="182"/>
      <x:c r="E1" s="182"/>
      <x:c r="F1" s="182"/>
      <x:c r="G1" s="182"/>
      <x:c r="H1" s="182"/>
      <x:c r="I1" s="182"/>
    </x:row>
    <x:row r="2" ht="30" customHeight="1">
      <x:c r="A2" s="186" t="str">
        <x:v>Every researched finding retains a plain-text URL, source class, supported claims and limitations. Period scans and copyrighted imagery remain index-only.</x:v>
      </x:c>
      <x:c r="B2" s="186"/>
      <x:c r="C2" s="186"/>
      <x:c r="D2" s="186"/>
      <x:c r="E2" s="186"/>
      <x:c r="F2" s="186"/>
      <x:c r="G2" s="186"/>
      <x:c r="H2" s="186"/>
      <x:c r="I2" s="186"/>
    </x:row>
    <x:row r="4">
      <x:c r="A4" s="191" t="str">
        <x:v>Source ID</x:v>
      </x:c>
      <x:c r="B4" s="191" t="str">
        <x:v>Cluster(s)</x:v>
      </x:c>
      <x:c r="C4" s="191" t="str">
        <x:v>Source Title / Organization</x:v>
      </x:c>
      <x:c r="D4" s="191" t="str">
        <x:v>Source Type</x:v>
      </x:c>
      <x:c r="E4" s="191" t="str">
        <x:v>URL</x:v>
      </x:c>
      <x:c r="F4" s="191" t="str">
        <x:v>Authority Class</x:v>
      </x:c>
      <x:c r="G4" s="191" t="str">
        <x:v>Claims Supported</x:v>
      </x:c>
      <x:c r="H4" s="191" t="str">
        <x:v>Limitations / Rights Note</x:v>
      </x:c>
      <x:c r="I4" s="191" t="str">
        <x:v>Accessed</x:v>
      </x:c>
    </x:row>
    <x:row r="5" ht="74" customHeight="1">
      <x:c r="A5" s="34" t="str">
        <x:v>V04-S-0001</x:v>
      </x:c>
      <x:c r="B5" s="34" t="str">
        <x:v>Radical Rick</x:v>
      </x:c>
      <x:c r="C5" s="34" t="str">
        <x:v>Official Radical Rick — About</x:v>
      </x:c>
      <x:c r="D5" s="34" t="str">
        <x:v>Rights-holder first-party</x:v>
      </x:c>
      <x:c r="E5" s="34" t="str">
        <x:v>https://radicalrickbmx.com/pages/about-radical-rick</x:v>
      </x:c>
      <x:c r="F5" s="34" t="str">
        <x:v>PRIMARY / FIRST-PARTY</x:v>
      </x:c>
      <x:c r="G5" s="34" t="str">
        <x:v>Creation date, publication span, creator, reruns.</x:v>
      </x:c>
      <x:c r="H5" s="34" t="str">
        <x:v>Do not reproduce comic art or extensive text.</x:v>
      </x:c>
      <x:c r="I5" s="34" t="str">
        <x:v>2026-07-30</x:v>
      </x:c>
    </x:row>
    <x:row r="6" ht="74" customHeight="1">
      <x:c r="A6" s="34" t="str">
        <x:v>V04-S-0002</x:v>
      </x:c>
      <x:c r="B6" s="34" t="str">
        <x:v>Radical Rick</x:v>
      </x:c>
      <x:c r="C6" s="34" t="str">
        <x:v>Official Radical Rick — The Book</x:v>
      </x:c>
      <x:c r="D6" s="34" t="str">
        <x:v>Rights-holder first-person</x:v>
      </x:c>
      <x:c r="E6" s="34" t="str">
        <x:v>https://radicalrickbmx.com/pages/the-book</x:v>
      </x:c>
      <x:c r="F6" s="34" t="str">
        <x:v>PRIMARY / FIRST-PARTY</x:v>
      </x:c>
      <x:c r="G6" s="34" t="str">
        <x:v>150+ episodes, book history, self-publication.</x:v>
      </x:c>
      <x:c r="H6" s="34" t="str">
        <x:v>Commercial page; counts need issue-level reconciliation.</x:v>
      </x:c>
      <x:c r="I6" s="34" t="str">
        <x:v>2026-07-30</x:v>
      </x:c>
    </x:row>
    <x:row r="7" ht="74" customHeight="1">
      <x:c r="A7" s="34" t="str">
        <x:v>V04-S-0003</x:v>
      </x:c>
      <x:c r="B7" s="34" t="str">
        <x:v>Radical Rick</x:v>
      </x:c>
      <x:c r="C7" s="34" t="str">
        <x:v>Haro archive — Radical Rick 24 2023</x:v>
      </x:c>
      <x:c r="D7" s="34" t="str">
        <x:v>Manufacturer archive</x:v>
      </x:c>
      <x:c r="E7" s="34" t="str">
        <x:v>https://archive.harobikes.com/bmx/2023-freestyle/radical-rick-24-2023</x:v>
      </x:c>
      <x:c r="F7" s="34" t="str">
        <x:v>PRIMARY / MANUFACTURER</x:v>
      </x:c>
      <x:c r="G7" s="34" t="str">
        <x:v>2023 collaboration, sizes and specifications.</x:v>
      </x:c>
      <x:c r="H7" s="34" t="str">
        <x:v>Applies only to manufacturer-listed model.</x:v>
      </x:c>
      <x:c r="I7" s="34" t="str">
        <x:v>2026-07-30</x:v>
      </x:c>
    </x:row>
    <x:row r="8" ht="74" customHeight="1">
      <x:c r="A8" s="34" t="str">
        <x:v>V04-S-0004</x:v>
      </x:c>
      <x:c r="B8" s="34" t="str">
        <x:v>Radical Rick</x:v>
      </x:c>
      <x:c r="C8" s="34" t="str">
        <x:v>Supercross Radical Rick gold bobblehead</x:v>
      </x:c>
      <x:c r="D8" s="34" t="str">
        <x:v>Manufacturer/creator product page</x:v>
      </x:c>
      <x:c r="E8" s="34" t="str">
        <x:v>https://www.supercrossbmx.com/collections/bobbleheads/products/supercross-bmx-radical-rick-bmx-bobble-head</x:v>
      </x:c>
      <x:c r="F8" s="34" t="str">
        <x:v>PRIMARY / COMMERCIAL</x:v>
      </x:c>
      <x:c r="G8" s="34" t="str">
        <x:v>Collaboration and 45-unit release claim.</x:v>
      </x:c>
      <x:c r="H8" s="34" t="str">
        <x:v>Do not copy product images.</x:v>
      </x:c>
      <x:c r="I8" s="34" t="str">
        <x:v>2026-07-30</x:v>
      </x:c>
    </x:row>
    <x:row r="9" ht="74" customHeight="1">
      <x:c r="A9" s="34" t="str">
        <x:v>V04-S-0005</x:v>
      </x:c>
      <x:c r="B9" s="34" t="str">
        <x:v>Team USA</x:v>
      </x:c>
      <x:c r="C9" s="34" t="str">
        <x:v>USA BMX — 2022 Worlds jerseys revealed</x:v>
      </x:c>
      <x:c r="D9" s="34" t="str">
        <x:v>Official sanctioning body</x:v>
      </x:c>
      <x:c r="E9" s="34" t="str">
        <x:v>https://www.usabmx.com/news-and-media/6/2022-05-02/2022-TEAM-USA-Worlds-Jerseys-revealed?id=1951</x:v>
      </x:c>
      <x:c r="F9" s="34" t="str">
        <x:v>AUTHORITATIVE</x:v>
      </x:c>
      <x:c r="G9" s="34" t="str">
        <x:v>JMC/Darrell Young design inspiration, event context.</x:v>
      </x:c>
      <x:c r="H9" s="34" t="str">
        <x:v>Jersey ownership remains artifact-specific.</x:v>
      </x:c>
      <x:c r="I9" s="34" t="str">
        <x:v>2026-07-30</x:v>
      </x:c>
    </x:row>
    <x:row r="10" ht="74" customHeight="1">
      <x:c r="A10" s="34" t="str">
        <x:v>V04-S-0006</x:v>
      </x:c>
      <x:c r="B10" s="34" t="str">
        <x:v>Team USA; Felicia Stancil</x:v>
      </x:c>
      <x:c r="C10" s="34" t="str">
        <x:v>USA Cycling — 2022 BMX Worlds team</x:v>
      </x:c>
      <x:c r="D10" s="34" t="str">
        <x:v>National governing body</x:v>
      </x:c>
      <x:c r="E10" s="34" t="str">
        <x:v>https://usacycling.org/article/usa-cycling-announces-2022-bmx-racing-world-championship-team</x:v>
      </x:c>
      <x:c r="F10" s="34" t="str">
        <x:v>AUTHORITATIVE</x:v>
      </x:c>
      <x:c r="G10" s="34" t="str">
        <x:v>22-athlete roster, categories, Felicia Stancil context.</x:v>
      </x:c>
      <x:c r="H10" s="34" t="str">
        <x:v>Elite/U23/junior roster differs from Challenge-class lists.</x:v>
      </x:c>
      <x:c r="I10" s="34" t="str">
        <x:v>2026-07-30</x:v>
      </x:c>
    </x:row>
    <x:row r="11" ht="74" customHeight="1">
      <x:c r="A11" s="34" t="str">
        <x:v>V04-S-0007</x:v>
      </x:c>
      <x:c r="B11" s="34" t="str">
        <x:v>Boss; Auburn</x:v>
      </x:c>
      <x:c r="C11" s="34" t="str">
        <x:v>USA BMX — Greg Romero Hall of Fame</x:v>
      </x:c>
      <x:c r="D11" s="34" t="str">
        <x:v>Official sanctioning-body biography</x:v>
      </x:c>
      <x:c r="E11" s="34" t="str">
        <x:v>https://www.usabmx.com/about/hall-of-fame/1697</x:v>
      </x:c>
      <x:c r="F11" s="34" t="str">
        <x:v>AUTHORITATIVE</x:v>
      </x:c>
      <x:c r="G11" s="34" t="str">
        <x:v>Boss mentorship, 1994 title, Auburn factory ride.</x:v>
      </x:c>
      <x:c r="H11" s="34" t="str">
        <x:v>Summary biography, not full results ledger.</x:v>
      </x:c>
      <x:c r="I11" s="34" t="str">
        <x:v>2026-07-30</x:v>
      </x:c>
    </x:row>
    <x:row r="12" ht="74" customHeight="1">
      <x:c r="A12" s="34" t="str">
        <x:v>V04-S-0008</x:v>
      </x:c>
      <x:c r="B12" s="34" t="str">
        <x:v>Boss</x:v>
      </x:c>
      <x:c r="C12" s="34" t="str">
        <x:v>US Boss Racing</x:v>
      </x:c>
      <x:c r="D12" s="34" t="str">
        <x:v>Current company first-party</x:v>
      </x:c>
      <x:c r="E12" s="34" t="str">
        <x:v>https://www.usboss.bike/</x:v>
      </x:c>
      <x:c r="F12" s="34" t="str">
        <x:v>FIRST-PARTY</x:v>
      </x:c>
      <x:c r="G12" s="34" t="str">
        <x:v>Founding and notable-rider self-history.</x:v>
      </x:c>
      <x:c r="H12" s="34" t="str">
        <x:v>Requires period corroboration.</x:v>
      </x:c>
      <x:c r="I12" s="34" t="str">
        <x:v>2026-07-30</x:v>
      </x:c>
    </x:row>
    <x:row r="13" ht="74" customHeight="1">
      <x:c r="A13" s="34" t="str">
        <x:v>V04-S-0009</x:v>
      </x:c>
      <x:c r="B13" s="34" t="str">
        <x:v>Boss</x:v>
      </x:c>
      <x:c r="C13" s="34" t="str">
        <x:v>Reddit — Looking for Boss BMX</x:v>
      </x:c>
      <x:c r="D13" s="34" t="str">
        <x:v>Community testimony</x:v>
      </x:c>
      <x:c r="E13" s="34" t="str">
        <x:v>https://www.reddit.com/r/bmx/comments/1klvagp/looking_for_boss_bmx/</x:v>
      </x:c>
      <x:c r="F13" s="34" t="str">
        <x:v>COMMUNITY</x:v>
      </x:c>
      <x:c r="G13" s="34" t="str">
        <x:v>Model-name and Livermore memory leads.</x:v>
      </x:c>
      <x:c r="H13" s="34" t="str">
        <x:v>Not authoritative; rarity claims unverified.</x:v>
      </x:c>
      <x:c r="I13" s="34" t="str">
        <x:v>2026-07-30</x:v>
      </x:c>
    </x:row>
    <x:row r="14" ht="74" customHeight="1">
      <x:c r="A14" s="34" t="str">
        <x:v>V04-S-0010</x:v>
      </x:c>
      <x:c r="B14" s="34" t="str">
        <x:v>JAD</x:v>
      </x:c>
      <x:c r="C14" s="34" t="str">
        <x:v>Reddit — frame identification discussion</x:v>
      </x:c>
      <x:c r="D14" s="34" t="str">
        <x:v>Community backlink</x:v>
      </x:c>
      <x:c r="E14" s="34" t="str">
        <x:v>https://www.reddit.com/r/bmx/comments/1h8v6oo/</x:v>
      </x:c>
      <x:c r="F14" s="34" t="str">
        <x:v>COMMUNITY</x:v>
      </x:c>
      <x:c r="G14" s="34" t="str">
        <x:v>Confirms BMXMuseum JAD comparisons were consulted.</x:v>
      </x:c>
      <x:c r="H14" s="34" t="str">
        <x:v>No exact ID; conflicting identification opinions.</x:v>
      </x:c>
      <x:c r="I14" s="34" t="str">
        <x:v>2026-07-30</x:v>
      </x:c>
    </x:row>
    <x:row r="15" ht="74" customHeight="1">
      <x:c r="A15" s="34" t="str">
        <x:v>V04-S-0011</x:v>
      </x:c>
      <x:c r="B15" s="34" t="str">
        <x:v>JAD</x:v>
      </x:c>
      <x:c r="C15" s="34" t="str">
        <x:v>RADBMX JAD Sherman recollection</x:v>
      </x:c>
      <x:c r="D15" s="34" t="str">
        <x:v>First-person community recollection</x:v>
      </x:c>
      <x:c r="E15" s="34" t="str">
        <x:v>https://www.radbmx.co.uk/forum/index.php?topic=112598.0</x:v>
      </x:c>
      <x:c r="F15" s="34" t="str">
        <x:v>COMMUNITY / FIRST-PERSON</x:v>
      </x:c>
      <x:c r="G15" s="34" t="str">
        <x:v>Sponsor-frame riding recollection.</x:v>
      </x:c>
      <x:c r="H15" s="34" t="str">
        <x:v>Subjective and not a technical test.</x:v>
      </x:c>
      <x:c r="I15" s="34" t="str">
        <x:v>2026-07-30</x:v>
      </x:c>
    </x:row>
    <x:row r="16" ht="74" customHeight="1">
      <x:c r="A16" s="34" t="str">
        <x:v>V04-S-0012</x:v>
      </x:c>
      <x:c r="B16" s="34" t="str">
        <x:v>Auburn</x:v>
      </x:c>
      <x:c r="C16" s="34" t="str">
        <x:v>Bicycles Stack Exchange identification</x:v>
      </x:c>
      <x:c r="D16" s="34" t="str">
        <x:v>External backlink index</x:v>
      </x:c>
      <x:c r="E16" s="34" t="str">
        <x:v>https://bicycles.stackexchange.com/questions/60013/id-like-to-know-what-kind-of-bmx-bike-i-have</x:v>
      </x:c>
      <x:c r="F16" s="34" t="str">
        <x:v>SECONDARY / BACKLINK</x:v>
      </x:c>
      <x:c r="G16" s="34" t="str">
        <x:v>Exact BMXMuseum IDs 7968, 67331, 11076, 36235; gallery endpoint.</x:v>
      </x:c>
      <x:c r="H16" s="34" t="str">
        <x:v>Identification debate illustrates uncertainty.</x:v>
      </x:c>
      <x:c r="I16" s="34" t="str">
        <x:v>2026-07-30</x:v>
      </x:c>
    </x:row>
    <x:row r="17" ht="74" customHeight="1">
      <x:c r="A17" s="34" t="str">
        <x:v>V04-S-0013</x:v>
      </x:c>
      <x:c r="B17" s="34" t="str">
        <x:v>Auburn</x:v>
      </x:c>
      <x:c r="C17" s="34" t="str">
        <x:v>Auburn BMX — About</x:v>
      </x:c>
      <x:c r="D17" s="34" t="str">
        <x:v>Community history with named first-person comment</x:v>
      </x:c>
      <x:c r="E17" s="34" t="str">
        <x:v>https://auburnbmx.wordpress.com/about/</x:v>
      </x:c>
      <x:c r="F17" s="34" t="str">
        <x:v>FIRST-PERSON EMBEDDED</x:v>
      </x:c>
      <x:c r="G17" s="34" t="str">
        <x:v>Todd Huffman creation, prototype and first-rider account.</x:v>
      </x:c>
      <x:c r="H17" s="34" t="str">
        <x:v>Hosted in community blog; preserve attribution.</x:v>
      </x:c>
      <x:c r="I17" s="34" t="str">
        <x:v>2026-07-30</x:v>
      </x:c>
    </x:row>
    <x:row r="18" ht="74" customHeight="1">
      <x:c r="A18" s="34" t="str">
        <x:v>V04-S-0014</x:v>
      </x:c>
      <x:c r="B18" s="34" t="str">
        <x:v>ELF</x:v>
      </x:c>
      <x:c r="C18" s="34" t="str">
        <x:v>ELF BMX Products — Home</x:v>
      </x:c>
      <x:c r="D18" s="34" t="str">
        <x:v>Current company first-party</x:v>
      </x:c>
      <x:c r="E18" s="34" t="str">
        <x:v>https://www.elfbmxproducts.com/</x:v>
      </x:c>
      <x:c r="F18" s="34" t="str">
        <x:v>FIRST-PARTY</x:v>
      </x:c>
      <x:c r="G18" s="34" t="str">
        <x:v>1981 Santa Ana origin self-history.</x:v>
      </x:c>
      <x:c r="H18" s="34" t="str">
        <x:v>Current narrative needs period corroboration.</x:v>
      </x:c>
      <x:c r="I18" s="34" t="str">
        <x:v>2026-07-30</x:v>
      </x:c>
    </x:row>
    <x:row r="19" ht="74" customHeight="1">
      <x:c r="A19" s="34" t="str">
        <x:v>V04-S-0015</x:v>
      </x:c>
      <x:c r="B19" s="34" t="str">
        <x:v>ELF</x:v>
      </x:c>
      <x:c r="C19" s="34" t="str">
        <x:v>ELF BMX Products — About ELF</x:v>
      </x:c>
      <x:c r="D19" s="34" t="str">
        <x:v>Current company first-party</x:v>
      </x:c>
      <x:c r="E19" s="34" t="str">
        <x:v>https://www.elfbmxproducts.com/about-elf</x:v>
      </x:c>
      <x:c r="F19" s="34" t="str">
        <x:v>FIRST-PARTY</x:v>
      </x:c>
      <x:c r="G19" s="34" t="str">
        <x:v>1991 Doublecross and design description.</x:v>
      </x:c>
      <x:c r="H19" s="34" t="str">
        <x:v>Performance language is promotional.</x:v>
      </x:c>
      <x:c r="I19" s="34" t="str">
        <x:v>2026-07-30</x:v>
      </x:c>
    </x:row>
    <x:row r="20" ht="74" customHeight="1">
      <x:c r="A20" s="34" t="str">
        <x:v>V04-S-0016</x:v>
      </x:c>
      <x:c r="B20" s="34" t="str">
        <x:v>Kastan</x:v>
      </x:c>
      <x:c r="C20" s="34" t="str">
        <x:v>Reddit — 1989 Kastan Pro-S BMXMuseum link</x:v>
      </x:c>
      <x:c r="D20" s="34" t="str">
        <x:v>Public social backlink</x:v>
      </x:c>
      <x:c r="E20" s="34" t="str">
        <x:v>https://www.reddit.com/r/bmx/comments/1azsq6e/</x:v>
      </x:c>
      <x:c r="F20" s="34" t="str">
        <x:v>EXACT BACKLINK</x:v>
      </x:c>
      <x:c r="G20" s="34" t="str">
        <x:v>BMXMuseum record 126864 and title.</x:v>
      </x:c>
      <x:c r="H20" s="34" t="str">
        <x:v>No independent authentication.</x:v>
      </x:c>
      <x:c r="I20" s="34" t="str">
        <x:v>2026-07-30</x:v>
      </x:c>
    </x:row>
    <x:row r="21" ht="74" customHeight="1">
      <x:c r="A21" s="34" t="str">
        <x:v>V04-S-0017</x:v>
      </x:c>
      <x:c r="B21" s="34" t="str">
        <x:v>Kastan</x:v>
      </x:c>
      <x:c r="C21" s="34" t="str">
        <x:v>Redline Vintage BMX — History</x:v>
      </x:c>
      <x:c r="D21" s="34" t="str">
        <x:v>Specialist history with first-person sourcing</x:v>
      </x:c>
      <x:c r="E21" s="34" t="str">
        <x:v>https://www.redlinevintagebmx.com/redline-history</x:v>
      </x:c>
      <x:c r="F21" s="34" t="str">
        <x:v>PRIMARY-SUPPORTED SPECIALIST</x:v>
      </x:c>
      <x:c r="G21" s="34" t="str">
        <x:v>November 1970 company origin and early development.</x:v>
      </x:c>
      <x:c r="H21" s="34" t="str">
        <x:v>Separate motorcycle and BMX milestones.</x:v>
      </x:c>
      <x:c r="I21" s="34" t="str">
        <x:v>2026-07-30</x:v>
      </x:c>
    </x:row>
    <x:row r="22" ht="74" customHeight="1">
      <x:c r="A22" s="34" t="str">
        <x:v>V04-S-0018</x:v>
      </x:c>
      <x:c r="B22" s="34" t="str">
        <x:v>Formula One / F-1 / F1</x:v>
      </x:c>
      <x:c r="C22" s="34" t="str">
        <x:v>BMX Action June 1984</x:v>
      </x:c>
      <x:c r="D22" s="34" t="str">
        <x:v>Period magazine / advertisement</x:v>
      </x:c>
      <x:c r="E22" s="34" t="str">
        <x:v>https://previouspage.co.uk/magazines/BMX%20Action/issues/54-june-nineteen-eighty-four</x:v>
      </x:c>
      <x:c r="F22" s="34" t="str">
        <x:v>PERIOD PRIMARY</x:v>
      </x:c>
      <x:c r="G22" s="34" t="str">
        <x:v>Formula One rebate advertisement, page 61.</x:v>
      </x:c>
      <x:c r="H22" s="34" t="str">
        <x:v>Index only; do not reproduce full scan.</x:v>
      </x:c>
      <x:c r="I22" s="34" t="str">
        <x:v>2026-07-30</x:v>
      </x:c>
    </x:row>
    <x:row r="23" ht="74" customHeight="1">
      <x:c r="A23" s="34" t="str">
        <x:v>V04-S-0019</x:v>
      </x:c>
      <x:c r="B23" s="34" t="str">
        <x:v>Formula One / F-1 / F1</x:v>
      </x:c>
      <x:c r="C23" s="34" t="str">
        <x:v>BMX Plus! February 1988</x:v>
      </x:c>
      <x:c r="D23" s="34" t="str">
        <x:v>Period magazine / advertisement</x:v>
      </x:c>
      <x:c r="E23" s="34" t="str">
        <x:v>https://previouspage.co.uk/magazines/BMX%20Plus/issues/251-february-nineteen-eighty-eight</x:v>
      </x:c>
      <x:c r="F23" s="34" t="str">
        <x:v>PERIOD PRIMARY</x:v>
      </x:c>
      <x:c r="G23" s="34" t="str">
        <x:v>F-1 Biopace-equipped Formula One advertisement.</x:v>
      </x:c>
      <x:c r="H23" s="34" t="str">
        <x:v>Index only; OCR has errors.</x:v>
      </x:c>
      <x:c r="I23" s="34" t="str">
        <x:v>2026-07-30</x:v>
      </x:c>
    </x:row>
    <x:row r="24" ht="74" customHeight="1">
      <x:c r="A24" s="34" t="str">
        <x:v>V04-S-0020</x:v>
      </x:c>
      <x:c r="B24" s="34" t="str">
        <x:v>Felicia Stancil</x:v>
      </x:c>
      <x:c r="C24" s="34" t="str">
        <x:v>USA BMX — 2012 UCI Worlds update</x:v>
      </x:c>
      <x:c r="D24" s="34" t="str">
        <x:v>Official results/report</x:v>
      </x:c>
      <x:c r="E24" s="34" t="str">
        <x:v>https://www.usabmx.com/news-and-media/6/2012-05-27/UCI-Worlds-Update?id=586</x:v>
      </x:c>
      <x:c r="F24" s="34" t="str">
        <x:v>AUTHORITATIVE</x:v>
      </x:c>
      <x:c r="G24" s="34" t="str">
        <x:v>Junior Women's race title and prior-day time-trial win.</x:v>
      </x:c>
      <x:c r="H24" s="34" t="str">
        <x:v>Full UCI result sheets still desirable.</x:v>
      </x:c>
      <x:c r="I24" s="34" t="str">
        <x:v>2026-07-30</x:v>
      </x:c>
    </x:row>
    <x:row r="25" ht="74" customHeight="1">
      <x:c r="A25" s="34" t="str">
        <x:v>V04-S-0021</x:v>
      </x:c>
      <x:c r="B25" s="34" t="str">
        <x:v>Felicia Stancil</x:v>
      </x:c>
      <x:c r="C25" s="34" t="str">
        <x:v>USA Cycling athlete profile</x:v>
      </x:c>
      <x:c r="D25" s="34" t="str">
        <x:v>National governing body profile</x:v>
      </x:c>
      <x:c r="E25" s="34" t="str">
        <x:v>https://usacycling.org/athlete/felicia-stancil</x:v>
      </x:c>
      <x:c r="F25" s="34" t="str">
        <x:v>AUTHORITATIVE WITH CAUTION</x:v>
      </x:c>
      <x:c r="G25" s="34" t="str">
        <x:v>Team history and career summary.</x:v>
      </x:c>
      <x:c r="H25" s="34" t="str">
        <x:v>Profile contains a possible year inconsistency; event sources control.</x:v>
      </x:c>
      <x:c r="I25" s="34" t="str">
        <x:v>2026-07-30</x:v>
      </x:c>
    </x:row>
    <x:row r="26" ht="74" customHeight="1">
      <x:c r="A26" s="34" t="str">
        <x:v>V04-S-0022</x:v>
      </x:c>
      <x:c r="B26" s="34" t="str">
        <x:v>All</x:v>
      </x:c>
      <x:c r="C26" s="34" t="str">
        <x:v>Lititz BMX public inventory HTML</x:v>
      </x:c>
      <x:c r="D26" s="34" t="str">
        <x:v>Archive record</x:v>
      </x:c>
      <x:c r="E26" s="34" t="str">
        <x:v>https://sitemap.lititzbmx.com/datasets/artifact-inventory/</x:v>
      </x:c>
      <x:c r="F26" s="34" t="str">
        <x:v>PRIMARY COLLECTION RECORD</x:v>
      </x:c>
      <x:c r="G26" s="34" t="str">
        <x:v>Artifact IDs, descriptions and public links.</x:v>
      </x:c>
      <x:c r="H26" s="34" t="str">
        <x:v>Collection claims remain subject to evidence grading.</x:v>
      </x:c>
      <x:c r="I26" s="34" t="str">
        <x:v>2026-07-30</x:v>
      </x:c>
    </x:row>
  </x:sheetData>
  <x:mergeCells>
    <x:mergeCell ref="A1:I1"/>
    <x:mergeCell ref="A2:I2"/>
  </x:mergeCells>
  <x:pageMargins left="0.7" right="0.7" top="0.75" bottom="0.75" header="0.3" footer="0.3"/>
  <x:tableParts count="1">
    <x:tablePart xmlns:r="http://schemas.openxmlformats.org/officeDocument/2006/relationships" r:id="R36fc0e4f588041db"/>
  </x:tableParts>
</x:worksheet>
</file>

<file path=xl/worksheets/sheet26.xml><?xml version="1.0" encoding="utf-8"?>
<x:worksheet xmlns:x="http://schemas.openxmlformats.org/spreadsheetml/2006/main">
  <x:sheetFormatPr defaultRowHeight="15"/>
  <x:cols>
    <x:col min="1" max="1" width="16" hidden="0" customWidth="1"/>
    <x:col min="2" max="2" width="23" hidden="0" customWidth="1"/>
    <x:col min="3" max="3" width="14" hidden="0" customWidth="1"/>
    <x:col min="4" max="4" width="52" hidden="0" customWidth="1"/>
    <x:col min="5" max="5" width="45" hidden="0" customWidth="1"/>
    <x:col min="6" max="6" width="50" hidden="0" customWidth="1"/>
    <x:col min="7" max="7" width="43" hidden="0" customWidth="1"/>
    <x:col min="8" max="8" width="48" hidden="0" customWidth="1"/>
    <x:col min="9" max="9" width="16" hidden="0" customWidth="1"/>
  </x:cols>
  <x:sheetData>
    <x:row r="1" ht="30" customHeight="1">
      <x:c r="A1" s="182" t="str">
        <x:v>v0.4 Open Questions and Research Queue</x:v>
      </x:c>
      <x:c r="B1" s="182"/>
      <x:c r="C1" s="182"/>
      <x:c r="D1" s="182"/>
      <x:c r="E1" s="182"/>
      <x:c r="F1" s="182"/>
      <x:c r="G1" s="182"/>
      <x:c r="H1" s="182"/>
      <x:c r="I1" s="182"/>
    </x:row>
    <x:row r="2" ht="30" customHeight="1">
      <x:c r="A2" s="186" t="str">
        <x:v>Questions are prioritized by historical value and risk of false certainty. 'CRITICAL' means the claim affects a major artifact identity or rarity statement.</x:v>
      </x:c>
      <x:c r="B2" s="186"/>
      <x:c r="C2" s="186"/>
      <x:c r="D2" s="186"/>
      <x:c r="E2" s="186"/>
      <x:c r="F2" s="186"/>
      <x:c r="G2" s="186"/>
      <x:c r="H2" s="186"/>
      <x:c r="I2" s="186"/>
    </x:row>
    <x:row r="4">
      <x:c r="A4" s="191" t="str">
        <x:v>Question ID</x:v>
      </x:c>
      <x:c r="B4" s="191" t="str">
        <x:v>Cluster</x:v>
      </x:c>
      <x:c r="C4" s="191" t="str">
        <x:v>Priority</x:v>
      </x:c>
      <x:c r="D4" s="191" t="str">
        <x:v>Open Question</x:v>
      </x:c>
      <x:c r="E4" s="191" t="str">
        <x:v>Why It Matters</x:v>
      </x:c>
      <x:c r="F4" s="191" t="str">
        <x:v>Evidence Needed</x:v>
      </x:c>
      <x:c r="G4" s="191" t="str">
        <x:v>Current Blocker</x:v>
      </x:c>
      <x:c r="H4" s="191" t="str">
        <x:v>Recommended Route</x:v>
      </x:c>
      <x:c r="I4" s="191" t="str">
        <x:v>Status</x:v>
      </x:c>
    </x:row>
    <x:row r="5" ht="74" customHeight="1">
      <x:c r="A5" s="34" t="str">
        <x:v>V04-Q-0001</x:v>
      </x:c>
      <x:c r="B5" s="34" t="str">
        <x:v>Radical Rick</x:v>
      </x:c>
      <x:c r="C5" s="34" t="str">
        <x:v>HIGH</x:v>
      </x:c>
      <x:c r="D5" s="34" t="str">
        <x:v>Which BMXMuseum references or forum threads specifically discuss Radical Rick, Damian Fulton or BMX Plus! episodes?</x:v>
      </x:c>
      <x:c r="E5" s="34" t="str">
        <x:v>Connects cultural/publication history to BMXMuseum.</x:v>
      </x:c>
      <x:c r="F5" s="34" t="str">
        <x:v>Exact IDs, titles, dates and public backlinks.</x:v>
      </x:c>
      <x:c r="G5" s="34" t="str">
        <x:v>Direct crawling blocked; public indexing sparse.</x:v>
      </x:c>
      <x:c r="H5" s="34" t="str">
        <x:v>Search episode titles, Haro/Supercross collaborations and creator interviews.</x:v>
      </x:c>
      <x:c r="I5" s="34" t="str">
        <x:v>OPEN</x:v>
      </x:c>
    </x:row>
    <x:row r="6" ht="74" customHeight="1">
      <x:c r="A6" s="34" t="str">
        <x:v>V04-Q-0002</x:v>
      </x:c>
      <x:c r="B6" s="34" t="str">
        <x:v>Radical Rick</x:v>
      </x:c>
      <x:c r="C6" s="34" t="str">
        <x:v>MEDIUM</x:v>
      </x:c>
      <x:c r="D6" s="34" t="str">
        <x:v>Is the canonical episode count 150+, 153, or another issue-reconciled total?</x:v>
      </x:c>
      <x:c r="E6" s="34" t="str">
        <x:v>Prevents conflicting publication statistics.</x:v>
      </x:c>
      <x:c r="F6" s="34" t="str">
        <x:v>Issue-by-issue table and creator confirmation.</x:v>
      </x:c>
      <x:c r="G6" s="34" t="str">
        <x:v>Different official summaries use different levels of precision.</x:v>
      </x:c>
      <x:c r="H6" s="34" t="str">
        <x:v>Build publication ledger from period tables of contents.</x:v>
      </x:c>
      <x:c r="I6" s="34" t="str">
        <x:v>OPEN</x:v>
      </x:c>
    </x:row>
    <x:row r="7" ht="74" customHeight="1">
      <x:c r="A7" s="34" t="str">
        <x:v>V04-Q-0003</x:v>
      </x:c>
      <x:c r="B7" s="34" t="str">
        <x:v>Team USA</x:v>
      </x:c>
      <x:c r="C7" s="34" t="str">
        <x:v>HIGH</x:v>
      </x:c>
      <x:c r="D7" s="34" t="str">
        <x:v>Who was the intended wearer or owner of the 2017 Team USA 'Leary' jersey?</x:v>
      </x:c>
      <x:c r="E7" s="34" t="str">
        <x:v>Determines whether it is a rider artifact, tribute, trade jersey or unused garment.</x:v>
      </x:c>
      <x:c r="F7" s="34" t="str">
        <x:v>Photographs, labels, roster context and testimony.</x:v>
      </x:c>
      <x:c r="G7" s="34" t="str">
        <x:v>Artifact was transferred out of the archive.</x:v>
      </x:c>
      <x:c r="H7" s="34" t="str">
        <x:v>Interview Greg Mathias/Linda Leary and inspect existing images.</x:v>
      </x:c>
      <x:c r="I7" s="34" t="str">
        <x:v>OPEN</x:v>
      </x:c>
    </x:row>
    <x:row r="8" ht="74" customHeight="1">
      <x:c r="A8" s="34" t="str">
        <x:v>V04-Q-0004</x:v>
      </x:c>
      <x:c r="B8" s="34" t="str">
        <x:v>Team USA</x:v>
      </x:c>
      <x:c r="C8" s="34" t="str">
        <x:v>MEDIUM</x:v>
      </x:c>
      <x:c r="D8" s="34" t="str">
        <x:v>Which BMXMuseum threads index Worlds jersey trading and national-team uniforms?</x:v>
      </x:c>
      <x:c r="E8" s="34" t="str">
        <x:v>Adds community and garment-history context.</x:v>
      </x:c>
      <x:c r="F8" s="34" t="str">
        <x:v>Thread IDs and dates.</x:v>
      </x:c>
      <x:c r="G8" s="34" t="str">
        <x:v>No exact public backlinks recovered.</x:v>
      </x:c>
      <x:c r="H8" s="34" t="str">
        <x:v>Search years/cities and jersey manufacturer names.</x:v>
      </x:c>
      <x:c r="I8" s="34" t="str">
        <x:v>OPEN</x:v>
      </x:c>
    </x:row>
    <x:row r="9" ht="74" customHeight="1">
      <x:c r="A9" s="34" t="str">
        <x:v>V04-Q-0005</x:v>
      </x:c>
      <x:c r="B9" s="34" t="str">
        <x:v>Boss</x:v>
      </x:c>
      <x:c r="C9" s="34" t="str">
        <x:v>CRITICAL</x:v>
      </x:c>
      <x:c r="D9" s="34" t="str">
        <x:v>Does a verified Boss serial ledger establish CR01 as the first Livermore Boss Hogg?</x:v>
      </x:c>
      <x:c r="E9" s="34" t="str">
        <x:v>Central authentication claim for artifact 26.0055.</x:v>
      </x:c>
      <x:c r="F9" s="34" t="str">
        <x:v>Builder/company ledger, adjacent serials, production records and provenance.</x:v>
      </x:c>
      <x:c r="G9" s="34" t="str">
        <x:v>No public serial ledger recovered.</x:v>
      </x:c>
      <x:c r="H9" s="34" t="str">
        <x:v>Contact company/builder/C4 Labs after compiling physical evidence.</x:v>
      </x:c>
      <x:c r="I9" s="34" t="str">
        <x:v>OPEN</x:v>
      </x:c>
    </x:row>
    <x:row r="10" ht="74" customHeight="1">
      <x:c r="A10" s="34" t="str">
        <x:v>V04-Q-0006</x:v>
      </x:c>
      <x:c r="B10" s="34" t="str">
        <x:v>Boss</x:v>
      </x:c>
      <x:c r="C10" s="34" t="str">
        <x:v>HIGH</x:v>
      </x:c>
      <x:c r="D10" s="34" t="str">
        <x:v>What are the official spellings and production dates of Bad Boy, Curb Dogg, Butthead and Latdog?</x:v>
      </x:c>
      <x:c r="E10" s="34" t="str">
        <x:v>Prevents memory-based model names from entering the authority file.</x:v>
      </x:c>
      <x:c r="F10" s="34" t="str">
        <x:v>Catalogs, decals, advertisements and builder testimony.</x:v>
      </x:c>
      <x:c r="G10" s="34" t="str">
        <x:v>Current evidence is community memory.</x:v>
      </x:c>
      <x:c r="H10" s="34" t="str">
        <x:v>Search period catalogs and BMXMuseum backlinks by exact variants.</x:v>
      </x:c>
      <x:c r="I10" s="34" t="str">
        <x:v>OPEN</x:v>
      </x:c>
    </x:row>
    <x:row r="11" ht="74" customHeight="1">
      <x:c r="A11" s="34" t="str">
        <x:v>V04-Q-0007</x:v>
      </x:c>
      <x:c r="B11" s="34" t="str">
        <x:v>JAD</x:v>
      </x:c>
      <x:c r="C11" s="34" t="str">
        <x:v>CRITICAL</x:v>
      </x:c>
      <x:c r="D11" s="34" t="str">
        <x:v>What is the exact artifact ID and full physical record for the Lititz JAD Street Style Sherman and stand?</x:v>
      </x:c>
      <x:c r="E11" s="34" t="str">
        <x:v>Required before rarity research can be attached to a permanent object.</x:v>
      </x:c>
      <x:c r="F11" s="34" t="str">
        <x:v>Accession record, serials, measurements and photographs.</x:v>
      </x:c>
      <x:c r="G11" s="34" t="str">
        <x:v>ID not present in current workbook snapshot.</x:v>
      </x:c>
      <x:c r="H11" s="34" t="str">
        <x:v>Assign/locate permanent artifact ID first.</x:v>
      </x:c>
      <x:c r="I11" s="34" t="str">
        <x:v>OPEN</x:v>
      </x:c>
    </x:row>
    <x:row r="12" ht="74" customHeight="1">
      <x:c r="A12" s="34" t="str">
        <x:v>V04-Q-0008</x:v>
      </x:c>
      <x:c r="B12" s="34" t="str">
        <x:v>JAD</x:v>
      </x:c>
      <x:c r="C12" s="34" t="str">
        <x:v>CRITICAL</x:v>
      </x:c>
      <x:c r="D12" s="34" t="str">
        <x:v>Can the one-of-six, one-of-one configuration and one-of-one stand claims be documented independently?</x:v>
      </x:c>
      <x:c r="E12" s="34" t="str">
        <x:v>These are major rarity claims.</x:v>
      </x:c>
      <x:c r="F12" s="34" t="str">
        <x:v>Builder/designer statement, invoices, production list and comparative examples.</x:v>
      </x:c>
      <x:c r="G12" s="34" t="str">
        <x:v>Public documentary record is thin.</x:v>
      </x:c>
      <x:c r="H12" s="34" t="str">
        <x:v>Prepare a claim-by-claim evidence request.</x:v>
      </x:c>
      <x:c r="I12" s="34" t="str">
        <x:v>OPEN</x:v>
      </x:c>
    </x:row>
    <x:row r="13" ht="74" customHeight="1">
      <x:c r="A13" s="34" t="str">
        <x:v>V04-Q-0009</x:v>
      </x:c>
      <x:c r="B13" s="34" t="str">
        <x:v>Auburn</x:v>
      </x:c>
      <x:c r="C13" s="34" t="str">
        <x:v>HIGH</x:v>
      </x:c>
      <x:c r="D13" s="34" t="str">
        <x:v>What year, team and rider context belongs to artifact 26.0085?</x:v>
      </x:c>
      <x:c r="E13" s="34" t="str">
        <x:v>Turns a generic brand jersey into a historical team object.</x:v>
      </x:c>
      <x:c r="F13" s="34" t="str">
        <x:v>Labels, sponsor layout, catalogs, race photos and testimony.</x:v>
      </x:c>
      <x:c r="G13" s="34" t="str">
        <x:v>No date or wearer in inventory.</x:v>
      </x:c>
      <x:c r="H13" s="34" t="str">
        <x:v>Visual comparison against 1988–1996 team advertising.</x:v>
      </x:c>
      <x:c r="I13" s="34" t="str">
        <x:v>OPEN</x:v>
      </x:c>
    </x:row>
    <x:row r="14" ht="74" customHeight="1">
      <x:c r="A14" s="34" t="str">
        <x:v>V04-Q-0010</x:v>
      </x:c>
      <x:c r="B14" s="34" t="str">
        <x:v>Auburn</x:v>
      </x:c>
      <x:c r="C14" s="34" t="str">
        <x:v>MEDIUM</x:v>
      </x:c>
      <x:c r="D14" s="34" t="str">
        <x:v>How do CR-20R, CR-20RX and JR-20RX geometry and production differ by year?</x:v>
      </x:c>
      <x:c r="E14" s="34" t="str">
        <x:v>Needed for reliable bike identification.</x:v>
      </x:c>
      <x:c r="F14" s="34" t="str">
        <x:v>Catalogs, period tests, measurements and multiple records.</x:v>
      </x:c>
      <x:c r="G14" s="34" t="str">
        <x:v>Submitted bikes vary and may be modified.</x:v>
      </x:c>
      <x:c r="H14" s="34" t="str">
        <x:v>Build year/model comparison matrix.</x:v>
      </x:c>
      <x:c r="I14" s="34" t="str">
        <x:v>OPEN</x:v>
      </x:c>
    </x:row>
    <x:row r="15" ht="74" customHeight="1">
      <x:c r="A15" s="34" t="str">
        <x:v>V04-Q-0011</x:v>
      </x:c>
      <x:c r="B15" s="34" t="str">
        <x:v>ELF</x:v>
      </x:c>
      <x:c r="C15" s="34" t="str">
        <x:v>HIGH</x:v>
      </x:c>
      <x:c r="D15" s="34" t="str">
        <x:v>What year and edition is artifact 26.0006?</x:v>
      </x:c>
      <x:c r="E15" s="34" t="str">
        <x:v>Catalog may become the primary source for multiple ELF models.</x:v>
      </x:c>
      <x:c r="F15" s="34" t="str">
        <x:v>Cover, colophon, page count and model list.</x:v>
      </x:c>
      <x:c r="G15" s="34" t="str">
        <x:v>Current inventory lacks date/edition.</x:v>
      </x:c>
      <x:c r="H15" s="34" t="str">
        <x:v>Inspect catalog physically and create bibliographic record.</x:v>
      </x:c>
      <x:c r="I15" s="34" t="str">
        <x:v>OPEN</x:v>
      </x:c>
    </x:row>
    <x:row r="16" ht="74" customHeight="1">
      <x:c r="A16" s="34" t="str">
        <x:v>V04-Q-0012</x:v>
      </x:c>
      <x:c r="B16" s="34" t="str">
        <x:v>ELF</x:v>
      </x:c>
      <x:c r="C16" s="34" t="str">
        <x:v>MEDIUM</x:v>
      </x:c>
      <x:c r="D16" s="34" t="str">
        <x:v>Which title-only ELF leads can be resolved to exact BMXMuseum IDs?</x:v>
      </x:c>
      <x:c r="E16" s="34" t="str">
        <x:v>Converts weak discovery leads into stable references.</x:v>
      </x:c>
      <x:c r="F16" s="34" t="str">
        <x:v>Public backlinks or sanctioned access.</x:v>
      </x:c>
      <x:c r="G16" s="34" t="str">
        <x:v>Direct page traversal blocked.</x:v>
      </x:c>
      <x:c r="H16" s="34" t="str">
        <x:v>Search exact year/model phrases externally.</x:v>
      </x:c>
      <x:c r="I16" s="34" t="str">
        <x:v>OPEN</x:v>
      </x:c>
    </x:row>
    <x:row r="17" ht="74" customHeight="1">
      <x:c r="A17" s="34" t="str">
        <x:v>V04-Q-0013</x:v>
      </x:c>
      <x:c r="B17" s="34" t="str">
        <x:v>Kastan</x:v>
      </x:c>
      <x:c r="C17" s="34" t="str">
        <x:v>HIGH</x:v>
      </x:c>
      <x:c r="D17" s="34" t="str">
        <x:v>What exact model and year is artifact 26.0011?</x:v>
      </x:c>
      <x:c r="E17" s="34" t="str">
        <x:v>Establishes significance in the BMX-to-MTB transition.</x:v>
      </x:c>
      <x:c r="F17" s="34" t="str">
        <x:v>Serial, tubing, decals, geometry and catalogs.</x:v>
      </x:c>
      <x:c r="G17" s="34" t="str">
        <x:v>Current record is generic.</x:v>
      </x:c>
      <x:c r="H17" s="34" t="str">
        <x:v>Physical documentation and period MTB catalog search.</x:v>
      </x:c>
      <x:c r="I17" s="34" t="str">
        <x:v>OPEN</x:v>
      </x:c>
    </x:row>
    <x:row r="18" ht="74" customHeight="1">
      <x:c r="A18" s="34" t="str">
        <x:v>V04-Q-0014</x:v>
      </x:c>
      <x:c r="B18" s="34" t="str">
        <x:v>Kastan</x:v>
      </x:c>
      <x:c r="C18" s="34" t="str">
        <x:v>MEDIUM</x:v>
      </x:c>
      <x:c r="D18" s="34" t="str">
        <x:v>How should Redline, Kastan, KEX and Kastan MTB corporate/product histories be separated?</x:v>
      </x:c>
      <x:c r="E18" s="34" t="str">
        <x:v>Prevents founder biography from collapsing distinct businesses and eras.</x:v>
      </x:c>
      <x:c r="F18" s="34" t="str">
        <x:v>Company chronology, ownership documents and catalogs.</x:v>
      </x:c>
      <x:c r="G18" s="34" t="str">
        <x:v>Sources summarize different milestones.</x:v>
      </x:c>
      <x:c r="H18" s="34" t="str">
        <x:v>Create entity and ownership timeline.</x:v>
      </x:c>
      <x:c r="I18" s="34" t="str">
        <x:v>OPEN</x:v>
      </x:c>
    </x:row>
    <x:row r="19" ht="74" customHeight="1">
      <x:c r="A19" s="34" t="str">
        <x:v>V04-Q-0015</x:v>
      </x:c>
      <x:c r="B19" s="34" t="str">
        <x:v>Formula One / F-1 / F1</x:v>
      </x:c>
      <x:c r="C19" s="34" t="str">
        <x:v>CRITICAL</x:v>
      </x:c>
      <x:c r="D19" s="34" t="str">
        <x:v>What exactly does the F-1 Challenge trophy commemorate?</x:v>
      </x:c>
      <x:c r="E19" s="34" t="str">
        <x:v>Determines event, result and bicycle relationship.</x:v>
      </x:c>
      <x:c r="F19" s="34" t="str">
        <x:v>All trophy inscriptions, recipient name, date, sanction and program.</x:v>
      </x:c>
      <x:c r="G19" s="34" t="str">
        <x:v>Alias searches are dominated by auto racing.</x:v>
      </x:c>
      <x:c r="H19" s="34" t="str">
        <x:v>Start with the physical object, not broad web search.</x:v>
      </x:c>
      <x:c r="I19" s="34" t="str">
        <x:v>OPEN</x:v>
      </x:c>
    </x:row>
    <x:row r="20" ht="74" customHeight="1">
      <x:c r="A20" s="34" t="str">
        <x:v>V04-Q-0016</x:v>
      </x:c>
      <x:c r="B20" s="34" t="str">
        <x:v>Formula One / F-1 / F1</x:v>
      </x:c>
      <x:c r="C20" s="34" t="str">
        <x:v>HIGH</x:v>
      </x:c>
      <x:c r="D20" s="34" t="str">
        <x:v>Is the matching bicycle a 1984, 1988 or other Diamond Back Formula One generation?</x:v>
      </x:c>
      <x:c r="E20" s="34" t="str">
        <x:v>Required before pairing it interpretively with the trophy.</x:v>
      </x:c>
      <x:c r="F20" s="34" t="str">
        <x:v>Serial, decals, F-1 chainring, frame geometry and components.</x:v>
      </x:c>
      <x:c r="G20" s="34" t="str">
        <x:v>Artifact ID and physical record pending.</x:v>
      </x:c>
      <x:c r="H20" s="34" t="str">
        <x:v>Photograph and compare to period ads/catalogs.</x:v>
      </x:c>
      <x:c r="I20" s="34" t="str">
        <x:v>OPEN</x:v>
      </x:c>
    </x:row>
    <x:row r="21" ht="74" customHeight="1">
      <x:c r="A21" s="34" t="str">
        <x:v>V04-Q-0017</x:v>
      </x:c>
      <x:c r="B21" s="34" t="str">
        <x:v>Felicia Stancil</x:v>
      </x:c>
      <x:c r="C21" s="34" t="str">
        <x:v>CRITICAL</x:v>
      </x:c>
      <x:c r="D21" s="34" t="str">
        <x:v>Can artifact 26.0054 be authenticated as the exact bike used in both 2012 title events?</x:v>
      </x:c>
      <x:c r="E21" s="34" t="str">
        <x:v>The results are verified; the bicycle connection is the central artifact claim.</x:v>
      </x:c>
      <x:c r="F21" s="34" t="str">
        <x:v>Serial, event photos, component comparison, transfer documentation and testimony.</x:v>
      </x:c>
      <x:c r="G21" s="34" t="str">
        <x:v>Official sources verify athlete/result but not the physical bike.</x:v>
      </x:c>
      <x:c r="H21" s="34" t="str">
        <x:v>Build a formal authentication dossier.</x:v>
      </x:c>
      <x:c r="I21" s="34" t="str">
        <x:v>OPEN</x:v>
      </x:c>
    </x:row>
    <x:row r="22" ht="74" customHeight="1">
      <x:c r="A22" s="34" t="str">
        <x:v>V04-Q-0018</x:v>
      </x:c>
      <x:c r="B22" s="34" t="str">
        <x:v>Felicia Stancil</x:v>
      </x:c>
      <x:c r="C22" s="34" t="str">
        <x:v>HIGH</x:v>
      </x:c>
      <x:c r="D22" s="34" t="str">
        <x:v>Which components changed between the 2012 race, time trial and current preserved configuration?</x:v>
      </x:c>
      <x:c r="E22" s="34" t="str">
        <x:v>Separates race-used core from later replacements.</x:v>
      </x:c>
      <x:c r="F22" s="34" t="str">
        <x:v>High-resolution event imagery, service records and physical inspection.</x:v>
      </x:c>
      <x:c r="G22" s="34" t="str">
        <x:v>No component-level comparison completed.</x:v>
      </x:c>
      <x:c r="H22" s="34" t="str">
        <x:v>Create side-by-side component matrix.</x:v>
      </x:c>
      <x:c r="I22" s="34" t="str">
        <x:v>OPEN</x:v>
      </x:c>
    </x:row>
    <x:row r="23" ht="74" customHeight="1">
      <x:c r="A23" s="34" t="str">
        <x:v>V04-Q-0019</x:v>
      </x:c>
      <x:c r="B23" s="34" t="str">
        <x:v>All</x:v>
      </x:c>
      <x:c r="C23" s="34" t="str">
        <x:v>HIGH</x:v>
      </x:c>
      <x:c r="D23" s="34" t="str">
        <x:v>Should BMXMuseum be approached for a sanctioned metadata export after v0.4?</x:v>
      </x:c>
      <x:c r="E23" s="34" t="str">
        <x:v>Could replace incomplete public-backlink recovery with authorized structured data.</x:v>
      </x:c>
      <x:c r="F23" s="34" t="str">
        <x:v>Clear pilot documentation, requested fields, exclusions and attribution terms.</x:v>
      </x:c>
      <x:c r="G23" s="34" t="str">
        <x:v>No permission request sent yet.</x:v>
      </x:c>
      <x:c r="H23" s="34" t="str">
        <x:v>Prepare a bounded research partnership letter.</x:v>
      </x:c>
      <x:c r="I23" s="34" t="str">
        <x:v>OPEN</x:v>
      </x:c>
    </x:row>
  </x:sheetData>
  <x:mergeCells>
    <x:mergeCell ref="A1:I1"/>
    <x:mergeCell ref="A2:I2"/>
  </x:mergeCells>
  <x:conditionalFormatting sqref="C5:C23">
    <x:cfRule type="expression" dxfId="9" priority="1">
      <x:formula>C5="CRITICAL"</x:formula>
    </x:cfRule>
    <x:cfRule type="expression" dxfId="10" priority="2">
      <x:formula>C5="HIGH"</x:formula>
    </x:cfRule>
  </x:conditionalFormatting>
  <x:dataValidations count="2">
    <x:dataValidation type="list" sqref="C5:C23">
      <x:formula1>"CRITICAL,HIGH,MEDIUM,LOW"</x:formula1>
    </x:dataValidation>
    <x:dataValidation type="list" sqref="I5:I23">
      <x:formula1>"OPEN,IN PROGRESS,RESOLVED,DEFERRED"</x:formula1>
    </x:dataValidation>
  </x:dataValidations>
  <x:pageMargins left="0.7" right="0.7" top="0.75" bottom="0.75" header="0.3" footer="0.3"/>
  <x:tableParts count="1">
    <x:tablePart xmlns:r="http://schemas.openxmlformats.org/officeDocument/2006/relationships" r:id="Rcb6859f29aec4ca8"/>
  </x:tableParts>
</x:worksheet>
</file>

<file path=xl/worksheets/sheet27.xml><?xml version="1.0" encoding="utf-8"?>
<x:worksheet xmlns:x="http://schemas.openxmlformats.org/spreadsheetml/2006/main">
  <x:sheetFormatPr defaultRowHeight="15"/>
  <x:cols>
    <x:col min="1" max="1" width="34" hidden="0" customWidth="1"/>
    <x:col min="2" max="2" width="13" hidden="0" customWidth="1"/>
    <x:col min="4" max="4" width="25" hidden="0" customWidth="1"/>
    <x:col min="5" max="5" width="12" hidden="0" customWidth="1"/>
    <x:col min="6" max="6" width="62" hidden="0" customWidth="1"/>
    <x:col min="3" max="3" width="3" hidden="0" customWidth="1"/>
    <x:col min="8" max="8" width="31" hidden="0" customWidth="1"/>
    <x:col min="9" max="9" width="49" hidden="0" customWidth="1"/>
    <x:col min="7" max="7" width="3" hidden="0" customWidth="1"/>
    <x:col min="10" max="10" width="3" hidden="0" customWidth="1"/>
    <x:col min="11" max="11" width="12" hidden="0" customWidth="1"/>
    <x:col min="12" max="12" width="12" hidden="0" customWidth="1"/>
    <x:col min="13" max="13" width="12" hidden="0" customWidth="1"/>
    <x:col min="14" max="14" width="12" hidden="0" customWidth="1"/>
  </x:cols>
  <x:sheetData>
    <x:row r="1">
      <x:c r="A1" s="182" t="str">
        <x:v>BMXMuseum Public Knowledge Register v0.4 — Priority Cluster Scan</x:v>
      </x:c>
      <x:c r="B1" s="182"/>
      <x:c r="C1" s="182"/>
      <x:c r="D1" s="182"/>
      <x:c r="E1" s="182"/>
      <x:c r="F1" s="182"/>
      <x:c r="G1" s="182"/>
      <x:c r="H1" s="182"/>
      <x:c r="I1" s="182"/>
      <x:c r="J1" s="182"/>
      <x:c r="K1" s="182"/>
      <x:c r="L1" s="182"/>
      <x:c r="M1" s="182"/>
      <x:c r="N1" s="182"/>
    </x:row>
    <x:row r="2">
      <x:c r="A2" s="186" t="str">
        <x:v>Nine locked clusters scanned through public indexing, exact backlinks, first-party histories, official results and period publications. No robots bypass, bulk crawl, image copying or text mirroring.</x:v>
      </x:c>
      <x:c r="B2" s="186"/>
      <x:c r="C2" s="186"/>
      <x:c r="D2" s="186"/>
      <x:c r="E2" s="186"/>
      <x:c r="F2" s="186"/>
      <x:c r="G2" s="186"/>
      <x:c r="H2" s="186"/>
      <x:c r="I2" s="186"/>
      <x:c r="J2" s="186"/>
      <x:c r="K2" s="186"/>
      <x:c r="L2" s="186"/>
      <x:c r="M2" s="186"/>
      <x:c r="N2" s="186"/>
    </x:row>
    <x:row r="4">
      <x:c r="A4" s="194" t="str">
        <x:v>Scan Metric</x:v>
      </x:c>
      <x:c r="B4" s="195" t="str">
        <x:v>Count</x:v>
      </x:c>
      <x:c r="D4" s="191" t="str">
        <x:v>Cluster</x:v>
      </x:c>
      <x:c r="E4" s="191" t="str">
        <x:v>Exact IDs</x:v>
      </x:c>
      <x:c r="F4" s="191" t="str">
        <x:v>Assessment</x:v>
      </x:c>
      <x:c r="H4" s="191" t="str">
        <x:v>Access / Rights Rule</x:v>
      </x:c>
      <x:c r="I4" s="191" t="str">
        <x:v>Determination</x:v>
      </x:c>
    </x:row>
    <x:row r="5" ht="48" customHeight="1">
      <x:c r="A5" s="219" t="str">
        <x:v>Locked clusters</x:v>
      </x:c>
      <x:c r="B5" s="220" t="n">
        <x:f>COUNTA('v0.4 Cluster Status'!A5:A13)</x:f>
        <x:v>9</x:v>
      </x:c>
      <x:c r="D5" s="26" t="str">
        <x:f>'v0.4 Cluster Status'!A5</x:f>
        <x:v>Radical Rick</x:v>
      </x:c>
      <x:c r="E5" s="26" t="n">
        <x:f>'v0.4 Cluster Status'!B5</x:f>
        <x:v>0</x:v>
      </x:c>
      <x:c r="F5" s="26" t="str">
        <x:f>'v0.4 Cluster Status'!G5</x:f>
        <x:v>Rights-holder and period-history layer is strong; no exact BMXMuseum object ID recovered in this scan.</x:v>
      </x:c>
      <x:c r="H5" s="209" t="str">
        <x:v>Direct automated BMXMuseum access</x:v>
      </x:c>
      <x:c r="I5" s="26" t="str">
        <x:v>Not used.</x:v>
      </x:c>
    </x:row>
    <x:row r="6" ht="48" customHeight="1">
      <x:c r="A6" s="219" t="str">
        <x:v>Exact BMXMuseum bike IDs</x:v>
      </x:c>
      <x:c r="B6" s="220" t="n">
        <x:f>COUNTIF('v0.4 BMXM Objects'!C5:C5000,"Bike record")</x:f>
        <x:v>5</x:v>
      </x:c>
      <x:c r="D6" s="26" t="str">
        <x:f>'v0.4 Cluster Status'!A6</x:f>
        <x:v>Team USA</x:v>
      </x:c>
      <x:c r="E6" s="26" t="n">
        <x:f>'v0.4 Cluster Status'!B6</x:f>
        <x:v>0</x:v>
      </x:c>
      <x:c r="F6" s="26" t="str">
        <x:f>'v0.4 Cluster Status'!G6</x:f>
        <x:v>Official roster and jersey evidence is strong; BMXMuseum-specific Team USA object IDs remain open.</x:v>
      </x:c>
      <x:c r="H6" s="209" t="str">
        <x:v>Robots / access controls</x:v>
      </x:c>
      <x:c r="I6" s="26" t="str">
        <x:v>Respected; no bypass or proxy retrieval.</x:v>
      </x:c>
    </x:row>
    <x:row r="7" ht="48" customHeight="1">
      <x:c r="A7" s="219" t="str">
        <x:v>BMXMuseum gallery endpoints</x:v>
      </x:c>
      <x:c r="B7" s="220" t="n">
        <x:f>COUNTIF('v0.4 BMXM Objects'!C5:C5000,"Brand gallery")</x:f>
        <x:v>3</x:v>
      </x:c>
      <x:c r="D7" s="26" t="str">
        <x:f>'v0.4 Cluster Status'!A7</x:f>
        <x:v>Boss</x:v>
      </x:c>
      <x:c r="E7" s="26" t="n">
        <x:f>'v0.4 Cluster Status'!B7</x:f>
        <x:v>0</x:v>
      </x:c>
      <x:c r="F7" s="26" t="str">
        <x:f>'v0.4 Cluster Status'!G7</x:f>
        <x:v>Current first-party brand history and rider relationships recovered; no exact BMXMuseum Boss record ID yet.</x:v>
      </x:c>
      <x:c r="H7" s="209" t="str">
        <x:v>Images</x:v>
      </x:c>
      <x:c r="I7" s="26" t="str">
        <x:v>Presence may be indexed; images were not copied.</x:v>
      </x:c>
    </x:row>
    <x:row r="8" ht="48" customHeight="1">
      <x:c r="A8" s="219" t="str">
        <x:v>Title-only/community BMXMuseum leads</x:v>
      </x:c>
      <x:c r="B8" s="220" t="n">
        <x:f>COUNTA('v0.4 BMXM Objects'!A5:A5000)-B6-B7</x:f>
        <x:v>17</x:v>
      </x:c>
      <x:c r="D8" s="26" t="str">
        <x:f>'v0.4 Cluster Status'!A8</x:f>
        <x:v>JAD</x:v>
      </x:c>
      <x:c r="E8" s="26" t="n">
        <x:f>'v0.4 Cluster Status'!B8</x:f>
        <x:v>0</x:v>
      </x:c>
      <x:c r="F8" s="26" t="str">
        <x:f>'v0.4 Cluster Status'!G8</x:f>
        <x:v>Public documentary record is thin. Community identification comments confirm BMXMuseum comparisons exist but do not expose IDs.</x:v>
      </x:c>
      <x:c r="H8" s="209" t="str">
        <x:v>Descriptions and forum text</x:v>
      </x:c>
      <x:c r="I8" s="26" t="str">
        <x:v>Not mirrored; facts paraphrased and attributed.</x:v>
      </x:c>
    </x:row>
    <x:row r="9" ht="48" customHeight="1">
      <x:c r="A9" s="219" t="str">
        <x:v>Verified/qualified findings</x:v>
      </x:c>
      <x:c r="B9" s="220" t="n">
        <x:f>COUNTA('v0.4 Findings'!A5:A5000)</x:f>
        <x:v>40</x:v>
      </x:c>
      <x:c r="D9" s="26" t="str">
        <x:f>'v0.4 Cluster Status'!A9</x:f>
        <x:v>Auburn</x:v>
      </x:c>
      <x:c r="E9" s="26" t="n">
        <x:f>'v0.4 Cluster Status'!B9</x:f>
        <x:v>4</x:v>
      </x:c>
      <x:c r="F9" s="26" t="str">
        <x:f>'v0.4 Cluster Status'!G9</x:f>
        <x:v>Best BMXMuseum recovery in this tranche: four exact records plus a gallery endpoint and strong first-person/company-history leads.</x:v>
      </x:c>
      <x:c r="H9" s="209" t="str">
        <x:v>Member data</x:v>
      </x:c>
      <x:c r="I9" s="26" t="str">
        <x:v>No profile, contact or transaction harvesting.</x:v>
      </x:c>
    </x:row>
    <x:row r="10" ht="48" customHeight="1">
      <x:c r="A10" s="219" t="str">
        <x:v>Lititz artifact crosswalks</x:v>
      </x:c>
      <x:c r="B10" s="220" t="n">
        <x:f>COUNTA('v0.4 Lititz Crosswalk'!A5:A5000)</x:f>
        <x:v>14</x:v>
      </x:c>
      <x:c r="D10" s="26" t="str">
        <x:f>'v0.4 Cluster Status'!A10</x:f>
        <x:v>ELF</x:v>
      </x:c>
      <x:c r="E10" s="26" t="n">
        <x:f>'v0.4 Cluster Status'!B10</x:f>
        <x:v>0</x:v>
      </x:c>
      <x:c r="F10" s="26" t="str">
        <x:f>'v0.4 Cluster Status'!G10</x:f>
        <x:v>Strong current first-party history and a broad title-only BMXMuseum model layer; exact record IDs remain unresolved.</x:v>
      </x:c>
      <x:c r="H10" s="209" t="str">
        <x:v>Period scans</x:v>
      </x:c>
      <x:c r="I10" s="26" t="str">
        <x:v>Bibliographic/index use only; no republishing.</x:v>
      </x:c>
    </x:row>
    <x:row r="11" ht="48" customHeight="1">
      <x:c r="A11" s="219" t="str">
        <x:v>Source records</x:v>
      </x:c>
      <x:c r="B11" s="220" t="n">
        <x:f>COUNTA('v0.4 Sources'!A5:A5000)</x:f>
        <x:v>22</x:v>
      </x:c>
      <x:c r="D11" s="26" t="str">
        <x:f>'v0.4 Cluster Status'!A11</x:f>
        <x:v>Kastan</x:v>
      </x:c>
      <x:c r="E11" s="26" t="n">
        <x:f>'v0.4 Cluster Status'!B11</x:f>
        <x:v>1</x:v>
      </x:c>
      <x:c r="F11" s="26" t="str">
        <x:f>'v0.4 Cluster Status'!G11</x:f>
        <x:v>One exact BMXMuseum record recovered; strong first-person Redline/Kastan background and clear disambiguation needs.</x:v>
      </x:c>
      <x:c r="H11" s="209" t="str">
        <x:v>Zero-result rule</x:v>
      </x:c>
      <x:c r="I11" s="26" t="str">
        <x:v>No recovered ID means open research, never proof of absence.</x:v>
      </x:c>
    </x:row>
    <x:row r="12" ht="48" customHeight="1">
      <x:c r="A12" s="219" t="str">
        <x:v>Open research questions</x:v>
      </x:c>
      <x:c r="B12" s="220" t="n">
        <x:f>COUNTA('v0.4 Open Questions'!A5:A5000)</x:f>
        <x:v>19</x:v>
      </x:c>
      <x:c r="D12" s="26" t="str">
        <x:f>'v0.4 Cluster Status'!A12</x:f>
        <x:v>Formula One / F-1 / F1</x:v>
      </x:c>
      <x:c r="E12" s="26" t="n">
        <x:f>'v0.4 Cluster Status'!B12</x:f>
        <x:v>0</x:v>
      </x:c>
      <x:c r="F12" s="26" t="str">
        <x:f>'v0.4 Cluster Status'!G12</x:f>
        <x:v>Period advertising verifies the Diamond Back Formula One model. The Lititz trophy/bicycle event relationship remains unresolved.</x:v>
      </x:c>
    </x:row>
    <x:row r="13" ht="48" customHeight="1">
      <x:c r="D13" s="26" t="str">
        <x:f>'v0.4 Cluster Status'!A13</x:f>
        <x:v>Felicia Stancil</x:v>
      </x:c>
      <x:c r="E13" s="26" t="n">
        <x:f>'v0.4 Cluster Status'!B13</x:f>
        <x:v>0</x:v>
      </x:c>
      <x:c r="F13" s="26" t="str">
        <x:f>'v0.4 Cluster Status'!G13</x:f>
        <x:v>Official 2012 double-title and Team USA history verified. No exact BMXMuseum bike or rider object ID recovered yet.</x:v>
      </x:c>
    </x:row>
    <x:row r="15">
      <x:c r="A15" s="205" t="str">
        <x:v>Most important scan outcomes</x:v>
      </x:c>
      <x:c r="B15" s="205"/>
      <x:c r="C15" s="205"/>
      <x:c r="D15" s="205"/>
      <x:c r="E15" s="205"/>
      <x:c r="F15" s="205"/>
    </x:row>
    <x:row r="16" ht="44" customHeight="1">
      <x:c r="A16" s="218" t="str">
        <x:v>Auburn</x:v>
      </x:c>
      <x:c r="B16" s="216" t="str">
        <x:v>Four exact BMXMuseum bike records and a gallery endpoint were recovered.</x:v>
      </x:c>
      <x:c r="C16" s="216"/>
      <x:c r="D16" s="216"/>
      <x:c r="E16" s="216"/>
      <x:c r="F16" s="216"/>
    </x:row>
    <x:row r="17" ht="44" customHeight="1">
      <x:c r="A17" s="218" t="str">
        <x:v>Kastan</x:v>
      </x:c>
      <x:c r="B17" s="216" t="str">
        <x:v>Exact BMXMuseum record 126864 was recovered for a submitted 1989 Pro-S.</x:v>
      </x:c>
      <x:c r="C17" s="216"/>
      <x:c r="D17" s="216"/>
      <x:c r="E17" s="216"/>
      <x:c r="F17" s="216"/>
    </x:row>
    <x:row r="18" ht="44" customHeight="1">
      <x:c r="A18" s="218" t="str">
        <x:v>Formula One / F-1</x:v>
      </x:c>
      <x:c r="B18" s="216" t="str">
        <x:v>Period advertisements verify the Diamond Back Formula One in 1984 and an F-1-equipped version in 1988.</x:v>
      </x:c>
      <x:c r="C18" s="216"/>
      <x:c r="D18" s="216"/>
      <x:c r="E18" s="216"/>
      <x:c r="F18" s="216"/>
    </x:row>
    <x:row r="19" ht="44" customHeight="1">
      <x:c r="A19" s="218" t="str">
        <x:v>Felicia Stancil</x:v>
      </x:c>
      <x:c r="B19" s="216" t="str">
        <x:v>Official sources verify both 2012 Junior Women's world titles; authentication of the preserved bicycle remains separate.</x:v>
      </x:c>
      <x:c r="C19" s="216"/>
      <x:c r="D19" s="216"/>
      <x:c r="E19" s="216"/>
      <x:c r="F19" s="216"/>
    </x:row>
    <x:row r="20" ht="44" customHeight="1">
      <x:c r="A20" s="218" t="str">
        <x:v>Radical Rick</x:v>
      </x:c>
      <x:c r="B20" s="216" t="str">
        <x:v>Rights-holder history and Haro/Supercross relationships are strong; exact BMXMuseum IDs remain open.</x:v>
      </x:c>
      <x:c r="C20" s="216"/>
      <x:c r="D20" s="216"/>
      <x:c r="E20" s="216"/>
      <x:c r="F20" s="216"/>
    </x:row>
    <x:row r="21" ht="44" customHeight="1">
      <x:c r="A21" s="218" t="str">
        <x:v>JAD</x:v>
      </x:c>
      <x:c r="B21" s="216" t="str">
        <x:v>The public documentary record is thin; rarity and production claims remain attributed pending builder or period evidence.</x:v>
      </x:c>
      <x:c r="C21" s="216"/>
      <x:c r="D21" s="216"/>
      <x:c r="E21" s="216"/>
      <x:c r="F21" s="216"/>
    </x:row>
  </x:sheetData>
  <x:mergeCells>
    <x:mergeCell ref="A1:N1"/>
    <x:mergeCell ref="A2:N2"/>
    <x:mergeCell ref="A15:F15"/>
    <x:mergeCell ref="C16:F21"/>
    <x:mergeCell ref="C16:F16"/>
    <x:mergeCell ref="C17:F17"/>
    <x:mergeCell ref="C18:F18"/>
    <x:mergeCell ref="C19:F19"/>
    <x:mergeCell ref="C20:F20"/>
    <x:mergeCell ref="C21:F21"/>
    <x:mergeCell ref="B16:F16"/>
    <x:mergeCell ref="B17:F17"/>
    <x:mergeCell ref="B18:F18"/>
    <x:mergeCell ref="B19:F19"/>
    <x:mergeCell ref="B20:F20"/>
    <x:mergeCell ref="B21:F21"/>
  </x:mergeCells>
  <x:pageMargins left="0.7" right="0.7" top="0.75" bottom="0.75" header="0.3" footer="0.3"/>
  <x:drawing xmlns:r="http://schemas.openxmlformats.org/officeDocument/2006/relationships" r:id="R6184883275bc4fd4"/>
</x:worksheet>
</file>

<file path=xl/worksheets/sheet28.xml><?xml version="1.0" encoding="utf-8"?>
<x:worksheet xmlns:x="http://schemas.openxmlformats.org/spreadsheetml/2006/main">
  <x:sheetFormatPr defaultRowHeight="15"/>
  <x:cols>
    <x:col min="1" max="1" width="14" hidden="0" customWidth="1"/>
    <x:col min="2" max="2" width="15" hidden="0" customWidth="1"/>
    <x:col min="3" max="3" width="27" hidden="0" customWidth="1"/>
    <x:col min="4" max="4" width="26" hidden="0" customWidth="1"/>
    <x:col min="5" max="5" width="17" hidden="0" customWidth="1"/>
    <x:col min="6" max="6" width="16" hidden="0" customWidth="1"/>
    <x:col min="7" max="7" width="20" hidden="0" customWidth="1"/>
    <x:col min="8" max="8" width="16" hidden="0" customWidth="1"/>
    <x:col min="9" max="9" width="18" hidden="0" customWidth="1"/>
    <x:col min="10" max="10" width="21" hidden="0" customWidth="1"/>
    <x:col min="11" max="11" width="14" hidden="0" customWidth="1"/>
    <x:col min="12" max="12" width="22" hidden="0" customWidth="1"/>
    <x:col min="13" max="13" width="23" hidden="0" customWidth="1"/>
    <x:col min="14" max="14" width="36" hidden="0" customWidth="1"/>
    <x:col min="15" max="15" width="36" hidden="0" customWidth="1"/>
    <x:col min="16" max="16" width="20" hidden="0" customWidth="1"/>
    <x:col min="17" max="17" width="14" hidden="0" customWidth="1"/>
    <x:col min="18" max="18" width="14" hidden="0" customWidth="1"/>
    <x:col min="19" max="19" width="30" hidden="0" customWidth="1"/>
    <x:col min="20" max="20" width="32" hidden="0" customWidth="1"/>
    <x:col min="21" max="21" width="13" hidden="0" customWidth="1"/>
  </x:cols>
  <x:sheetData>
    <x:row r="1" ht="27" customHeight="1">
      <x:c r="A1" s="226" t="str">
        <x:v>Historical Price Sheets — BMXMuseum &amp; Corroborating Public Leads</x:v>
      </x:c>
      <x:c r="B1" s="226"/>
      <x:c r="C1" s="226"/>
      <x:c r="D1" s="226"/>
      <x:c r="E1" s="226"/>
      <x:c r="F1" s="226"/>
      <x:c r="G1" s="226"/>
      <x:c r="H1" s="226"/>
      <x:c r="I1" s="226"/>
      <x:c r="J1" s="226"/>
      <x:c r="K1" s="226"/>
      <x:c r="L1" s="226"/>
      <x:c r="M1" s="226"/>
      <x:c r="N1" s="226"/>
      <x:c r="O1" s="226"/>
      <x:c r="P1" s="226"/>
      <x:c r="Q1" s="226"/>
      <x:c r="R1" s="226"/>
      <x:c r="S1" s="226"/>
      <x:c r="T1" s="226"/>
      <x:c r="U1" s="226"/>
    </x:row>
    <x:row r="2" ht="36" customHeight="1">
      <x:c r="A2" s="230" t="str">
        <x:v>Record only prices and price labels exposed by permitted public sources. A dollar sign is not converted into a currency, MSRP, dealer cost or sale price without independent confirmation.</x:v>
      </x:c>
      <x:c r="B2" s="230"/>
      <x:c r="C2" s="230"/>
      <x:c r="D2" s="230"/>
      <x:c r="E2" s="230"/>
      <x:c r="F2" s="230"/>
      <x:c r="G2" s="230"/>
      <x:c r="H2" s="230"/>
      <x:c r="I2" s="230"/>
      <x:c r="J2" s="230"/>
      <x:c r="K2" s="230"/>
      <x:c r="L2" s="230"/>
      <x:c r="M2" s="230"/>
      <x:c r="N2" s="230"/>
      <x:c r="O2" s="230"/>
      <x:c r="P2" s="230"/>
      <x:c r="Q2" s="230"/>
      <x:c r="R2" s="230"/>
      <x:c r="S2" s="230"/>
      <x:c r="T2" s="230"/>
      <x:c r="U2" s="230"/>
    </x:row>
    <x:row r="3">
      <x:c r="A3"/>
      <x:c r="B3"/>
      <x:c r="C3"/>
      <x:c r="D3"/>
      <x:c r="E3"/>
      <x:c r="F3"/>
      <x:c r="G3"/>
      <x:c r="H3"/>
      <x:c r="I3"/>
      <x:c r="J3"/>
      <x:c r="K3"/>
      <x:c r="L3"/>
      <x:c r="M3"/>
      <x:c r="N3"/>
      <x:c r="O3"/>
      <x:c r="P3"/>
      <x:c r="Q3"/>
      <x:c r="R3"/>
      <x:c r="S3"/>
      <x:c r="T3"/>
      <x:c r="U3"/>
    </x:row>
    <x:row r="4" ht="36" customHeight="1">
      <x:c r="A4" s="236" t="str">
        <x:v>Price ID</x:v>
      </x:c>
      <x:c r="B4" s="236" t="str">
        <x:v>Parent Ephemera ID</x:v>
      </x:c>
      <x:c r="C4" s="236" t="str">
        <x:v>Document Title</x:v>
      </x:c>
      <x:c r="D4" s="236" t="str">
        <x:v>Sheet / Page Description</x:v>
      </x:c>
      <x:c r="E4" s="236" t="str">
        <x:v>Year / Date</x:v>
      </x:c>
      <x:c r="F4" s="236" t="str">
        <x:v>Brand / Company</x:v>
      </x:c>
      <x:c r="G4" s="236" t="str">
        <x:v>Distributor / Dealer</x:v>
      </x:c>
      <x:c r="H4" s="236" t="str">
        <x:v>Market / Country</x:v>
      </x:c>
      <x:c r="I4" s="236" t="str">
        <x:v>Currency Evidence</x:v>
      </x:c>
      <x:c r="J4" s="236" t="str">
        <x:v>Product / Model</x:v>
      </x:c>
      <x:c r="K4" s="236" t="str">
        <x:v>Listed Price</x:v>
      </x:c>
      <x:c r="L4" s="236" t="str">
        <x:v>Price Type</x:v>
      </x:c>
      <x:c r="M4" s="236" t="str">
        <x:v>BMXMuseum Object</x:v>
      </x:c>
      <x:c r="N4" s="236" t="str">
        <x:v>Discovery Source URL</x:v>
      </x:c>
      <x:c r="O4" s="236" t="str">
        <x:v>Independent Source URL</x:v>
      </x:c>
      <x:c r="P4" s="236" t="str">
        <x:v>Evidence Class</x:v>
      </x:c>
      <x:c r="Q4" s="236" t="str">
        <x:v>Confidence</x:v>
      </x:c>
      <x:c r="R4" s="236" t="str">
        <x:v>Rights Code</x:v>
      </x:c>
      <x:c r="S4" s="236" t="str">
        <x:v>Research Status</x:v>
      </x:c>
      <x:c r="T4" s="236" t="str">
        <x:v>Notes</x:v>
      </x:c>
      <x:c r="U4" s="236" t="str">
        <x:v>Accessed</x:v>
      </x:c>
    </x:row>
    <x:row r="5">
      <x:c r="A5" s="250" t="str">
        <x:v>BM-PRICE-0001</x:v>
      </x:c>
      <x:c r="B5" s="250" t="str">
        <x:v>BM-AD-0011</x:v>
      </x:c>
      <x:c r="C5" s="250" t="str">
        <x:v>JMC Racing Fliers and Price List</x:v>
      </x:c>
      <x:c r="D5" s="250" t="str">
        <x:v>Combined flyer / price-list set</x:v>
      </x:c>
      <x:c r="E5" s="250" t="str">
        <x:v>Undated</x:v>
      </x:c>
      <x:c r="F5" s="250" t="str">
        <x:v>JMC Racing</x:v>
      </x:c>
      <x:c r="G5" s="250" t="str">
        <x:v>Unresolved</x:v>
      </x:c>
      <x:c r="H5" s="250" t="str">
        <x:v>Unresolved</x:v>
      </x:c>
      <x:c r="I5" s="250" t="str">
        <x:v>Not exposed</x:v>
      </x:c>
      <x:c r="J5" s="250" t="str">
        <x:v>JMC BMX product range</x:v>
      </x:c>
      <x:c r="K5" s="250" t="str">
        <x:v>Not exposed in public index</x:v>
      </x:c>
      <x:c r="L5" s="250" t="str">
        <x:v>Price list; dealer vs retail basis unresolved</x:v>
      </x:c>
      <x:c r="M5" s="250" t="str">
        <x:v>Reference title exposed; exact ID unresolved</x:v>
      </x:c>
      <x:c r="N5" s="250" t="str">
        <x:v>https://www.pinterest.com/pin/jmc-bmx-fliers-and-price-list--442478732119429034/</x:v>
      </x:c>
      <x:c r="O5" s="250" t="str">
        <x:v>https://www.facebook.com/groups/553888658024748/posts/27080185384968381/</x:v>
      </x:c>
      <x:c r="P5" s="250" t="str">
        <x:v>INDEXED-TITLE + EXTERNAL-CORROBORATION</x:v>
      </x:c>
      <x:c r="Q5" s="250" t="str">
        <x:v>MEDIUM</x:v>
      </x:c>
      <x:c r="R5" s="250" t="str">
        <x:v>INDEX-ONLY</x:v>
      </x:c>
      <x:c r="S5" s="250" t="str">
        <x:v>Confirmed set title — locate exact reference ID, pages, date and price columns.</x:v>
      </x:c>
      <x:c r="T5" s="250" t="str">
        <x:v>Do not infer line-item prices from thumbnails or incomplete snippets.</x:v>
      </x:c>
      <x:c r="U5" s="251" t="str">
        <x:v>2026-07-30</x:v>
      </x:c>
    </x:row>
    <x:row r="6">
      <x:c r="A6" s="335" t="str">
        <x:v>BM-PRICE-0002</x:v>
      </x:c>
      <x:c r="B6" s="335" t="str">
        <x:v>BM-AD-0002</x:v>
      </x:c>
      <x:c r="C6" s="335" t="str">
        <x:v>1992 GT/Dyno Product Catalog</x:v>
      </x:c>
      <x:c r="D6" s="335" t="str">
        <x:v>Interceptor price-bearing indexed page</x:v>
      </x:c>
      <x:c r="E6" s="335" t="str">
        <x:v>1992</x:v>
      </x:c>
      <x:c r="F6" s="335" t="str">
        <x:v>GT; Dyno</x:v>
      </x:c>
      <x:c r="G6" s="335" t="str">
        <x:v>Unresolved</x:v>
      </x:c>
      <x:c r="H6" s="335" t="str">
        <x:v>Unresolved</x:v>
      </x:c>
      <x:c r="I6" s="335" t="str">
        <x:v>$ symbol exposed; currency unconfirmed</x:v>
      </x:c>
      <x:c r="J6" s="335" t="str">
        <x:v>Interceptor</x:v>
      </x:c>
      <x:c r="K6" s="335" t="str">
        <x:v>$259</x:v>
      </x:c>
      <x:c r="L6" s="335" t="str">
        <x:v>Printed catalog price; exact basis unresolved</x:v>
      </x:c>
      <x:c r="M6" s="335" t="str">
        <x:v>Reference title/page indexed; exact ID and page unresolved</x:v>
      </x:c>
      <x:c r="N6" s="335" t="str">
        <x:v>https://www.pinterest.com/pin/430304939389697452/</x:v>
      </x:c>
      <x:c r="O6" s="335" t="str">
        <x:v>https://in.pinterest.com/pin/1011550766308215575/</x:v>
      </x:c>
      <x:c r="P6" s="335" t="str">
        <x:v>SEARCH-INDEXED-PAGE</x:v>
      </x:c>
      <x:c r="Q6" s="335" t="str">
        <x:v>MEDIUM</x:v>
      </x:c>
      <x:c r="R6" s="335" t="str">
        <x:v>INDEX-ONLY</x:v>
      </x:c>
      <x:c r="S6" s="335" t="str">
        <x:v>Observed in public index — verify exact page, configuration, currency and price basis.</x:v>
      </x:c>
      <x:c r="T6" s="335" t="str">
        <x:v>Do not label as MSRP, dealer cost or sale price until the page heading/legend is inspected.</x:v>
      </x:c>
      <x:c r="U6" s="336" t="str">
        <x:v>2026-07-30</x:v>
      </x:c>
    </x:row>
    <x:row r="7">
      <x:c r="A7" s="250" t="str">
        <x:v>BM-PRICE-0003</x:v>
      </x:c>
      <x:c r="B7" s="250" t="str">
        <x:v>BM-AD-0002</x:v>
      </x:c>
      <x:c r="C7" s="250" t="str">
        <x:v>1992 GT/Dyno Product Catalog</x:v>
      </x:c>
      <x:c r="D7" s="250" t="str">
        <x:v>Blue bicycle price-bearing indexed page; model unresolved</x:v>
      </x:c>
      <x:c r="E7" s="250" t="str">
        <x:v>1992</x:v>
      </x:c>
      <x:c r="F7" s="250" t="str">
        <x:v>GT; Dyno</x:v>
      </x:c>
      <x:c r="G7" s="250" t="str">
        <x:v>Unresolved</x:v>
      </x:c>
      <x:c r="H7" s="250" t="str">
        <x:v>Unresolved</x:v>
      </x:c>
      <x:c r="I7" s="250" t="str">
        <x:v>$ symbol exposed; currency unconfirmed</x:v>
      </x:c>
      <x:c r="J7" s="250" t="str">
        <x:v>Blue bicycle; exact model unresolved</x:v>
      </x:c>
      <x:c r="K7" s="250" t="str">
        <x:v>$319</x:v>
      </x:c>
      <x:c r="L7" s="250" t="str">
        <x:v>Printed catalog price; exact basis unresolved</x:v>
      </x:c>
      <x:c r="M7" s="250" t="str">
        <x:v>Reference title/page indexed; exact ID and page unresolved</x:v>
      </x:c>
      <x:c r="N7" s="250" t="str">
        <x:v>https://mx.pinterest.com/pin/430304939389697467/</x:v>
      </x:c>
      <x:c r="O7" s="250" t="str">
        <x:v>https://in.pinterest.com/pin/1011550766308215575/</x:v>
      </x:c>
      <x:c r="P7" s="250" t="str">
        <x:v>SEARCH-INDEXED-PAGE</x:v>
      </x:c>
      <x:c r="Q7" s="250" t="str">
        <x:v>LOW-MEDIUM</x:v>
      </x:c>
      <x:c r="R7" s="250" t="str">
        <x:v>INDEX-ONLY</x:v>
      </x:c>
      <x:c r="S7" s="250" t="str">
        <x:v>Retain model as unresolved until the page and adjacent catalog context are inspected.</x:v>
      </x:c>
      <x:c r="T7" s="250" t="str">
        <x:v>Price observation is preserved separately from model identification.</x:v>
      </x:c>
      <x:c r="U7" s="251" t="str">
        <x:v>2026-07-30</x:v>
      </x:c>
    </x:row>
    <x:row r="8">
      <x:c r="A8" s="337" t="str">
        <x:v>BM-PRICE-0004</x:v>
      </x:c>
      <x:c r="B8" s="337" t="str">
        <x:v>BM-AD-0012</x:v>
      </x:c>
      <x:c r="C8" s="337" t="str">
        <x:v>Vintage JMC Racing Equipment dealer's price list from Azusa collection</x:v>
      </x:c>
      <x:c r="D8" s="337" t="str">
        <x:v>External public social lead; complete sheet not captured</x:v>
      </x:c>
      <x:c r="E8" s="337" t="str">
        <x:v>Undated vintage document; public post 2026</x:v>
      </x:c>
      <x:c r="F8" s="337" t="str">
        <x:v>JMC Racing</x:v>
      </x:c>
      <x:c r="G8" s="337" t="str">
        <x:v>Azusa Bicycles collection context; issuer unresolved</x:v>
      </x:c>
      <x:c r="H8" s="337" t="str">
        <x:v>Unresolved</x:v>
      </x:c>
      <x:c r="I8" s="337" t="str">
        <x:v>Not exposed</x:v>
      </x:c>
      <x:c r="J8" s="337" t="str">
        <x:v>JMC Racing equipment</x:v>
      </x:c>
      <x:c r="K8" s="337" t="str">
        <x:v>Not exposed in public index</x:v>
      </x:c>
      <x:c r="L8" s="337" t="str">
        <x:v>Dealer price list per public description</x:v>
      </x:c>
      <x:c r="M8" s="337" t="str">
        <x:v>No exact BMXMuseum object established</x:v>
      </x:c>
      <x:c r="N8" s="337" t="str">
        <x:v>https://www.facebook.com/groups/553888658024748/posts/27080185384968381/</x:v>
      </x:c>
      <x:c r="O8" s="337"/>
      <x:c r="P8" s="337" t="str">
        <x:v>EXTERNAL-PUBLIC-LEAD</x:v>
      </x:c>
      <x:c r="Q8" s="337" t="str">
        <x:v>LOW-MEDIUM</x:v>
      </x:c>
      <x:c r="R8" s="337" t="str">
        <x:v>INDEX-ONLY</x:v>
      </x:c>
      <x:c r="S8" s="337" t="str">
        <x:v>Corroboration only — compare against BM-PRICE-0001 before merging records.</x:v>
      </x:c>
      <x:c r="T8" s="337" t="str">
        <x:v>The collection/post context is not automatically the original document issuer or dealer.</x:v>
      </x:c>
      <x:c r="U8" s="338" t="str">
        <x:v>2026-07-30</x:v>
      </x:c>
    </x:row>
  </x:sheetData>
  <x:mergeCells>
    <x:mergeCell ref="A1:U1"/>
    <x:mergeCell ref="A2:U2"/>
  </x:mergeCells>
  <x:pageMargins left="0.7" right="0.7" top="0.75" bottom="0.75" header="0.3" footer="0.3"/>
</x:worksheet>
</file>

<file path=xl/worksheets/sheet29.xml><?xml version="1.0" encoding="utf-8"?>
<x:worksheet xmlns:x="http://schemas.openxmlformats.org/spreadsheetml/2006/main">
  <x:sheetFormatPr defaultRowHeight="15"/>
  <x:cols>
    <x:col min="1" max="1" width="14" hidden="0" customWidth="1"/>
    <x:col min="2" max="2" width="15" hidden="0" customWidth="1"/>
    <x:col min="3" max="3" width="26" hidden="0" customWidth="1"/>
    <x:col min="4" max="4" width="22" hidden="0" customWidth="1"/>
    <x:col min="5" max="5" width="16" hidden="0" customWidth="1"/>
    <x:col min="6" max="6" width="18" hidden="0" customWidth="1"/>
    <x:col min="7" max="7" width="22" hidden="0" customWidth="1"/>
    <x:col min="8" max="8" width="18" hidden="0" customWidth="1"/>
    <x:col min="9" max="9" width="18" hidden="0" customWidth="1"/>
    <x:col min="10" max="10" width="24" hidden="0" customWidth="1"/>
    <x:col min="11" max="11" width="36" hidden="0" customWidth="1"/>
    <x:col min="12" max="12" width="36" hidden="0" customWidth="1"/>
    <x:col min="13" max="13" width="28" hidden="0" customWidth="1"/>
    <x:col min="14" max="14" width="34" hidden="0" customWidth="1"/>
    <x:col min="15" max="15" width="14" hidden="0" customWidth="1"/>
    <x:col min="16" max="16" width="31" hidden="0" customWidth="1"/>
    <x:col min="17" max="17" width="14" hidden="0" customWidth="1"/>
    <x:col min="18" max="18" width="18" hidden="0" customWidth="1"/>
    <x:col min="19" max="19" width="25" hidden="0" customWidth="1"/>
    <x:col min="20" max="20" width="13" hidden="0" customWidth="1"/>
  </x:cols>
  <x:sheetData>
    <x:row r="1" ht="27" customHeight="1">
      <x:c r="A1" s="226" t="str">
        <x:v>Historical Flyers — BMXMuseum Source Index</x:v>
      </x:c>
      <x:c r="B1" s="226"/>
      <x:c r="C1" s="226"/>
      <x:c r="D1" s="226"/>
      <x:c r="E1" s="226"/>
      <x:c r="F1" s="226"/>
      <x:c r="G1" s="226"/>
      <x:c r="H1" s="226"/>
      <x:c r="I1" s="226"/>
      <x:c r="J1" s="226"/>
      <x:c r="K1" s="226"/>
      <x:c r="L1" s="226"/>
      <x:c r="M1" s="226"/>
      <x:c r="N1" s="226"/>
      <x:c r="O1" s="226"/>
      <x:c r="P1" s="226"/>
      <x:c r="Q1" s="226"/>
      <x:c r="R1" s="226"/>
      <x:c r="S1" s="226"/>
      <x:c r="T1" s="226"/>
    </x:row>
    <x:row r="2" ht="36" customHeight="1">
      <x:c r="A2" s="230" t="str">
        <x:v>Flyers are indexed as distinct historical objects. Capture title, subject, date, people, location, product and provenance; link to the scan rather than copying it.</x:v>
      </x:c>
      <x:c r="B2" s="230"/>
      <x:c r="C2" s="230"/>
      <x:c r="D2" s="230"/>
      <x:c r="E2" s="230"/>
      <x:c r="F2" s="230"/>
      <x:c r="G2" s="230"/>
      <x:c r="H2" s="230"/>
      <x:c r="I2" s="230"/>
      <x:c r="J2" s="230"/>
      <x:c r="K2" s="230"/>
      <x:c r="L2" s="230"/>
      <x:c r="M2" s="230"/>
      <x:c r="N2" s="230"/>
      <x:c r="O2" s="230"/>
      <x:c r="P2" s="230"/>
      <x:c r="Q2" s="230"/>
      <x:c r="R2" s="230"/>
      <x:c r="S2" s="230"/>
      <x:c r="T2" s="230"/>
    </x:row>
    <x:row r="3">
      <x:c r="A3"/>
      <x:c r="B3"/>
      <x:c r="C3"/>
      <x:c r="D3"/>
      <x:c r="E3"/>
      <x:c r="F3"/>
      <x:c r="G3"/>
      <x:c r="H3"/>
      <x:c r="I3"/>
      <x:c r="J3"/>
      <x:c r="K3"/>
      <x:c r="L3"/>
      <x:c r="M3"/>
      <x:c r="N3"/>
      <x:c r="O3"/>
      <x:c r="P3"/>
      <x:c r="Q3"/>
      <x:c r="R3"/>
      <x:c r="S3"/>
      <x:c r="T3"/>
    </x:row>
    <x:row r="4" ht="36" customHeight="1">
      <x:c r="A4" s="236" t="str">
        <x:v>Flyer ID</x:v>
      </x:c>
      <x:c r="B4" s="236" t="str">
        <x:v>Parent Ephemera ID</x:v>
      </x:c>
      <x:c r="C4" s="236" t="str">
        <x:v>Flyer / Set Title</x:v>
      </x:c>
      <x:c r="D4" s="236" t="str">
        <x:v>Flyer Type</x:v>
      </x:c>
      <x:c r="E4" s="236" t="str">
        <x:v>Year / Date</x:v>
      </x:c>
      <x:c r="F4" s="236" t="str">
        <x:v>Brand / Promoter</x:v>
      </x:c>
      <x:c r="G4" s="236" t="str">
        <x:v>Product / Event</x:v>
      </x:c>
      <x:c r="H4" s="236" t="str">
        <x:v>Riders / People</x:v>
      </x:c>
      <x:c r="I4" s="236" t="str">
        <x:v>Venue / Location</x:v>
      </x:c>
      <x:c r="J4" s="236" t="str">
        <x:v>BMXMuseum Object</x:v>
      </x:c>
      <x:c r="K4" s="236" t="str">
        <x:v>Discovery Source URL</x:v>
      </x:c>
      <x:c r="L4" s="236" t="str">
        <x:v>Independent Source URL</x:v>
      </x:c>
      <x:c r="M4" s="236" t="str">
        <x:v>What It Can Verify</x:v>
      </x:c>
      <x:c r="N4" s="236" t="str">
        <x:v>Evidence / Limitation</x:v>
      </x:c>
      <x:c r="O4" s="236" t="str">
        <x:v>Confidence</x:v>
      </x:c>
      <x:c r="P4" s="236" t="str">
        <x:v>Research Status</x:v>
      </x:c>
      <x:c r="Q4" s="236" t="str">
        <x:v>Rights Code</x:v>
      </x:c>
      <x:c r="R4" s="236" t="str">
        <x:v>Image Action</x:v>
      </x:c>
      <x:c r="S4" s="236" t="str">
        <x:v>Text Action</x:v>
      </x:c>
      <x:c r="T4" s="236" t="str">
        <x:v>Accessed</x:v>
      </x:c>
    </x:row>
    <x:row r="5">
      <x:c r="A5" s="250" t="str">
        <x:v>BM-FLY-0001</x:v>
      </x:c>
      <x:c r="B5" s="250" t="str">
        <x:v>BM-AD-0011</x:v>
      </x:c>
      <x:c r="C5" s="250" t="str">
        <x:v>JMC Racing Fliers</x:v>
      </x:c>
      <x:c r="D5" s="250" t="str">
        <x:v>Product / dealer flyer set</x:v>
      </x:c>
      <x:c r="E5" s="250" t="str">
        <x:v>Undated</x:v>
      </x:c>
      <x:c r="F5" s="250" t="str">
        <x:v>JMC Racing</x:v>
      </x:c>
      <x:c r="G5" s="250" t="str">
        <x:v>JMC BMX product range</x:v>
      </x:c>
      <x:c r="H5" s="250" t="str">
        <x:v>Not exposed</x:v>
      </x:c>
      <x:c r="I5" s="250" t="str">
        <x:v>Not applicable</x:v>
      </x:c>
      <x:c r="J5" s="250" t="str">
        <x:v>Reference title exposed; exact ID unresolved</x:v>
      </x:c>
      <x:c r="K5" s="250" t="str">
        <x:v>https://www.pinterest.com/pin/jmc-bmx-fliers-and-price-list--442478732119429034/</x:v>
      </x:c>
      <x:c r="L5" s="250" t="str">
        <x:v>https://www.facebook.com/groups/553888658024748/posts/27080185384968381/</x:v>
      </x:c>
      <x:c r="M5" s="250" t="str">
        <x:v>Product lineup, terminology, branding, dealer context and cross-links to price-sheet material.</x:v>
      </x:c>
      <x:c r="N5" s="250" t="str">
        <x:v>The public index confirms a flyer set, but exact count, dates, page order and complete subjects remain unresolved.</x:v>
      </x:c>
      <x:c r="O5" s="250" t="str">
        <x:v>MEDIUM</x:v>
      </x:c>
      <x:c r="P5" s="250" t="str">
        <x:v>Confirmed set title — locate exact BMXMuseum reference and inventory each flyer separately.</x:v>
      </x:c>
      <x:c r="Q5" s="250" t="str">
        <x:v>INDEX-ONLY</x:v>
      </x:c>
      <x:c r="R5" s="250" t="str">
        <x:v>Do not copy scans</x:v>
      </x:c>
      <x:c r="S5" s="250" t="str">
        <x:v>Paraphrase bibliographic facts only</x:v>
      </x:c>
      <x:c r="T5" s="251" t="str">
        <x:v>2026-07-30</x:v>
      </x:c>
    </x:row>
    <x:row r="6">
      <x:c r="A6" s="337" t="str">
        <x:v>BM-FLY-0002</x:v>
      </x:c>
      <x:c r="B6" s="337" t="str">
        <x:v>BM-AD-0011</x:v>
      </x:c>
      <x:c r="C6" s="337" t="str">
        <x:v>JMC Black Shadow promotional flyer</x:v>
      </x:c>
      <x:c r="D6" s="337" t="str">
        <x:v>Product promotional flyer / advertisement</x:v>
      </x:c>
      <x:c r="E6" s="337" t="str">
        <x:v>Undated</x:v>
      </x:c>
      <x:c r="F6" s="337" t="str">
        <x:v>JMC Racing</x:v>
      </x:c>
      <x:c r="G6" s="337" t="str">
        <x:v>JMC Black Shadow</x:v>
      </x:c>
      <x:c r="H6" s="337" t="str">
        <x:v>Not exposed</x:v>
      </x:c>
      <x:c r="I6" s="337" t="str">
        <x:v>Not applicable</x:v>
      </x:c>
      <x:c r="J6" s="337" t="str">
        <x:v>Item visible within the publicly indexed JMC set; exact object/page unresolved</x:v>
      </x:c>
      <x:c r="K6" s="337" t="str">
        <x:v>https://www.pinterest.com/pin/jmc-bmx-fliers-and-price-list--442478732119429034/</x:v>
      </x:c>
      <x:c r="L6" s="337" t="str">
        <x:v>https://oldschoolmags.com/tests/Laguna_Pro_SBMX8104.pdf</x:v>
      </x:c>
      <x:c r="M6" s="337" t="str">
        <x:v>Product name, period marketing language and geometry/handling claims.</x:v>
      </x:c>
      <x:c r="N6" s="337" t="str">
        <x:v>A public image description exposes the Black Shadow subject and a very-quick-steering marketing claim; publication, date and exact wording/page still require inspection.</x:v>
      </x:c>
      <x:c r="O6" s="337" t="str">
        <x:v>LOW-MEDIUM</x:v>
      </x:c>
      <x:c r="P6" s="337" t="str">
        <x:v>Item-level lead — verify whether this is a standalone flyer, catalog insert or magazine advertisement.</x:v>
      </x:c>
      <x:c r="Q6" s="337" t="str">
        <x:v>INDEX-ONLY</x:v>
      </x:c>
      <x:c r="R6" s="337" t="str">
        <x:v>Do not copy image</x:v>
      </x:c>
      <x:c r="S6" s="337" t="str">
        <x:v>Paraphrase the marketing claim; do not reproduce full copy</x:v>
      </x:c>
      <x:c r="T6" s="338" t="str">
        <x:v>2026-07-30</x:v>
      </x:c>
    </x:row>
  </x:sheetData>
  <x:mergeCells>
    <x:mergeCell ref="A1:T1"/>
    <x:mergeCell ref="A2:T2"/>
  </x:mergeCells>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18" hidden="0" customWidth="1"/>
    <x:col min="3" max="3" width="34" hidden="0" customWidth="1"/>
    <x:col min="4" max="4" width="34" hidden="0" customWidth="1"/>
    <x:col min="5" max="5" width="27" hidden="0" customWidth="1"/>
    <x:col min="6" max="6" width="45" hidden="0" customWidth="1"/>
    <x:col min="7" max="7" width="44" hidden="0" customWidth="1"/>
    <x:col min="8" max="8" width="13" hidden="0" customWidth="1"/>
  </x:cols>
  <x:sheetData>
    <x:row r="1" ht="27" customHeight="1">
      <x:c r="A1" s="226" t="str">
        <x:v>Price-Sheet &amp; Flyer Search / Decision Log</x:v>
      </x:c>
      <x:c r="B1" s="226"/>
      <x:c r="C1" s="226"/>
      <x:c r="D1" s="226"/>
      <x:c r="E1" s="226"/>
      <x:c r="F1" s="226"/>
      <x:c r="G1" s="226"/>
      <x:c r="H1" s="226"/>
    </x:row>
    <x:row r="2" ht="36" customHeight="1">
      <x:c r="A2" s="230" t="str">
        <x:v>This log records what was found, what entered the register, what remains unresolved and why a lead was included or deferred.</x:v>
      </x:c>
      <x:c r="B2" s="230"/>
      <x:c r="C2" s="230"/>
      <x:c r="D2" s="230"/>
      <x:c r="E2" s="230"/>
      <x:c r="F2" s="230"/>
      <x:c r="G2" s="230"/>
      <x:c r="H2" s="230"/>
    </x:row>
    <x:row r="3">
      <x:c r="A3"/>
      <x:c r="B3"/>
      <x:c r="C3"/>
      <x:c r="D3"/>
      <x:c r="E3"/>
      <x:c r="F3"/>
      <x:c r="G3"/>
      <x:c r="H3"/>
    </x:row>
    <x:row r="4" ht="36" customHeight="1">
      <x:c r="A4" s="236" t="str">
        <x:v>Search ID</x:v>
      </x:c>
      <x:c r="B4" s="236" t="str">
        <x:v>Track</x:v>
      </x:c>
      <x:c r="C4" s="236" t="str">
        <x:v>Query / Lead</x:v>
      </x:c>
      <x:c r="D4" s="236" t="str">
        <x:v>Public Result</x:v>
      </x:c>
      <x:c r="E4" s="236" t="str">
        <x:v>Decision</x:v>
      </x:c>
      <x:c r="F4" s="236" t="str">
        <x:v>Reason / Limitation</x:v>
      </x:c>
      <x:c r="G4" s="236" t="str">
        <x:v>Source URL</x:v>
      </x:c>
      <x:c r="H4" s="236" t="str">
        <x:v>Accessed</x:v>
      </x:c>
    </x:row>
    <x:row r="5">
      <x:c r="A5" s="250" t="str">
        <x:v>ES-001</x:v>
      </x:c>
      <x:c r="B5" s="250" t="str">
        <x:v>Price sheets</x:v>
      </x:c>
      <x:c r="C5" s="250" t="str">
        <x:v>JMC BMX Fliers and Price List</x:v>
      </x:c>
      <x:c r="D5" s="250" t="str">
        <x:v>Exact public index title located.</x:v>
      </x:c>
      <x:c r="E5" s="250" t="str">
        <x:v>INCLUDE</x:v>
      </x:c>
      <x:c r="F5" s="250" t="str">
        <x:v>Combined set explicitly includes a price list; exact BMXMuseum reference ID and prices remain unresolved.</x:v>
      </x:c>
      <x:c r="G5" s="250" t="str">
        <x:v>https://www.pinterest.com/pin/jmc-bmx-fliers-and-price-list--442478732119429034/</x:v>
      </x:c>
      <x:c r="H5" s="251" t="str">
        <x:v>2026-07-30</x:v>
      </x:c>
    </x:row>
    <x:row r="6">
      <x:c r="A6" s="335" t="str">
        <x:v>ES-002</x:v>
      </x:c>
      <x:c r="B6" s="335" t="str">
        <x:v>Flyers</x:v>
      </x:c>
      <x:c r="C6" s="335" t="str">
        <x:v>JMC Racing Fliers</x:v>
      </x:c>
      <x:c r="D6" s="335" t="str">
        <x:v>Exact public index title located.</x:v>
      </x:c>
      <x:c r="E6" s="335" t="str">
        <x:v>INCLUDE</x:v>
      </x:c>
      <x:c r="F6" s="335" t="str">
        <x:v>Set-level flyer record is justified; item-level inventory remains incomplete.</x:v>
      </x:c>
      <x:c r="G6" s="335" t="str">
        <x:v>https://www.pinterest.com/pin/jmc-bmx-fliers-and-price-list--442478732119429034/</x:v>
      </x:c>
      <x:c r="H6" s="336" t="str">
        <x:v>2026-07-30</x:v>
      </x:c>
    </x:row>
    <x:row r="7">
      <x:c r="A7" s="250" t="str">
        <x:v>ES-003</x:v>
      </x:c>
      <x:c r="B7" s="250" t="str">
        <x:v>Price sheets</x:v>
      </x:c>
      <x:c r="C7" s="250" t="str">
        <x:v>1992 GT/Dyno Interceptor price page</x:v>
      </x:c>
      <x:c r="D7" s="250" t="str">
        <x:v>Public index exposes $259.</x:v>
      </x:c>
      <x:c r="E7" s="250" t="str">
        <x:v>INCLUDE WITH LIMITS</x:v>
      </x:c>
      <x:c r="F7" s="250" t="str">
        <x:v>Preserve the printed figure; do not infer currency, configuration or MSRP/dealer basis.</x:v>
      </x:c>
      <x:c r="G7" s="250" t="str">
        <x:v>https://www.pinterest.com/pin/430304939389697452/</x:v>
      </x:c>
      <x:c r="H7" s="251" t="str">
        <x:v>2026-07-30</x:v>
      </x:c>
    </x:row>
    <x:row r="8">
      <x:c r="A8" s="335" t="str">
        <x:v>ES-004</x:v>
      </x:c>
      <x:c r="B8" s="335" t="str">
        <x:v>Price sheets</x:v>
      </x:c>
      <x:c r="C8" s="335" t="str">
        <x:v>1992 GT/Dyno blue bicycle price page</x:v>
      </x:c>
      <x:c r="D8" s="335" t="str">
        <x:v>Public index exposes $319.</x:v>
      </x:c>
      <x:c r="E8" s="335" t="str">
        <x:v>INCLUDE WITH MODEL UNRESOLVED</x:v>
      </x:c>
      <x:c r="F8" s="335" t="str">
        <x:v>Keep the price observation separate from model identification.</x:v>
      </x:c>
      <x:c r="G8" s="335" t="str">
        <x:v>https://mx.pinterest.com/pin/430304939389697467/</x:v>
      </x:c>
      <x:c r="H8" s="336" t="str">
        <x:v>2026-07-30</x:v>
      </x:c>
    </x:row>
    <x:row r="9">
      <x:c r="A9" s="250" t="str">
        <x:v>ES-005</x:v>
      </x:c>
      <x:c r="B9" s="250" t="str">
        <x:v>Price sheets</x:v>
      </x:c>
      <x:c r="C9" s="250" t="str">
        <x:v>Vintage JMC dealer price list from Azusa collection</x:v>
      </x:c>
      <x:c r="D9" s="250" t="str">
        <x:v>Public social result exposes the document description.</x:v>
      </x:c>
      <x:c r="E9" s="250" t="str">
        <x:v>CORROBORATION ONLY</x:v>
      </x:c>
      <x:c r="F9" s="250" t="str">
        <x:v>Not enough evidence to merge it with the BMXMuseum set or transcribe line items.</x:v>
      </x:c>
      <x:c r="G9" s="250" t="str">
        <x:v>https://www.facebook.com/groups/553888658024748/posts/27080185384968381/</x:v>
      </x:c>
      <x:c r="H9" s="251" t="str">
        <x:v>2026-07-30</x:v>
      </x:c>
    </x:row>
    <x:row r="10">
      <x:c r="A10" s="337" t="str">
        <x:v>ES-006</x:v>
      </x:c>
      <x:c r="B10" s="337" t="str">
        <x:v>Access</x:v>
      </x:c>
      <x:c r="C10" s="337" t="str">
        <x:v>Direct BMXMuseum reference pages</x:v>
      </x:c>
      <x:c r="D10" s="337" t="str">
        <x:v>Automated retrieval remains unavailable in the current research route.</x:v>
      </x:c>
      <x:c r="E10" s="337" t="str">
        <x:v>DEFER — DO NOT BYPASS</x:v>
      </x:c>
      <x:c r="F10" s="337" t="str">
        <x:v>Continue with public indexes, first-party links, public backlinks and independent verification.</x:v>
      </x:c>
      <x:c r="G10" s="337" t="str">
        <x:v>https://bmxmuseum.com/reference/</x:v>
      </x:c>
      <x:c r="H10" s="338" t="str">
        <x:v>2026-07-30</x:v>
      </x:c>
    </x:row>
    <x:row r="11">
      <x:c r="A11" s="250" t="str">
        <x:v>ES-007</x:v>
      </x:c>
      <x:c r="B11" s="250" t="str">
        <x:v>JMC ephemera</x:v>
      </x:c>
      <x:c r="C11" s="250" t="str">
        <x:v>July 1979 JMC advertisement</x:v>
      </x:c>
      <x:c r="D11" s="250" t="str">
        <x:v>First-party JMC archive identifies July 1979 BMXA issue and repeated use.</x:v>
      </x:c>
      <x:c r="E11" s="250" t="str">
        <x:v>INCLUDE</x:v>
      </x:c>
      <x:c r="F11" s="250" t="str">
        <x:v>Bibliographic identity is strong; image remains permission-controlled.</x:v>
      </x:c>
      <x:c r="G11" s="250" t="str">
        <x:v>https://jmcbmx.wordpress.com/2010/02/03/july-1979-advertisement/</x:v>
      </x:c>
      <x:c r="H11" s="251" t="str">
        <x:v>2026-07-30</x:v>
      </x:c>
    </x:row>
    <x:row r="12">
      <x:c r="A12" s="335" t="str">
        <x:v>ES-008</x:v>
      </x:c>
      <x:c r="B12" s="335" t="str">
        <x:v>JMC ephemera</x:v>
      </x:c>
      <x:c r="C12" s="335" t="str">
        <x:v>April 1981 JMC advertisement</x:v>
      </x:c>
      <x:c r="D12" s="335" t="str">
        <x:v>First-party JMC archive identifies Super BMX and summarizes product claims.</x:v>
      </x:c>
      <x:c r="E12" s="335" t="str">
        <x:v>INCLUDE</x:v>
      </x:c>
      <x:c r="F12" s="335" t="str">
        <x:v>Claims may be indexed and paraphrased; full advertisement is not reproduced.</x:v>
      </x:c>
      <x:c r="G12" s="335" t="str">
        <x:v>https://jmcbmx.wordpress.com/2010/02/03/april-1981-advertisement/</x:v>
      </x:c>
      <x:c r="H12" s="336" t="str">
        <x:v>2026-07-30</x:v>
      </x:c>
    </x:row>
    <x:row r="13">
      <x:c r="A13" s="250" t="str">
        <x:v>ES-009</x:v>
      </x:c>
      <x:c r="B13" s="250" t="str">
        <x:v>JMC ephemera</x:v>
      </x:c>
      <x:c r="C13" s="250" t="str">
        <x:v>1981 JMC Factory Team advertisement</x:v>
      </x:c>
      <x:c r="D13" s="250" t="str">
        <x:v>First-party archive confirms title/year.</x:v>
      </x:c>
      <x:c r="E13" s="250" t="str">
        <x:v>INCLUDE WITH LIMITS</x:v>
      </x:c>
      <x:c r="F13" s="250" t="str">
        <x:v>Publication, issue and complete rider list remain unresolved.</x:v>
      </x:c>
      <x:c r="G13" s="250" t="str">
        <x:v>https://jmcbmx.wordpress.com/2010/02/03/81-jmc-factory-team-advertisement/</x:v>
      </x:c>
      <x:c r="H13" s="251" t="str">
        <x:v>2026-07-30</x:v>
      </x:c>
    </x:row>
    <x:row r="14">
      <x:c r="A14" s="335" t="str">
        <x:v>ES-010</x:v>
      </x:c>
      <x:c r="B14" s="335" t="str">
        <x:v>Reference recovery</x:v>
      </x:c>
      <x:c r="C14" s="335" t="str">
        <x:v>Ashtabula catalog</x:v>
      </x:c>
      <x:c r="D14" s="335" t="str">
        <x:v>Two independent discussions cite BMXMuseum reference 5027.</x:v>
      </x:c>
      <x:c r="E14" s="335" t="str">
        <x:v>EXACT ID RECOVERED</x:v>
      </x:c>
      <x:c r="F14" s="335" t="str">
        <x:v>Object identity is strong; circa-1977 date remains approximate.</x:v>
      </x:c>
      <x:c r="G14" s="335" t="str">
        <x:v>https://bmxmuseum.com/reference/5027</x:v>
      </x:c>
      <x:c r="H14" s="336" t="str">
        <x:v>2026-07-30</x:v>
      </x:c>
    </x:row>
    <x:row r="15">
      <x:c r="A15" s="250" t="str">
        <x:v>ES-011</x:v>
      </x:c>
      <x:c r="B15" s="250" t="str">
        <x:v>Reference recovery</x:v>
      </x:c>
      <x:c r="C15" s="250" t="str">
        <x:v>1990 Haro BMX catalog</x:v>
      </x:c>
      <x:c r="D15" s="250" t="str">
        <x:v>Official Haro archive lists a 1990 PDF catalog.</x:v>
      </x:c>
      <x:c r="E15" s="250" t="str">
        <x:v>EXISTENCE VERIFIED; BMXM ID OPEN</x:v>
      </x:c>
      <x:c r="F15" s="250" t="str">
        <x:v>Official archive confirms the catalog, not the unresolved BMXMuseum reference ID.</x:v>
      </x:c>
      <x:c r="G15" s="250" t="str">
        <x:v>https://archive.harobikes.com/bmx</x:v>
      </x:c>
      <x:c r="H15" s="251" t="str">
        <x:v>2026-07-30</x:v>
      </x:c>
    </x:row>
    <x:row r="16">
      <x:c r="A16" s="337" t="str">
        <x:v>ES-012</x:v>
      </x:c>
      <x:c r="B16" s="337" t="str">
        <x:v>Reference recovery</x:v>
      </x:c>
      <x:c r="C16" s="337" t="str">
        <x:v>JMC / GT-Dyno / Haro exact BMXMuseum IDs</x:v>
      </x:c>
      <x:c r="D16" s="337" t="str">
        <x:v>No additional canonical reference links recovered through permitted public indexing.</x:v>
      </x:c>
      <x:c r="E16" s="337" t="str">
        <x:v>KEEP OPEN</x:v>
      </x:c>
      <x:c r="F16" s="337" t="str">
        <x:v>A zero result is not evidence that BMXMuseum lacks the object.</x:v>
      </x:c>
      <x:c r="G16" s="337" t="str">
        <x:v>https://bmxmuseum.com/reference/</x:v>
      </x:c>
      <x:c r="H16" s="338" t="str">
        <x:v>2026-07-30</x:v>
      </x:c>
    </x:row>
  </x:sheetData>
  <x:mergeCells>
    <x:mergeCell ref="A1:H1"/>
    <x:mergeCell ref="A2:H2"/>
  </x:mergeCells>
  <x:pageMargins left="0.7" right="0.7" top="0.75" bottom="0.75" header="0.3" footer="0.3"/>
</x:worksheet>
</file>

<file path=xl/worksheets/sheet31.xml><?xml version="1.0" encoding="utf-8"?>
<x:worksheet xmlns:x="http://schemas.openxmlformats.org/spreadsheetml/2006/main">
  <x:sheetFormatPr defaultRowHeight="15"/>
  <x:cols>
    <x:col min="1" max="1" width="15" hidden="0" customWidth="1"/>
    <x:col min="2" max="2" width="20" hidden="0" customWidth="1"/>
    <x:col min="3" max="3" width="22" hidden="0" customWidth="1"/>
    <x:col min="4" max="4" width="30" hidden="0" customWidth="1"/>
    <x:col min="5" max="5" width="26" hidden="0" customWidth="1"/>
    <x:col min="6" max="6" width="20" hidden="0" customWidth="1"/>
    <x:col min="7" max="7" width="28" hidden="0" customWidth="1"/>
    <x:col min="8" max="8" width="38" hidden="0" customWidth="1"/>
    <x:col min="9" max="9" width="30" hidden="0" customWidth="1"/>
    <x:col min="10" max="10" width="42" hidden="0" customWidth="1"/>
    <x:col min="11" max="11" width="42" hidden="0" customWidth="1"/>
    <x:col min="12" max="12" width="24" hidden="0" customWidth="1"/>
    <x:col min="13" max="13" width="18" hidden="0" customWidth="1"/>
    <x:col min="14" max="14" width="36" hidden="0" customWidth="1"/>
    <x:col min="15" max="15" width="34" hidden="0" customWidth="1"/>
    <x:col min="16" max="16" width="13" hidden="0" customWidth="1"/>
  </x:cols>
  <x:sheetData>
    <x:row r="1" ht="27" customHeight="1">
      <x:c r="A1" s="226" t="str">
        <x:v>v0.5 JMC Ephemera Completion Pass</x:v>
      </x:c>
      <x:c r="B1" s="226"/>
      <x:c r="C1" s="226"/>
      <x:c r="D1" s="226"/>
      <x:c r="E1" s="226"/>
      <x:c r="F1" s="226"/>
      <x:c r="G1" s="226"/>
      <x:c r="H1" s="226"/>
      <x:c r="I1" s="226"/>
      <x:c r="J1" s="226"/>
      <x:c r="K1" s="226"/>
      <x:c r="L1" s="226"/>
      <x:c r="M1" s="226"/>
      <x:c r="N1" s="226"/>
      <x:c r="O1" s="226"/>
      <x:c r="P1" s="226"/>
    </x:row>
    <x:row r="2" ht="36" customHeight="1">
      <x:c r="A2" s="230" t="str">
        <x:v>Separates the unresolved BMXMuseum flyer/price-list set from independently recoverable period advertisements and first-party historical claims. No scans were copied.</x:v>
      </x:c>
      <x:c r="B2" s="230"/>
      <x:c r="C2" s="230"/>
      <x:c r="D2" s="230"/>
      <x:c r="E2" s="230"/>
      <x:c r="F2" s="230"/>
      <x:c r="G2" s="230"/>
      <x:c r="H2" s="230"/>
      <x:c r="I2" s="230"/>
      <x:c r="J2" s="230"/>
      <x:c r="K2" s="230"/>
      <x:c r="L2" s="230"/>
      <x:c r="M2" s="230"/>
      <x:c r="N2" s="230"/>
      <x:c r="O2" s="230"/>
      <x:c r="P2" s="230"/>
    </x:row>
    <x:row r="3">
      <x:c r="A3"/>
      <x:c r="B3"/>
      <x:c r="C3"/>
      <x:c r="D3"/>
      <x:c r="E3"/>
      <x:c r="F3"/>
      <x:c r="G3"/>
      <x:c r="H3"/>
      <x:c r="I3"/>
      <x:c r="J3"/>
      <x:c r="K3"/>
      <x:c r="L3"/>
      <x:c r="M3"/>
      <x:c r="N3"/>
      <x:c r="O3"/>
      <x:c r="P3"/>
    </x:row>
    <x:row r="4" ht="36" customHeight="1">
      <x:c r="A4" s="236" t="str">
        <x:v>JMC Ephemera ID</x:v>
      </x:c>
      <x:c r="B4" s="236" t="str">
        <x:v>Related Register Object</x:v>
      </x:c>
      <x:c r="C4" s="236" t="str">
        <x:v>Object Type</x:v>
      </x:c>
      <x:c r="D4" s="236" t="str">
        <x:v>Title / Description</x:v>
      </x:c>
      <x:c r="E4" s="236" t="str">
        <x:v>Publication / Channel</x:v>
      </x:c>
      <x:c r="F4" s="236" t="str">
        <x:v>Issue / Date</x:v>
      </x:c>
      <x:c r="G4" s="236" t="str">
        <x:v>Products / People</x:v>
      </x:c>
      <x:c r="H4" s="236" t="str">
        <x:v>What It Verifies</x:v>
      </x:c>
      <x:c r="I4" s="236" t="str">
        <x:v>BMXMuseum Link Status</x:v>
      </x:c>
      <x:c r="J4" s="236" t="str">
        <x:v>Primary Source URL</x:v>
      </x:c>
      <x:c r="K4" s="236" t="str">
        <x:v>Corroborating URL</x:v>
      </x:c>
      <x:c r="L4" s="236" t="str">
        <x:v>Evidence Class</x:v>
      </x:c>
      <x:c r="M4" s="236" t="str">
        <x:v>Confidence</x:v>
      </x:c>
      <x:c r="N4" s="236" t="str">
        <x:v>Rights / Reuse</x:v>
      </x:c>
      <x:c r="O4" s="236" t="str">
        <x:v>Research Status</x:v>
      </x:c>
      <x:c r="P4" s="236" t="str">
        <x:v>Accessed</x:v>
      </x:c>
    </x:row>
    <x:row r="5">
      <x:c r="A5" s="250" t="str">
        <x:v>JMC-E-0001</x:v>
      </x:c>
      <x:c r="B5" s="250" t="str">
        <x:v>BM-AD-0011</x:v>
      </x:c>
      <x:c r="C5" s="250" t="str">
        <x:v>Combined flyer / price-list set</x:v>
      </x:c>
      <x:c r="D5" s="250" t="str">
        <x:v>JMC Racing Fliers and Price List</x:v>
      </x:c>
      <x:c r="E5" s="250" t="str">
        <x:v>BMXMuseum reference title exposed through public index</x:v>
      </x:c>
      <x:c r="F5" s="250" t="str">
        <x:v>Undated</x:v>
      </x:c>
      <x:c r="G5" s="250" t="str">
        <x:v>JMC Racing product range</x:v>
      </x:c>
      <x:c r="H5" s="250" t="str">
        <x:v>Existence of a combined ephemera set and its broad subject.</x:v>
      </x:c>
      <x:c r="I5" s="250" t="str">
        <x:v>Exact BMXMuseum ID unresolved</x:v>
      </x:c>
      <x:c r="J5" s="250" t="str">
        <x:v>https://www.pinterest.com/pin/jmc-bmx-fliers-and-price-list--442478732119429034/</x:v>
      </x:c>
      <x:c r="K5" s="250" t="str">
        <x:v>https://www.facebook.com/groups/553888658024748/posts/27080185384968381/</x:v>
      </x:c>
      <x:c r="L5" s="250" t="str">
        <x:v>INDEXED TITLE + EXTERNAL CORROBORATION</x:v>
      </x:c>
      <x:c r="M5" s="250" t="str">
        <x:v>MEDIUM</x:v>
      </x:c>
      <x:c r="N5" s="250" t="str">
        <x:v>Index metadata only; do not copy scans.</x:v>
      </x:c>
      <x:c r="O5" s="250" t="str">
        <x:v>Locate canonical ID, date, page count and child items.</x:v>
      </x:c>
      <x:c r="P5" s="251" t="str">
        <x:v>2026-07-30</x:v>
      </x:c>
    </x:row>
    <x:row r="6">
      <x:c r="A6" s="335" t="str">
        <x:v>JMC-E-0002</x:v>
      </x:c>
      <x:c r="B6" s="335" t="str">
        <x:v>BM-AD-0012 / BM-PRICE-0004</x:v>
      </x:c>
      <x:c r="C6" s="335" t="str">
        <x:v>Dealer price list</x:v>
      </x:c>
      <x:c r="D6" s="335" t="str">
        <x:v>Vintage JMC Racing Equipment dealer's price list</x:v>
      </x:c>
      <x:c r="E6" s="335" t="str">
        <x:v>Public social lead / Azusa collection context</x:v>
      </x:c>
      <x:c r="F6" s="335" t="str">
        <x:v>Undated vintage document</x:v>
      </x:c>
      <x:c r="G6" s="335" t="str">
        <x:v>JMC Racing equipment</x:v>
      </x:c>
      <x:c r="H6" s="335" t="str">
        <x:v>Existence of a dealer-described price list.</x:v>
      </x:c>
      <x:c r="I6" s="335" t="str">
        <x:v>No exact BMXMuseum object established</x:v>
      </x:c>
      <x:c r="J6" s="335" t="str">
        <x:v>https://www.facebook.com/groups/553888658024748/posts/27080185384968381/</x:v>
      </x:c>
      <x:c r="K6" s="335"/>
      <x:c r="L6" s="335" t="str">
        <x:v>EXTERNAL PUBLIC LEAD</x:v>
      </x:c>
      <x:c r="M6" s="335" t="str">
        <x:v>LOW-MEDIUM</x:v>
      </x:c>
      <x:c r="N6" s="335" t="str">
        <x:v>Index description only; do not transcribe unreadable prices.</x:v>
      </x:c>
      <x:c r="O6" s="335" t="str">
        <x:v>Compare directly with JMC-E-0001 before merging.</x:v>
      </x:c>
      <x:c r="P6" s="336" t="str">
        <x:v>2026-07-30</x:v>
      </x:c>
    </x:row>
    <x:row r="7">
      <x:c r="A7" s="250" t="str">
        <x:v>JMC-E-0003</x:v>
      </x:c>
      <x:c r="B7" s="250" t="str">
        <x:v>BM-AD-0013</x:v>
      </x:c>
      <x:c r="C7" s="250" t="str">
        <x:v>Magazine advertisement</x:v>
      </x:c>
      <x:c r="D7" s="250" t="str">
        <x:v>July 1979 JMC advertisement</x:v>
      </x:c>
      <x:c r="E7" s="250" t="str">
        <x:v>Bicycle Motocross Action</x:v>
      </x:c>
      <x:c r="F7" s="250" t="str">
        <x:v>July 1979 issue; repeated over multiple months</x:v>
      </x:c>
      <x:c r="G7" s="250" t="str">
        <x:v>JMC Racing</x:v>
      </x:c>
      <x:c r="H7" s="250" t="str">
        <x:v>Period advertising chronology and presentation.</x:v>
      </x:c>
      <x:c r="I7" s="250" t="str">
        <x:v>Independent first-party JMC archive; not an exact BMXMuseum ID</x:v>
      </x:c>
      <x:c r="J7" s="250" t="str">
        <x:v>https://jmcbmx.wordpress.com/2010/02/03/july-1979-advertisement/</x:v>
      </x:c>
      <x:c r="K7" s="250" t="str">
        <x:v>https://jmcbmx.wordpress.com/page/3/</x:v>
      </x:c>
      <x:c r="L7" s="250" t="str">
        <x:v>FIRST-PARTY HISTORICAL ARCHIVE</x:v>
      </x:c>
      <x:c r="M7" s="250" t="str">
        <x:v>HIGH</x:v>
      </x:c>
      <x:c r="N7" s="250" t="str">
        <x:v>BMXA imagery requires Bob Osborn's written permission; metadata only.</x:v>
      </x:c>
      <x:c r="O7" s="250" t="str">
        <x:v>Recover page number and identify repeat issues.</x:v>
      </x:c>
      <x:c r="P7" s="251" t="str">
        <x:v>2026-07-30</x:v>
      </x:c>
    </x:row>
    <x:row r="8">
      <x:c r="A8" s="335" t="str">
        <x:v>JMC-E-0004</x:v>
      </x:c>
      <x:c r="B8" s="335" t="str">
        <x:v>BM-AD-0014</x:v>
      </x:c>
      <x:c r="C8" s="335" t="str">
        <x:v>Magazine advertisement</x:v>
      </x:c>
      <x:c r="D8" s="335" t="str">
        <x:v>April 1981 JMC advertisement</x:v>
      </x:c>
      <x:c r="E8" s="335" t="str">
        <x:v>Super BMX</x:v>
      </x:c>
      <x:c r="F8" s="335" t="str">
        <x:v>April 1981; appeared in multiple months</x:v>
      </x:c>
      <x:c r="G8" s="335" t="str">
        <x:v>Black Shadow; 3.1 XL</x:v>
      </x:c>
      <x:c r="H8" s="335" t="str">
        <x:v>Black Shadow name after chrome option; 3.1 XL 110-lb limit; frame/geometry comparisons.</x:v>
      </x:c>
      <x:c r="I8" s="335" t="str">
        <x:v>Independent first-party JMC archive; not an exact BMXMuseum ID</x:v>
      </x:c>
      <x:c r="J8" s="335" t="str">
        <x:v>https://jmcbmx.wordpress.com/2010/02/03/april-1981-advertisement/</x:v>
      </x:c>
      <x:c r="K8" s="335" t="str">
        <x:v>https://jmcbmx.wordpress.com/page/3/</x:v>
      </x:c>
      <x:c r="L8" s="335" t="str">
        <x:v>FIRST-PARTY HISTORICAL ARCHIVE</x:v>
      </x:c>
      <x:c r="M8" s="335" t="str">
        <x:v>HIGH</x:v>
      </x:c>
      <x:c r="N8" s="335" t="str">
        <x:v>Index and paraphrase claims; do not reproduce ad image or extended copy.</x:v>
      </x:c>
      <x:c r="O8" s="335" t="str">
        <x:v>Recover page and repeated issue dates.</x:v>
      </x:c>
      <x:c r="P8" s="336" t="str">
        <x:v>2026-07-30</x:v>
      </x:c>
    </x:row>
    <x:row r="9">
      <x:c r="A9" s="250" t="str">
        <x:v>JMC-E-0005</x:v>
      </x:c>
      <x:c r="B9" s="250" t="str">
        <x:v>BM-AD-0015</x:v>
      </x:c>
      <x:c r="C9" s="250" t="str">
        <x:v>Team advertisement</x:v>
      </x:c>
      <x:c r="D9" s="250" t="str">
        <x:v>1981 JMC Factory Team advertisement</x:v>
      </x:c>
      <x:c r="E9" s="250" t="str">
        <x:v>Publication unresolved</x:v>
      </x:c>
      <x:c r="F9" s="250" t="str">
        <x:v>1981</x:v>
      </x:c>
      <x:c r="G9" s="250" t="str">
        <x:v>JMC Factory Team</x:v>
      </x:c>
      <x:c r="H9" s="250" t="str">
        <x:v>Existence of a team advertisement and broad team context.</x:v>
      </x:c>
      <x:c r="I9" s="250" t="str">
        <x:v>Independent first-party JMC archive; not an exact BMXMuseum ID</x:v>
      </x:c>
      <x:c r="J9" s="250" t="str">
        <x:v>https://jmcbmx.wordpress.com/2010/02/03/81-jmc-factory-team-advertisement/</x:v>
      </x:c>
      <x:c r="K9" s="250" t="str">
        <x:v>https://jmcbmx.wordpress.com/page/3/</x:v>
      </x:c>
      <x:c r="L9" s="250" t="str">
        <x:v>FIRST-PARTY HISTORICAL ARCHIVE</x:v>
      </x:c>
      <x:c r="M9" s="250" t="str">
        <x:v>MEDIUM-HIGH</x:v>
      </x:c>
      <x:c r="N9" s="250" t="str">
        <x:v>Index metadata only; do not copy image.</x:v>
      </x:c>
      <x:c r="O9" s="250" t="str">
        <x:v>Identify publication, issue, page and riders pictured.</x:v>
      </x:c>
      <x:c r="P9" s="251" t="str">
        <x:v>2026-07-30</x:v>
      </x:c>
    </x:row>
    <x:row r="10">
      <x:c r="A10" s="337" t="str">
        <x:v>JMC-E-0006</x:v>
      </x:c>
      <x:c r="B10" s="337" t="str">
        <x:v>BM-AD-0016</x:v>
      </x:c>
      <x:c r="C10" s="337" t="str">
        <x:v>Promotional announcement / contest</x:v>
      </x:c>
      <x:c r="D10" s="337" t="str">
        <x:v>JMC 3.1 XL naming contest</x:v>
      </x:c>
      <x:c r="E10" s="337" t="str">
        <x:v>ABA paper; announcement not yet recovered</x:v>
      </x:c>
      <x:c r="F10" s="337" t="str">
        <x:v>1980</x:v>
      </x:c>
      <x:c r="G10" s="337" t="str">
        <x:v>JMC; Bicycle Harbor of Arizona; Matt Raymer; 3.1 XL</x:v>
      </x:c>
      <x:c r="H10" s="337" t="str">
        <x:v>Origin of the 3.1 XL name and dealer collaboration.</x:v>
      </x:c>
      <x:c r="I10" s="337" t="str">
        <x:v>No exact BMXMuseum or period-object link recovered</x:v>
      </x:c>
      <x:c r="J10" s="337" t="str">
        <x:v>https://jmcbmx.wordpress.com/about/</x:v>
      </x:c>
      <x:c r="K10" s="337"/>
      <x:c r="L10" s="337" t="str">
        <x:v>FIRST-PARTY HISTORICAL CLAIM</x:v>
      </x:c>
      <x:c r="M10" s="337" t="str">
        <x:v>HIGH for claim; LOW for object</x:v>
      </x:c>
      <x:c r="N10" s="337" t="str">
        <x:v>No image recovered; paraphrase historical claim.</x:v>
      </x:c>
      <x:c r="O10" s="337" t="str">
        <x:v>Locate ABA paper issue and original announcement.</x:v>
      </x:c>
      <x:c r="P10" s="338" t="str">
        <x:v>2026-07-30</x:v>
      </x:c>
    </x:row>
  </x:sheetData>
  <x:mergeCells>
    <x:mergeCell ref="A1:P1"/>
    <x:mergeCell ref="A2:P2"/>
  </x:mergeCells>
  <x:pageMargins left="0.7" right="0.7" top="0.75" bottom="0.75" header="0.3" footer="0.3"/>
</x:worksheet>
</file>

<file path=xl/worksheets/sheet32.xml><?xml version="1.0" encoding="utf-8"?>
<x:worksheet xmlns:x="http://schemas.openxmlformats.org/spreadsheetml/2006/main">
  <x:sheetFormatPr defaultRowHeight="15"/>
  <x:cols>
    <x:col min="1" max="1" width="14" hidden="0" customWidth="1"/>
    <x:col min="2" max="2" width="30" hidden="0" customWidth="1"/>
    <x:col min="3" max="3" width="18" hidden="0" customWidth="1"/>
    <x:col min="4" max="4" width="22" hidden="0" customWidth="1"/>
    <x:col min="5" max="5" width="18" hidden="0" customWidth="1"/>
    <x:col min="6" max="6" width="28" hidden="0" customWidth="1"/>
    <x:col min="7" max="7" width="42" hidden="0" customWidth="1"/>
    <x:col min="8" max="8" width="42" hidden="0" customWidth="1"/>
    <x:col min="9" max="9" width="35" hidden="0" customWidth="1"/>
    <x:col min="10" max="10" width="35" hidden="0" customWidth="1"/>
    <x:col min="11" max="11" width="13" hidden="0" customWidth="1"/>
  </x:cols>
  <x:sheetData>
    <x:row r="1" ht="27" customHeight="1">
      <x:c r="A1" s="226" t="str">
        <x:v>v0.5 Exact BMXMuseum Reference Recovery</x:v>
      </x:c>
      <x:c r="B1" s="226"/>
      <x:c r="C1" s="226"/>
      <x:c r="D1" s="226"/>
      <x:c r="E1" s="226"/>
      <x:c r="F1" s="226"/>
      <x:c r="G1" s="226"/>
      <x:c r="H1" s="226"/>
      <x:c r="I1" s="226"/>
      <x:c r="J1" s="226"/>
      <x:c r="K1" s="226"/>
    </x:row>
    <x:row r="2" ht="36" customHeight="1">
      <x:c r="A2" s="230" t="str">
        <x:v>An exact ID is recorded only when a canonical BMXMuseum link is publicly exposed. Unresolved results remain open research and are never converted into an absence claim.</x:v>
      </x:c>
      <x:c r="B2" s="230"/>
      <x:c r="C2" s="230"/>
      <x:c r="D2" s="230"/>
      <x:c r="E2" s="230"/>
      <x:c r="F2" s="230"/>
      <x:c r="G2" s="230"/>
      <x:c r="H2" s="230"/>
      <x:c r="I2" s="230"/>
      <x:c r="J2" s="230"/>
      <x:c r="K2" s="230"/>
    </x:row>
    <x:row r="3">
      <x:c r="A3"/>
      <x:c r="B3"/>
      <x:c r="C3"/>
      <x:c r="D3"/>
      <x:c r="E3"/>
      <x:c r="F3"/>
      <x:c r="G3"/>
      <x:c r="H3"/>
      <x:c r="I3"/>
      <x:c r="J3"/>
      <x:c r="K3"/>
    </x:row>
    <x:row r="4" ht="36" customHeight="1">
      <x:c r="A4" s="236" t="str">
        <x:v>Recovery ID</x:v>
      </x:c>
      <x:c r="B4" s="236" t="str">
        <x:v>Target Object</x:v>
      </x:c>
      <x:c r="C4" s="236" t="str">
        <x:v>Brand</x:v>
      </x:c>
      <x:c r="D4" s="236" t="str">
        <x:v>Expected Type</x:v>
      </x:c>
      <x:c r="E4" s="236" t="str">
        <x:v>Exact Reference ID</x:v>
      </x:c>
      <x:c r="F4" s="236" t="str">
        <x:v>Recovery Result</x:v>
      </x:c>
      <x:c r="G4" s="236" t="str">
        <x:v>Evidence / Source</x:v>
      </x:c>
      <x:c r="H4" s="236" t="str">
        <x:v>Independent Verification</x:v>
      </x:c>
      <x:c r="I4" s="236" t="str">
        <x:v>Rights / Access</x:v>
      </x:c>
      <x:c r="J4" s="236" t="str">
        <x:v>Next Action</x:v>
      </x:c>
      <x:c r="K4" s="236" t="str">
        <x:v>Accessed</x:v>
      </x:c>
    </x:row>
    <x:row r="5">
      <x:c r="A5" s="250" t="str">
        <x:v>RR-001</x:v>
      </x:c>
      <x:c r="B5" s="250" t="str">
        <x:v>JMC Racing Fliers and Price List</x:v>
      </x:c>
      <x:c r="C5" s="250" t="str">
        <x:v>JMC Racing</x:v>
      </x:c>
      <x:c r="D5" s="250" t="str">
        <x:v>Reference / combined ephemera set</x:v>
      </x:c>
      <x:c r="E5" s="263" t="str">
        <x:v>Unresolved</x:v>
      </x:c>
      <x:c r="F5" s="263" t="str">
        <x:v>Title confirmed; canonical ID not recovered</x:v>
      </x:c>
      <x:c r="G5" s="250" t="str">
        <x:v>https://www.pinterest.com/pin/jmc-bmx-fliers-and-price-list--442478732119429034/</x:v>
      </x:c>
      <x:c r="H5" s="250" t="str">
        <x:v>First-party JMC archive confirms related period ads, but not this set's BMXMuseum ID.</x:v>
      </x:c>
      <x:c r="I5" s="250" t="str">
        <x:v>INDEX-ONLY; do not bypass blocked reference paths</x:v>
      </x:c>
      <x:c r="J5" s="250" t="str">
        <x:v>Continue exact-title and backlink recovery.</x:v>
      </x:c>
      <x:c r="K5" s="251" t="str">
        <x:v>2026-07-30</x:v>
      </x:c>
    </x:row>
    <x:row r="6">
      <x:c r="A6" s="335" t="str">
        <x:v>RR-002</x:v>
      </x:c>
      <x:c r="B6" s="335" t="str">
        <x:v>1992 GT/Dyno Product Catalog</x:v>
      </x:c>
      <x:c r="C6" s="335" t="str">
        <x:v>GT; Dyno</x:v>
      </x:c>
      <x:c r="D6" s="335" t="str">
        <x:v>Reference / catalog</x:v>
      </x:c>
      <x:c r="E6" s="263" t="str">
        <x:v>Unresolved</x:v>
      </x:c>
      <x:c r="F6" s="263" t="str">
        <x:v>Catalog title and price-bearing pages exposed; canonical ID not recovered</x:v>
      </x:c>
      <x:c r="G6" s="335" t="str">
        <x:v>https://in.pinterest.com/pin/1011550766308215575/</x:v>
      </x:c>
      <x:c r="H6" s="335"/>
      <x:c r="I6" s="335" t="str">
        <x:v>INDEX-ONLY</x:v>
      </x:c>
      <x:c r="J6" s="335" t="str">
        <x:v>Search exact titles, page filenames and public backlinks.</x:v>
      </x:c>
      <x:c r="K6" s="336" t="str">
        <x:v>2026-07-30</x:v>
      </x:c>
    </x:row>
    <x:row r="7">
      <x:c r="A7" s="250" t="str">
        <x:v>RR-003</x:v>
      </x:c>
      <x:c r="B7" s="250" t="str">
        <x:v>1996 GT/Dyno — The BMX &amp; Freestyle Catalog</x:v>
      </x:c>
      <x:c r="C7" s="250" t="str">
        <x:v>GT; Dyno</x:v>
      </x:c>
      <x:c r="D7" s="250" t="str">
        <x:v>Reference / catalog</x:v>
      </x:c>
      <x:c r="E7" s="263" t="str">
        <x:v>Unresolved</x:v>
      </x:c>
      <x:c r="F7" s="263" t="str">
        <x:v>Catalog title and BMXMuseum provenance exposed; canonical ID not recovered</x:v>
      </x:c>
      <x:c r="G7" s="250" t="str">
        <x:v>https://www.pinterest.com/pin/bmxmuseumcom-reference-1996-gtdyno-the-bmx-freestyle-catalog--491877590560035755/</x:v>
      </x:c>
      <x:c r="H7" s="250"/>
      <x:c r="I7" s="250" t="str">
        <x:v>INDEX-ONLY</x:v>
      </x:c>
      <x:c r="J7" s="250" t="str">
        <x:v>Recover exact ID and edition/page count.</x:v>
      </x:c>
      <x:c r="K7" s="251" t="str">
        <x:v>2026-07-30</x:v>
      </x:c>
    </x:row>
    <x:row r="8">
      <x:c r="A8" s="335" t="str">
        <x:v>RR-004</x:v>
      </x:c>
      <x:c r="B8" s="335" t="str">
        <x:v>1999 GT/Dyno BMX/Freestyle — Part 2</x:v>
      </x:c>
      <x:c r="C8" s="335" t="str">
        <x:v>GT; Dyno</x:v>
      </x:c>
      <x:c r="D8" s="335" t="str">
        <x:v>Reference / catalog</x:v>
      </x:c>
      <x:c r="E8" s="263" t="str">
        <x:v>Unresolved</x:v>
      </x:c>
      <x:c r="F8" s="263" t="str">
        <x:v>Part title exposed; canonical ID and Part 1 unresolved</x:v>
      </x:c>
      <x:c r="G8" s="335" t="str">
        <x:v>https://www.pinterest.com/pin/bmxmuseumcom-reference-1999-gtdyno-bmxfreestyle-part-2-in-2025--798192733998105769/</x:v>
      </x:c>
      <x:c r="H8" s="335"/>
      <x:c r="I8" s="335" t="str">
        <x:v>INDEX-ONLY</x:v>
      </x:c>
      <x:c r="J8" s="335" t="str">
        <x:v>Locate Part 1 and exact reference links.</x:v>
      </x:c>
      <x:c r="K8" s="336" t="str">
        <x:v>2026-07-30</x:v>
      </x:c>
    </x:row>
    <x:row r="9">
      <x:c r="A9" s="250" t="str">
        <x:v>RR-005</x:v>
      </x:c>
      <x:c r="B9" s="250" t="str">
        <x:v>1990 Haro BMX Catalog</x:v>
      </x:c>
      <x:c r="C9" s="250" t="str">
        <x:v>Haro</x:v>
      </x:c>
      <x:c r="D9" s="250" t="str">
        <x:v>Reference / catalog</x:v>
      </x:c>
      <x:c r="E9" s="263" t="str">
        <x:v>Unresolved</x:v>
      </x:c>
      <x:c r="F9" s="263" t="str">
        <x:v>Official Haro archive confirms a 1990 PDF catalog; BMXMuseum ID remains open</x:v>
      </x:c>
      <x:c r="G9" s="250" t="str">
        <x:v>https://archive.harobikes.com/bmx</x:v>
      </x:c>
      <x:c r="H9" s="250" t="str">
        <x:v>Official Haro archive lists 1990 among its PDF catalog years.</x:v>
      </x:c>
      <x:c r="I9" s="250" t="str">
        <x:v>INDEX-ONLY</x:v>
      </x:c>
      <x:c r="J9" s="250" t="str">
        <x:v>Compare official PDF structure with public BMXMuseum index clues.</x:v>
      </x:c>
      <x:c r="K9" s="251" t="str">
        <x:v>2026-07-30</x:v>
      </x:c>
    </x:row>
    <x:row r="10">
      <x:c r="A10" s="337" t="str">
        <x:v>RR-006</x:v>
      </x:c>
      <x:c r="B10" s="337" t="str">
        <x:v>Ashtabula component catalog</x:v>
      </x:c>
      <x:c r="C10" s="337" t="str">
        <x:v>Ashtabula</x:v>
      </x:c>
      <x:c r="D10" s="337" t="str">
        <x:v>Reference / catalog</x:v>
      </x:c>
      <x:c r="E10" s="262" t="str">
        <x:v>5027</x:v>
      </x:c>
      <x:c r="F10" s="262" t="str">
        <x:v>EXACT ID RECOVERED</x:v>
      </x:c>
      <x:c r="G10" s="337" t="str">
        <x:v>https://bmxmuseum.com/reference/5027</x:v>
      </x:c>
      <x:c r="H10" s="337" t="str">
        <x:v>Two independent technical discussions cite the same canonical reference and catalog details.</x:v>
      </x:c>
      <x:c r="I10" s="337" t="str">
        <x:v>INDEX-ONLY; direct automated page retrieval not attempted</x:v>
      </x:c>
      <x:c r="J10" s="337" t="str">
        <x:v>Inspect edition/pages through permitted access; keep circa-1977 date provisional.</x:v>
      </x:c>
      <x:c r="K10" s="338" t="str">
        <x:v>2026-07-30</x:v>
      </x:c>
    </x:row>
  </x:sheetData>
  <x:mergeCells>
    <x:mergeCell ref="A1:K1"/>
    <x:mergeCell ref="A2:K2"/>
  </x:mergeCells>
  <x:pageMargins left="0.7" right="0.7" top="0.75" bottom="0.75" header="0.3" footer="0.3"/>
</x:worksheet>
</file>

<file path=xl/worksheets/sheet33.xml><?xml version="1.0" encoding="utf-8"?>
<x:worksheet xmlns:x="http://schemas.openxmlformats.org/spreadsheetml/2006/main">
  <x:sheetFormatPr defaultRowHeight="15"/>
  <x:cols>
    <x:col min="1" max="1" width="25" hidden="0" customWidth="1"/>
    <x:col min="2" max="2" width="12" hidden="0" customWidth="1"/>
    <x:col min="3" max="3" width="3" hidden="0" customWidth="1"/>
    <x:col min="4" max="4" width="46" hidden="0" customWidth="1"/>
    <x:col min="5" max="5" width="34" hidden="0" customWidth="1"/>
    <x:col min="6" max="6" width="3" hidden="0" customWidth="1"/>
    <x:col min="7" max="7" width="36" hidden="0" customWidth="1"/>
    <x:col min="8" max="8" width="14" hidden="0" customWidth="1"/>
  </x:cols>
  <x:sheetData>
    <x:row r="1" ht="27" customHeight="1">
      <x:c r="A1" s="226" t="str">
        <x:v>v0.5 Ephemera Expansion Dashboard</x:v>
      </x:c>
      <x:c r="B1" s="226"/>
      <x:c r="C1" s="226"/>
      <x:c r="D1" s="226"/>
      <x:c r="E1" s="226"/>
      <x:c r="F1" s="226"/>
      <x:c r="G1" s="226"/>
      <x:c r="H1" s="226"/>
    </x:row>
    <x:row r="2" ht="36" customHeight="1">
      <x:c r="A2" s="230" t="str">
        <x:v>Integrated release combining the v0.4 priority-cluster scan with the v0.3 price-sheet/flyer branch and the new JMC/reference-recovery pass.</x:v>
      </x:c>
      <x:c r="B2" s="230"/>
      <x:c r="C2" s="230"/>
      <x:c r="D2" s="230"/>
      <x:c r="E2" s="230"/>
      <x:c r="F2" s="230"/>
      <x:c r="G2" s="230"/>
      <x:c r="H2" s="230"/>
    </x:row>
    <x:row r="3">
      <x:c r="A3"/>
      <x:c r="B3"/>
      <x:c r="C3"/>
      <x:c r="D3"/>
      <x:c r="E3"/>
      <x:c r="F3"/>
      <x:c r="G3"/>
      <x:c r="H3"/>
    </x:row>
    <x:row r="4" ht="36" customHeight="1">
      <x:c r="A4" s="236" t="str">
        <x:v>Metric</x:v>
      </x:c>
      <x:c r="B4" s="236" t="str">
        <x:v>Count</x:v>
      </x:c>
      <x:c r="C4" s="236"/>
      <x:c r="D4" s="236" t="str">
        <x:v>Current outcome</x:v>
      </x:c>
      <x:c r="E4" s="236" t="str">
        <x:v>Determination</x:v>
      </x:c>
      <x:c r="F4" s="236"/>
      <x:c r="G4" s="236" t="str">
        <x:v>Safety / rights</x:v>
      </x:c>
      <x:c r="H4" s="236" t="str">
        <x:v>Status</x:v>
      </x:c>
    </x:row>
    <x:row r="5">
      <x:c r="A5" s="250" t="str">
        <x:v>Price-sheet records</x:v>
      </x:c>
      <x:c r="B5" s="250" t="n">
        <x:f>COUNTA('Price Sheets'!A5:A1000)</x:f>
        <x:v>4</x:v>
      </x:c>
      <x:c r="C5" s="250"/>
      <x:c r="D5" s="250" t="str">
        <x:v>Historical price observations remain separated from model and price-basis claims.</x:v>
      </x:c>
      <x:c r="E5" s="250" t="str">
        <x:v>4 records; no unsupported line-item transcription.</x:v>
      </x:c>
      <x:c r="F5" s="250"/>
      <x:c r="G5" s="250" t="str">
        <x:v>No scans copied.</x:v>
      </x:c>
      <x:c r="H5" s="353" t="str">
        <x:v>GREEN</x:v>
      </x:c>
    </x:row>
    <x:row r="6">
      <x:c r="A6" s="335" t="str">
        <x:v>Flyer records</x:v>
      </x:c>
      <x:c r="B6" s="335" t="n">
        <x:f>COUNTA(Flyers!A5:A1000)</x:f>
        <x:v>2</x:v>
      </x:c>
      <x:c r="C6" s="335"/>
      <x:c r="D6" s="335" t="str">
        <x:v>JMC flyer set remains itemized only where public evidence supports it.</x:v>
      </x:c>
      <x:c r="E6" s="335" t="str">
        <x:v>2 records; exact set ID/count still open.</x:v>
      </x:c>
      <x:c r="F6" s="335"/>
      <x:c r="G6" s="335" t="str">
        <x:v>Metadata and links only.</x:v>
      </x:c>
      <x:c r="H6" s="353" t="str">
        <x:v>GREEN</x:v>
      </x:c>
    </x:row>
    <x:row r="7">
      <x:c r="A7" s="250" t="str">
        <x:v>JMC ephemera objects</x:v>
      </x:c>
      <x:c r="B7" s="250" t="n">
        <x:f>COUNTA('v0.5 JMC Ephemera'!A5:A1000)</x:f>
        <x:v>6</x:v>
      </x:c>
      <x:c r="C7" s="250"/>
      <x:c r="D7" s="250" t="str">
        <x:v>Three period advertisements, one combined set, one dealer-list lead and one naming-contest lead are now separated.</x:v>
      </x:c>
      <x:c r="E7" s="250" t="str">
        <x:v>6 objects.</x:v>
      </x:c>
      <x:c r="F7" s="250"/>
      <x:c r="G7" s="250" t="str">
        <x:v>Rights recorded per object.</x:v>
      </x:c>
      <x:c r="H7" s="353" t="str">
        <x:v>GREEN</x:v>
      </x:c>
    </x:row>
    <x:row r="8">
      <x:c r="A8" s="335" t="str">
        <x:v>Exact reference targets</x:v>
      </x:c>
      <x:c r="B8" s="335" t="n">
        <x:f>COUNTA('Reference Recovery'!A5:A1000)</x:f>
        <x:v>6</x:v>
      </x:c>
      <x:c r="C8" s="335"/>
      <x:c r="D8" s="335" t="str">
        <x:v>Ashtabula reference 5027 recovered; five named targets remain open.</x:v>
      </x:c>
      <x:c r="E8" s="335" t="str">
        <x:v>1 recovered / 5 unresolved.</x:v>
      </x:c>
      <x:c r="F8" s="335"/>
      <x:c r="G8" s="335" t="str">
        <x:v>No blocked-path bypass.</x:v>
      </x:c>
      <x:c r="H8" s="353" t="str">
        <x:v>GREEN</x:v>
      </x:c>
    </x:row>
    <x:row r="9">
      <x:c r="A9" s="250" t="str">
        <x:v>Advertisements &amp; ephemera</x:v>
      </x:c>
      <x:c r="B9" s="250" t="n">
        <x:f>COUNTA('Advertisements &amp; Ephemera'!A5:A1000)</x:f>
        <x:v>16</x:v>
      </x:c>
      <x:c r="C9" s="250"/>
      <x:c r="D9" s="250" t="str">
        <x:v>JMC period advertisements and combined price/flyer records integrated into the master register.</x:v>
      </x:c>
      <x:c r="E9" s="250" t="str">
        <x:v>16 master records.</x:v>
      </x:c>
      <x:c r="F9" s="250"/>
      <x:c r="G9" s="250" t="str">
        <x:v>Bibliographic indexing only.</x:v>
      </x:c>
      <x:c r="H9" s="353" t="str">
        <x:v>GREEN</x:v>
      </x:c>
    </x:row>
    <x:row r="10">
      <x:c r="A10" s="335" t="str">
        <x:v>Evidence-bearing relationships</x:v>
      </x:c>
      <x:c r="B10" s="335" t="n">
        <x:f>COUNTA(Relationships!A5:A1000)</x:f>
        <x:v>19</x:v>
      </x:c>
      <x:c r="C10" s="335"/>
      <x:c r="D10" s="335" t="str">
        <x:v>JMC brand, team, product, dealer and naming relationships added separately.</x:v>
      </x:c>
      <x:c r="E10" s="335" t="str">
        <x:v>19 master relationships.</x:v>
      </x:c>
      <x:c r="F10" s="335"/>
      <x:c r="G10" s="335" t="str">
        <x:v>Each relationship has its own confidence.</x:v>
      </x:c>
      <x:c r="H10" s="353" t="str">
        <x:v>GREEN</x:v>
      </x:c>
    </x:row>
    <x:row r="11">
      <x:c r="A11" s="250" t="str">
        <x:v>Copied scans/images</x:v>
      </x:c>
      <x:c r="B11" s="250" t="n">
        <x:v>0</x:v>
      </x:c>
      <x:c r="C11" s="250"/>
      <x:c r="D11" s="250" t="str">
        <x:v>No source scans or advertisement images were embedded.</x:v>
      </x:c>
      <x:c r="E11" s="250" t="str">
        <x:v>Zero copied images.</x:v>
      </x:c>
      <x:c r="F11" s="250"/>
      <x:c r="G11" s="250" t="str">
        <x:v>Permission-controlled imagery remains external.</x:v>
      </x:c>
      <x:c r="H11" s="251" t="str">
        <x:v>GREEN</x:v>
      </x:c>
    </x:row>
    <x:row r="12">
      <x:c r="A12" s="335"/>
      <x:c r="B12" s="335"/>
      <x:c r="C12" s="335"/>
      <x:c r="D12" s="335"/>
      <x:c r="E12" s="335"/>
      <x:c r="F12" s="335"/>
      <x:c r="G12" s="335"/>
      <x:c r="H12" s="336"/>
    </x:row>
    <x:row r="13">
      <x:c r="A13" s="250" t="str">
        <x:v>Key finding</x:v>
      </x:c>
      <x:c r="B13" s="250"/>
      <x:c r="C13" s="250"/>
      <x:c r="D13" s="250" t="str">
        <x:v>The permitted public route can recover exact reference IDs selectively, but not uniformly.</x:v>
      </x:c>
      <x:c r="E13" s="250" t="str">
        <x:v>Ashtabula 5027 is exact; JMC/GT/Haro IDs remain open.</x:v>
      </x:c>
      <x:c r="F13" s="250"/>
      <x:c r="G13" s="250" t="str">
        <x:v>A zero result is not an absence claim.</x:v>
      </x:c>
      <x:c r="H13" s="264" t="str">
        <x:v>LOCKED</x:v>
      </x:c>
    </x:row>
    <x:row r="14">
      <x:c r="A14" s="337" t="str">
        <x:v>Next pass</x:v>
      </x:c>
      <x:c r="B14" s="337"/>
      <x:c r="C14" s="337"/>
      <x:c r="D14" s="337" t="str">
        <x:v>Complete JMC exact-ID recovery, then move brand-by-brand through GT/Dyno, Haro, Ashtabula, Torker, Redline, Mongoose and SE Racing.</x:v>
      </x:c>
      <x:c r="E14" s="337" t="str">
        <x:v>Resolve before scaling where possible.</x:v>
      </x:c>
      <x:c r="F14" s="337"/>
      <x:c r="G14" s="337" t="str">
        <x:v>INDEX BROADLY. REPUBLISH NARROWLY.</x:v>
      </x:c>
      <x:c r="H14" s="265" t="str">
        <x:v>READY</x:v>
      </x:c>
    </x:row>
  </x:sheetData>
  <x:mergeCells>
    <x:mergeCell ref="A1:H1"/>
    <x:mergeCell ref="A2:H2"/>
  </x:mergeCells>
  <x:conditionalFormatting sqref="H5:H10">
    <x:cfRule type="expression" dxfId="11" priority="1">
      <x:formula>H5="GREEN"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6" hidden="0" customWidth="1"/>
    <x:col min="2" max="2" width="22" hidden="0" customWidth="1"/>
    <x:col min="3" max="3" width="34" hidden="0" customWidth="1"/>
    <x:col min="4" max="4" width="16" hidden="0" customWidth="1"/>
    <x:col min="5" max="5" width="18" hidden="0" customWidth="1"/>
    <x:col min="6" max="6" width="27" hidden="0" customWidth="1"/>
    <x:col min="7" max="7" width="16" hidden="0" customWidth="1"/>
    <x:col min="8" max="8" width="34" hidden="0" customWidth="1"/>
    <x:col min="9" max="9" width="42" hidden="0" customWidth="1"/>
    <x:col min="10" max="10" width="16" hidden="0" customWidth="1"/>
    <x:col min="11" max="11" width="34" hidden="0" customWidth="1"/>
    <x:col min="12" max="12" width="34" hidden="0" customWidth="1"/>
    <x:col min="13" max="13" width="17" hidden="0" customWidth="1"/>
    <x:col min="14" max="14" width="30" hidden="0" customWidth="1"/>
    <x:col min="15" max="15" width="13" hidden="0" customWidth="1"/>
    <x:col min="16" max="16" width="38" hidden="0" customWidth="1"/>
  </x:cols>
  <x:sheetData>
    <x:row r="1" ht="30" customHeight="1">
      <x:c r="A1" s="404" t="str">
        <x:v>v0.6 — GT/Dyno Catalog &amp; Promotional Objects</x:v>
      </x:c>
    </x:row>
    <x:row r="2" ht="34" customHeight="1">
      <x:c r="A2" s="408" t="str">
        <x:v>Catalog identities, period retail evidence and promotions are separated. Retailer prices are not relabeled as manufacturer MSRP.</x:v>
      </x:c>
    </x:row>
    <x:row r="4" ht="34" customHeight="1">
      <x:c r="A4" s="414" t="str">
        <x:v>Object ID</x:v>
      </x:c>
      <x:c r="B4" s="414" t="str">
        <x:v>Object Type</x:v>
      </x:c>
      <x:c r="C4" s="414" t="str">
        <x:v>Title</x:v>
      </x:c>
      <x:c r="D4" s="414" t="str">
        <x:v>Year / Date</x:v>
      </x:c>
      <x:c r="E4" s="414" t="str">
        <x:v>Brand(s)</x:v>
      </x:c>
      <x:c r="F4" s="414" t="str">
        <x:v>BMXMuseum Status</x:v>
      </x:c>
      <x:c r="G4" s="414" t="str">
        <x:v>Exact Reference ID</x:v>
      </x:c>
      <x:c r="H4" s="414" t="str">
        <x:v>What It Can Verify</x:v>
      </x:c>
      <x:c r="I4" s="414" t="str">
        <x:v>Evidence / Limitation</x:v>
      </x:c>
      <x:c r="J4" s="414" t="str">
        <x:v>Confidence</x:v>
      </x:c>
      <x:c r="K4" s="414" t="str">
        <x:v>Primary Source URL</x:v>
      </x:c>
      <x:c r="L4" s="414" t="str">
        <x:v>Corroborating Source URL</x:v>
      </x:c>
      <x:c r="M4" s="414" t="str">
        <x:v>Rights Code</x:v>
      </x:c>
      <x:c r="N4" s="414" t="str">
        <x:v>Research Status</x:v>
      </x:c>
      <x:c r="O4" s="414" t="str">
        <x:v>Accessed</x:v>
      </x:c>
      <x:c r="P4" s="414" t="str">
        <x:v>Notes</x:v>
      </x:c>
    </x:row>
    <x:row r="5">
      <x:c r="A5" s="419" t="str">
        <x:v>GTD-OBJ-0001</x:v>
      </x:c>
      <x:c r="B5" s="419" t="str">
        <x:v>Catalog</x:v>
      </x:c>
      <x:c r="C5" s="419" t="str">
        <x:v>1992 GT/Dyno Product Catalog</x:v>
      </x:c>
      <x:c r="D5" s="419" t="str">
        <x:v>1992</x:v>
      </x:c>
      <x:c r="E5" s="419" t="str">
        <x:v>GT; Dyno</x:v>
      </x:c>
      <x:c r="F5" s="419" t="str">
        <x:v>Publicly indexed title and price-bearing pages; exact canonical ID unresolved</x:v>
      </x:c>
      <x:c r="G5" s="419" t="str">
        <x:v>UNRESOLVED</x:v>
      </x:c>
      <x:c r="H5" s="419" t="str">
        <x:v>Model-year lineup, GT/Dyno relationship and page-level printed prices.</x:v>
      </x:c>
      <x:c r="I5" s="419" t="str">
        <x:v>Two indexed pages expose $259 and $319, but exact page numbers, currency and price basis are not established.</x:v>
      </x:c>
      <x:c r="J5" s="419" t="str">
        <x:v>MEDIUM</x:v>
      </x:c>
      <x:c r="K5" s="419" t="str">
        <x:v>https://in.pinterest.com/pin/1011550766308215575/</x:v>
      </x:c>
      <x:c r="L5" s="419" t="str">
        <x:v>https://www.pinterest.com/pin/430304939389697452/</x:v>
      </x:c>
      <x:c r="M5" s="419" t="str">
        <x:v>INDEX-ONLY</x:v>
      </x:c>
      <x:c r="N5" s="419" t="str">
        <x:v>OPEN — exact reference, full pagination and price labels</x:v>
      </x:c>
      <x:c r="O5" s="419" t="str">
        <x:v>2026-07-30</x:v>
      </x:c>
      <x:c r="P5" s="419" t="str">
        <x:v>Do not identify the $319 bicycle without adjacent page context.</x:v>
      </x:c>
    </x:row>
    <x:row r="6">
      <x:c r="A6" s="419" t="str">
        <x:v>GTD-OBJ-0002</x:v>
      </x:c>
      <x:c r="B6" s="419" t="str">
        <x:v>Catalog</x:v>
      </x:c>
      <x:c r="C6" s="419" t="str">
        <x:v>1996 GT/Dyno — The BMX &amp; Freestyle Catalog</x:v>
      </x:c>
      <x:c r="D6" s="419" t="str">
        <x:v>1996</x:v>
      </x:c>
      <x:c r="E6" s="419" t="str">
        <x:v>GT; Dyno</x:v>
      </x:c>
      <x:c r="F6" s="419" t="str">
        <x:v>Publicly indexed title; exact canonical ID unresolved</x:v>
      </x:c>
      <x:c r="G6" s="419" t="str">
        <x:v>UNRESOLVED</x:v>
      </x:c>
      <x:c r="H6" s="419" t="str">
        <x:v>Mid-1990s BMX/freestyle lineup, brand architecture, models and specifications.</x:v>
      </x:c>
      <x:c r="I6" s="419" t="str">
        <x:v>A public resale listing describes a 22-page 1996 catalog, but this does not resolve the BMXMuseum ID or prove completeness.</x:v>
      </x:c>
      <x:c r="J6" s="419" t="str">
        <x:v>MEDIUM</x:v>
      </x:c>
      <x:c r="K6" s="419" t="str">
        <x:v>https://www.pinterest.com/pin/bmxmuseumcom-reference-1996-gtdyno-the-bmx-freestyle-catalog--491877590560035755/</x:v>
      </x:c>
      <x:c r="L6" s="419"/>
      <x:c r="M6" s="419" t="str">
        <x:v>INDEX-ONLY</x:v>
      </x:c>
      <x:c r="N6" s="419" t="str">
        <x:v>OPEN — recover exact reference and compare page count</x:v>
      </x:c>
      <x:c r="O6" s="419" t="str">
        <x:v>2026-07-30</x:v>
      </x:c>
      <x:c r="P6" s="419" t="str">
        <x:v>Catalog-object existence is stronger than page-level extraction.</x:v>
      </x:c>
    </x:row>
    <x:row r="7">
      <x:c r="A7" s="419" t="str">
        <x:v>GTD-OBJ-0003</x:v>
      </x:c>
      <x:c r="B7" s="419" t="str">
        <x:v>Catalog</x:v>
      </x:c>
      <x:c r="C7" s="419" t="str">
        <x:v>1999 GT/Dyno BMX/Freestyle — Part 2</x:v>
      </x:c>
      <x:c r="D7" s="419" t="str">
        <x:v>1999</x:v>
      </x:c>
      <x:c r="E7" s="419" t="str">
        <x:v>GT; Dyno</x:v>
      </x:c>
      <x:c r="F7" s="419" t="str">
        <x:v>Publicly indexed title; exact canonical ID unresolved</x:v>
      </x:c>
      <x:c r="G7" s="419" t="str">
        <x:v>UNRESOLVED</x:v>
      </x:c>
      <x:c r="H7" s="419" t="str">
        <x:v>Late-1990s model lineup, components and division of a multi-part reference set.</x:v>
      </x:c>
      <x:c r="I7" s="419" t="str">
        <x:v>Only Part 2 is publicly indexed in this pass; Part 1, page range and exact BMXMuseum ID remain open.</x:v>
      </x:c>
      <x:c r="J7" s="419" t="str">
        <x:v>LOW-MEDIUM</x:v>
      </x:c>
      <x:c r="K7" s="419" t="str">
        <x:v>https://www.pinterest.com/pin/bmxmuseumcom-reference-1999-gtdyno-bmxfreestyle-part-2-in-2025--798192733998105769/</x:v>
      </x:c>
      <x:c r="L7" s="419"/>
      <x:c r="M7" s="419" t="str">
        <x:v>INDEX-ONLY</x:v>
      </x:c>
      <x:c r="N7" s="419" t="str">
        <x:v>OPEN — locate Part 1 and canonical links</x:v>
      </x:c>
      <x:c r="O7" s="419" t="str">
        <x:v>2026-07-30</x:v>
      </x:c>
      <x:c r="P7" s="419" t="str">
        <x:v>Keep multi-part object hierarchy explicit.</x:v>
      </x:c>
    </x:row>
    <x:row r="8">
      <x:c r="A8" s="419" t="str">
        <x:v>GTD-OBJ-0004</x:v>
      </x:c>
      <x:c r="B8" s="419" t="str">
        <x:v>Retailer advertisement / price list</x:v>
      </x:c>
      <x:c r="C8" s="419" t="str">
        <x:v>Dynamic BMX complete-bike price advertisement</x:v>
      </x:c>
      <x:c r="D8" s="419" t="str">
        <x:v>August 1987</x:v>
      </x:c>
      <x:c r="E8" s="419" t="str">
        <x:v>GT; Dyno; Haro; Auburn</x:v>
      </x:c>
      <x:c r="F8" s="419" t="str">
        <x:v>Independent period publication; not a BMXMuseum object</x:v>
      </x:c>
      <x:c r="G8" s="419" t="str">
        <x:v>NOT APPLICABLE</x:v>
      </x:c>
      <x:c r="H8" s="419" t="str">
        <x:v>Contemporaneous advertised prices for GT and Dyno complete bikes.</x:v>
      </x:c>
      <x:c r="I8" s="419" t="str">
        <x:v>OCR is uneven. Only clearly legible model/price pairs are preserved; prices are retailer advertisements, not manufacturer MSRP.</x:v>
      </x:c>
      <x:c r="J8" s="419" t="str">
        <x:v>MEDIUM-HIGH for clear rows</x:v>
      </x:c>
      <x:c r="K8" s="419" t="str">
        <x:v>https://previouspage.co.uk/issues/245-august-nineteen-eighty-seven</x:v>
      </x:c>
      <x:c r="L8" s="419"/>
      <x:c r="M8" s="419" t="str">
        <x:v>INDEX-ONLY</x:v>
      </x:c>
      <x:c r="N8" s="419" t="str">
        <x:v>INCLUDED — clear prices only</x:v>
      </x:c>
      <x:c r="O8" s="419" t="str">
        <x:v>2026-07-30</x:v>
      </x:c>
      <x:c r="P8" s="419" t="str">
        <x:v>US publication context supports USD, but seller identity should be checked from page image before stronger claims.</x:v>
      </x:c>
    </x:row>
    <x:row r="9">
      <x:c r="A9" s="419" t="str">
        <x:v>GTD-OBJ-0005</x:v>
      </x:c>
      <x:c r="B9" s="419" t="str">
        <x:v>Retailer advertisement / price list</x:v>
      </x:c>
      <x:c r="C9" s="419" t="str">
        <x:v>Complete-bike mail-order price advertisement</x:v>
      </x:c>
      <x:c r="D9" s="419" t="str">
        <x:v>July 1987</x:v>
      </x:c>
      <x:c r="E9" s="419" t="str">
        <x:v>GT; Dyno; Skyway; Haro</x:v>
      </x:c>
      <x:c r="F9" s="419" t="str">
        <x:v>Independent period publication; not a BMXMuseum object</x:v>
      </x:c>
      <x:c r="G9" s="419" t="str">
        <x:v>NOT APPLICABLE</x:v>
      </x:c>
      <x:c r="H9" s="419" t="str">
        <x:v>Contemporaneous advertised prices and cross-brand retail comparison.</x:v>
      </x:c>
      <x:c r="I9" s="419" t="str">
        <x:v>OCR is uneven; the four GT rows retained here are clear enough for a price observation but remain retailer prices.</x:v>
      </x:c>
      <x:c r="J9" s="419" t="str">
        <x:v>MEDIUM-HIGH for clear rows</x:v>
      </x:c>
      <x:c r="K9" s="419" t="str">
        <x:v>https://previouspage.co.uk/magazines/BMX%20Plus/issues/244-july-nineteen-eighty-seven</x:v>
      </x:c>
      <x:c r="L9" s="419"/>
      <x:c r="M9" s="419" t="str">
        <x:v>INDEX-ONLY</x:v>
      </x:c>
      <x:c r="N9" s="419" t="str">
        <x:v>INCLUDED — clear prices only</x:v>
      </x:c>
      <x:c r="O9" s="419" t="str">
        <x:v>2026-07-30</x:v>
      </x:c>
      <x:c r="P9" s="419" t="str">
        <x:v>Do not merge duplicate model prices across sellers/issues.</x:v>
      </x:c>
    </x:row>
    <x:row r="10">
      <x:c r="A10" s="419" t="str">
        <x:v>GTD-OBJ-0006</x:v>
      </x:c>
      <x:c r="B10" s="419" t="str">
        <x:v>Contest entry form / promotion</x:v>
      </x:c>
      <x:c r="C10" s="419" t="str">
        <x:v>BMX Plus! / GT Hide-A-Contest entry form</x:v>
      </x:c>
      <x:c r="D10" s="419" t="str">
        <x:v>Deadline 1987-09-28; drawing 1987-10-05</x:v>
      </x:c>
      <x:c r="E10" s="419" t="str">
        <x:v>GT; BMX Plus!</x:v>
      </x:c>
      <x:c r="F10" s="419" t="str">
        <x:v>Independent period publication; not a BMXMuseum object</x:v>
      </x:c>
      <x:c r="G10" s="419" t="str">
        <x:v>NOT APPLICABLE</x:v>
      </x:c>
      <x:c r="H10" s="419" t="str">
        <x:v>GT promotional partnership, contest dates, entry mechanism and period audience marketing.</x:v>
      </x:c>
      <x:c r="I10" s="419" t="str">
        <x:v>The indexed page exposes deadline and drawing dates; prize/object details require page-image inspection.</x:v>
      </x:c>
      <x:c r="J10" s="419" t="str">
        <x:v>HIGH for dates</x:v>
      </x:c>
      <x:c r="K10" s="419" t="str">
        <x:v>https://previouspage.co.uk/issues/245-august-nineteen-eighty-seven</x:v>
      </x:c>
      <x:c r="L10" s="419"/>
      <x:c r="M10" s="419" t="str">
        <x:v>INDEX-ONLY</x:v>
      </x:c>
      <x:c r="N10" s="419" t="str">
        <x:v>INCLUDED — bibliographic facts; prize details open</x:v>
      </x:c>
      <x:c r="O10" s="419" t="str">
        <x:v>2026-07-30</x:v>
      </x:c>
      <x:c r="P10" s="419" t="str">
        <x:v>Classified as promotional entry form, not event flyer or catalog.</x:v>
      </x:c>
    </x:row>
  </x:sheetData>
  <x:mergeCells>
    <x:mergeCell ref="A1:P1"/>
    <x:mergeCell ref="A2:P2"/>
  </x:mergeCells>
  <x:dataValidations count="2">
    <x:dataValidation type="list" sqref="J5:J10">
      <x:formula1>"HIGH,MEDIUM-HIGH,MEDIUM,LOW-MEDIUM,LOW"</x:formula1>
    </x:dataValidation>
    <x:dataValidation type="list" sqref="M5:M10">
      <x:formula1>"INDEX-ONLY,INDEX-ONLY / PERMISSION REQUIRED,RESTRICTED"</x:formula1>
    </x:dataValidation>
  </x:dataValidations>
  <x:pageMargins left="0.7" right="0.7" top="0.75" bottom="0.75" header="0.3" footer="0.3"/>
  <x:tableParts count="1">
    <x:tablePart xmlns:r="http://schemas.openxmlformats.org/officeDocument/2006/relationships" r:id="Re90c194634c44019"/>
  </x:tableParts>
</x:worksheet>
</file>

<file path=xl/worksheets/sheet35.xml><?xml version="1.0" encoding="utf-8"?>
<x:worksheet xmlns:x="http://schemas.openxmlformats.org/spreadsheetml/2006/main">
  <x:sheetFormatPr defaultRowHeight="15"/>
  <x:cols>
    <x:col min="1" max="1" width="18" hidden="0" customWidth="1"/>
    <x:col min="2" max="2" width="17" hidden="0" customWidth="1"/>
    <x:col min="3" max="3" width="13" hidden="0" customWidth="1"/>
    <x:col min="4" max="4" width="24" hidden="0" customWidth="1"/>
    <x:col min="5" max="5" width="18" hidden="0" customWidth="1"/>
    <x:col min="6" max="6" width="14" hidden="0" customWidth="1"/>
    <x:col min="7" max="7" width="13" hidden="0" customWidth="1"/>
    <x:col min="8" max="8" width="13" hidden="0" customWidth="1"/>
    <x:col min="9" max="9" width="15" hidden="0" customWidth="1"/>
    <x:col min="10" max="10" width="28" hidden="0" customWidth="1"/>
    <x:col min="11" max="11" width="24" hidden="0" customWidth="1"/>
    <x:col min="12" max="12" width="23" hidden="0" customWidth="1"/>
    <x:col min="13" max="13" width="22" hidden="0" customWidth="1"/>
    <x:col min="14" max="14" width="16" hidden="0" customWidth="1"/>
    <x:col min="15" max="15" width="34" hidden="0" customWidth="1"/>
    <x:col min="16" max="16" width="16" hidden="0" customWidth="1"/>
    <x:col min="17" max="17" width="34" hidden="0" customWidth="1"/>
    <x:col min="18" max="18" width="13" hidden="0" customWidth="1"/>
  </x:cols>
  <x:sheetData>
    <x:row r="1" ht="30" customHeight="1">
      <x:c r="A1" s="404" t="str">
        <x:v>v0.6 — GT/Dyno Normalized Price Observations</x:v>
      </x:c>
    </x:row>
    <x:row r="2" ht="34" customHeight="1">
      <x:c r="A2" s="408" t="str">
        <x:v>Numeric prices, currency evidence and price basis are stored separately. No historical figure is treated as MSRP unless the source labels it that way.</x:v>
      </x:c>
    </x:row>
    <x:row r="4" ht="34" customHeight="1">
      <x:c r="A4" s="414" t="str">
        <x:v>Price Observation ID</x:v>
      </x:c>
      <x:c r="B4" s="414" t="str">
        <x:v>Source Object ID</x:v>
      </x:c>
      <x:c r="C4" s="414" t="str">
        <x:v>Brand</x:v>
      </x:c>
      <x:c r="D4" s="414" t="str">
        <x:v>Product / Model</x:v>
      </x:c>
      <x:c r="E4" s="414" t="str">
        <x:v>Product Type</x:v>
      </x:c>
      <x:c r="F4" s="414" t="str">
        <x:v>Issue / Year</x:v>
      </x:c>
      <x:c r="G4" s="414" t="str">
        <x:v>Price Numeric</x:v>
      </x:c>
      <x:c r="H4" s="414" t="str">
        <x:v>Currency</x:v>
      </x:c>
      <x:c r="I4" s="414" t="str">
        <x:v>Displayed Price</x:v>
      </x:c>
      <x:c r="J4" s="414" t="str">
        <x:v>Price Basis</x:v>
      </x:c>
      <x:c r="K4" s="414" t="str">
        <x:v>Geography / Context</x:v>
      </x:c>
      <x:c r="L4" s="414" t="str">
        <x:v>Source Type</x:v>
      </x:c>
      <x:c r="M4" s="414" t="str">
        <x:v>Directness</x:v>
      </x:c>
      <x:c r="N4" s="414" t="str">
        <x:v>Confidence</x:v>
      </x:c>
      <x:c r="O4" s="414" t="str">
        <x:v>Source URL</x:v>
      </x:c>
      <x:c r="P4" s="414" t="str">
        <x:v>Rights Code</x:v>
      </x:c>
      <x:c r="Q4" s="414" t="str">
        <x:v>Normalization Note</x:v>
      </x:c>
      <x:c r="R4" s="414" t="str">
        <x:v>Accessed</x:v>
      </x:c>
    </x:row>
    <x:row r="5">
      <x:c r="A5" s="419" t="str">
        <x:v>GTD-PR-0001</x:v>
      </x:c>
      <x:c r="B5" s="419" t="str">
        <x:v>BM-AD-0002</x:v>
      </x:c>
      <x:c r="C5" s="419" t="str">
        <x:v>GT</x:v>
      </x:c>
      <x:c r="D5" s="419" t="str">
        <x:v>Interceptor</x:v>
      </x:c>
      <x:c r="E5" s="419" t="str">
        <x:v>Complete bicycle</x:v>
      </x:c>
      <x:c r="F5" s="419" t="str">
        <x:v>1992</x:v>
      </x:c>
      <x:c r="G5" s="420" t="n">
        <x:v>259</x:v>
      </x:c>
      <x:c r="H5" s="419" t="str">
        <x:v>UNCONFIRMED</x:v>
      </x:c>
      <x:c r="I5" s="419" t="str">
        <x:v>$259</x:v>
      </x:c>
      <x:c r="J5" s="419" t="str">
        <x:v>Printed catalog price; exact basis unresolved</x:v>
      </x:c>
      <x:c r="K5" s="419" t="str">
        <x:v>Market unresolved</x:v>
      </x:c>
      <x:c r="L5" s="419" t="str">
        <x:v>Indexed catalog page</x:v>
      </x:c>
      <x:c r="M5" s="419" t="str">
        <x:v>Indexed observation</x:v>
      </x:c>
      <x:c r="N5" s="419" t="str">
        <x:v>MEDIUM</x:v>
      </x:c>
      <x:c r="O5" s="419" t="str">
        <x:v>https://www.pinterest.com/pin/430304939389697452/</x:v>
      </x:c>
      <x:c r="P5" s="419" t="str">
        <x:v>INDEX-ONLY</x:v>
      </x:c>
      <x:c r="Q5" s="419" t="str">
        <x:v>Numeric value normalized; currency intentionally not assumed.</x:v>
      </x:c>
      <x:c r="R5" s="419" t="str">
        <x:v>2026-07-30</x:v>
      </x:c>
    </x:row>
    <x:row r="6">
      <x:c r="A6" s="419" t="str">
        <x:v>GTD-PR-0002</x:v>
      </x:c>
      <x:c r="B6" s="419" t="str">
        <x:v>BM-AD-0002</x:v>
      </x:c>
      <x:c r="C6" s="419" t="str">
        <x:v>GT/Dyno</x:v>
      </x:c>
      <x:c r="D6" s="419" t="str">
        <x:v>Blue bicycle; model unresolved</x:v>
      </x:c>
      <x:c r="E6" s="419" t="str">
        <x:v>Complete bicycle</x:v>
      </x:c>
      <x:c r="F6" s="419" t="str">
        <x:v>1992</x:v>
      </x:c>
      <x:c r="G6" s="420" t="n">
        <x:v>319</x:v>
      </x:c>
      <x:c r="H6" s="419" t="str">
        <x:v>UNCONFIRMED</x:v>
      </x:c>
      <x:c r="I6" s="419" t="str">
        <x:v>$319</x:v>
      </x:c>
      <x:c r="J6" s="419" t="str">
        <x:v>Printed catalog price; exact basis unresolved</x:v>
      </x:c>
      <x:c r="K6" s="419" t="str">
        <x:v>Market unresolved</x:v>
      </x:c>
      <x:c r="L6" s="419" t="str">
        <x:v>Indexed catalog page</x:v>
      </x:c>
      <x:c r="M6" s="419" t="str">
        <x:v>Indexed observation</x:v>
      </x:c>
      <x:c r="N6" s="419" t="str">
        <x:v>LOW-MEDIUM</x:v>
      </x:c>
      <x:c r="O6" s="419" t="str">
        <x:v>https://mx.pinterest.com/pin/430304939389697467/</x:v>
      </x:c>
      <x:c r="P6" s="419" t="str">
        <x:v>INDEX-ONLY</x:v>
      </x:c>
      <x:c r="Q6" s="419" t="str">
        <x:v>Model and currency remain unresolved.</x:v>
      </x:c>
      <x:c r="R6" s="419" t="str">
        <x:v>2026-07-30</x:v>
      </x:c>
    </x:row>
    <x:row r="7">
      <x:c r="A7" s="419" t="str">
        <x:v>GTD-PR-0003</x:v>
      </x:c>
      <x:c r="B7" s="419" t="str">
        <x:v>GTD-OBJ-0004</x:v>
      </x:c>
      <x:c r="C7" s="419" t="str">
        <x:v>Dyno</x:v>
      </x:c>
      <x:c r="D7" s="419" t="str">
        <x:v>Dinky Dyno 16-inch</x:v>
      </x:c>
      <x:c r="E7" s="419" t="str">
        <x:v>Complete bicycle</x:v>
      </x:c>
      <x:c r="F7" s="419" t="str">
        <x:v>Aug 1987</x:v>
      </x:c>
      <x:c r="G7" s="420" t="n">
        <x:v>119</x:v>
      </x:c>
      <x:c r="H7" s="419" t="str">
        <x:v>USD</x:v>
      </x:c>
      <x:c r="I7" s="419" t="str">
        <x:v>$119</x:v>
      </x:c>
      <x:c r="J7" s="419" t="str">
        <x:v>Advertised retailer/mail-order price</x:v>
      </x:c>
      <x:c r="K7" s="419" t="str">
        <x:v>United States publication context</x:v>
      </x:c>
      <x:c r="L7" s="419" t="str">
        <x:v>Period retailer advertisement</x:v>
      </x:c>
      <x:c r="M7" s="419" t="str">
        <x:v>Direct text/OCR; clear pair</x:v>
      </x:c>
      <x:c r="N7" s="419" t="str">
        <x:v>MEDIUM-HIGH</x:v>
      </x:c>
      <x:c r="O7" s="419" t="str">
        <x:v>https://previouspage.co.uk/issues/245-august-nineteen-eighty-seven</x:v>
      </x:c>
      <x:c r="P7" s="419" t="str">
        <x:v>INDEX-ONLY</x:v>
      </x:c>
      <x:c r="Q7" s="419" t="str">
        <x:v>Not manufacturer MSRP.</x:v>
      </x:c>
      <x:c r="R7" s="419" t="str">
        <x:v>2026-07-30</x:v>
      </x:c>
    </x:row>
    <x:row r="8">
      <x:c r="A8" s="419" t="str">
        <x:v>GTD-PR-0004</x:v>
      </x:c>
      <x:c r="B8" s="419" t="str">
        <x:v>GTD-OBJ-0004</x:v>
      </x:c>
      <x:c r="C8" s="419" t="str">
        <x:v>Dyno</x:v>
      </x:c>
      <x:c r="D8" s="419" t="str">
        <x:v>Compe</x:v>
      </x:c>
      <x:c r="E8" s="419" t="str">
        <x:v>Complete bicycle</x:v>
      </x:c>
      <x:c r="F8" s="419" t="str">
        <x:v>Aug 1987</x:v>
      </x:c>
      <x:c r="G8" s="420" t="n">
        <x:v>149</x:v>
      </x:c>
      <x:c r="H8" s="419" t="str">
        <x:v>USD</x:v>
      </x:c>
      <x:c r="I8" s="419" t="str">
        <x:v>$149</x:v>
      </x:c>
      <x:c r="J8" s="419" t="str">
        <x:v>Advertised retailer/mail-order price</x:v>
      </x:c>
      <x:c r="K8" s="419" t="str">
        <x:v>United States publication context</x:v>
      </x:c>
      <x:c r="L8" s="419" t="str">
        <x:v>Period retailer advertisement</x:v>
      </x:c>
      <x:c r="M8" s="419" t="str">
        <x:v>Direct text/OCR; clear pair</x:v>
      </x:c>
      <x:c r="N8" s="419" t="str">
        <x:v>MEDIUM-HIGH</x:v>
      </x:c>
      <x:c r="O8" s="419" t="str">
        <x:v>https://previouspage.co.uk/issues/245-august-nineteen-eighty-seven</x:v>
      </x:c>
      <x:c r="P8" s="419" t="str">
        <x:v>INDEX-ONLY</x:v>
      </x:c>
      <x:c r="Q8" s="419" t="str">
        <x:v>Not manufacturer MSRP.</x:v>
      </x:c>
      <x:c r="R8" s="419" t="str">
        <x:v>2026-07-30</x:v>
      </x:c>
    </x:row>
    <x:row r="9">
      <x:c r="A9" s="419" t="str">
        <x:v>GTD-PR-0005</x:v>
      </x:c>
      <x:c r="B9" s="419" t="str">
        <x:v>GTD-OBJ-0004</x:v>
      </x:c>
      <x:c r="C9" s="419" t="str">
        <x:v>Dyno</x:v>
      </x:c>
      <x:c r="D9" s="419" t="str">
        <x:v>D-Tour</x:v>
      </x:c>
      <x:c r="E9" s="419" t="str">
        <x:v>Complete bicycle</x:v>
      </x:c>
      <x:c r="F9" s="419" t="str">
        <x:v>Aug 1987</x:v>
      </x:c>
      <x:c r="G9" s="420" t="n">
        <x:v>189</x:v>
      </x:c>
      <x:c r="H9" s="419" t="str">
        <x:v>USD</x:v>
      </x:c>
      <x:c r="I9" s="419" t="str">
        <x:v>$189</x:v>
      </x:c>
      <x:c r="J9" s="419" t="str">
        <x:v>Advertised retailer/mail-order price</x:v>
      </x:c>
      <x:c r="K9" s="419" t="str">
        <x:v>United States publication context</x:v>
      </x:c>
      <x:c r="L9" s="419" t="str">
        <x:v>Period retailer advertisement</x:v>
      </x:c>
      <x:c r="M9" s="419" t="str">
        <x:v>Direct text/OCR; clear pair</x:v>
      </x:c>
      <x:c r="N9" s="419" t="str">
        <x:v>MEDIUM-HIGH</x:v>
      </x:c>
      <x:c r="O9" s="419" t="str">
        <x:v>https://previouspage.co.uk/issues/245-august-nineteen-eighty-seven</x:v>
      </x:c>
      <x:c r="P9" s="419" t="str">
        <x:v>INDEX-ONLY</x:v>
      </x:c>
      <x:c r="Q9" s="419" t="str">
        <x:v>Not manufacturer MSRP.</x:v>
      </x:c>
      <x:c r="R9" s="419" t="str">
        <x:v>2026-07-30</x:v>
      </x:c>
    </x:row>
    <x:row r="10">
      <x:c r="A10" s="419" t="str">
        <x:v>GTD-PR-0006</x:v>
      </x:c>
      <x:c r="B10" s="419" t="str">
        <x:v>GTD-OBJ-0004</x:v>
      </x:c>
      <x:c r="C10" s="419" t="str">
        <x:v>Dyno</x:v>
      </x:c>
      <x:c r="D10" s="419" t="str">
        <x:v>Pro Compe</x:v>
      </x:c>
      <x:c r="E10" s="419" t="str">
        <x:v>Complete bicycle</x:v>
      </x:c>
      <x:c r="F10" s="419" t="str">
        <x:v>Aug 1987</x:v>
      </x:c>
      <x:c r="G10" s="420" t="n">
        <x:v>279</x:v>
      </x:c>
      <x:c r="H10" s="419" t="str">
        <x:v>USD</x:v>
      </x:c>
      <x:c r="I10" s="419" t="str">
        <x:v>$279</x:v>
      </x:c>
      <x:c r="J10" s="419" t="str">
        <x:v>Advertised retailer/mail-order price</x:v>
      </x:c>
      <x:c r="K10" s="419" t="str">
        <x:v>United States publication context</x:v>
      </x:c>
      <x:c r="L10" s="419" t="str">
        <x:v>Period retailer advertisement</x:v>
      </x:c>
      <x:c r="M10" s="419" t="str">
        <x:v>Direct text/OCR; clear pair</x:v>
      </x:c>
      <x:c r="N10" s="419" t="str">
        <x:v>MEDIUM-HIGH</x:v>
      </x:c>
      <x:c r="O10" s="419" t="str">
        <x:v>https://previouspage.co.uk/issues/245-august-nineteen-eighty-seven</x:v>
      </x:c>
      <x:c r="P10" s="419" t="str">
        <x:v>INDEX-ONLY</x:v>
      </x:c>
      <x:c r="Q10" s="419" t="str">
        <x:v>Not manufacturer MSRP.</x:v>
      </x:c>
      <x:c r="R10" s="419" t="str">
        <x:v>2026-07-30</x:v>
      </x:c>
    </x:row>
    <x:row r="11">
      <x:c r="A11" s="419" t="str">
        <x:v>GTD-PR-0007</x:v>
      </x:c>
      <x:c r="B11" s="419" t="str">
        <x:v>GTD-OBJ-0004</x:v>
      </x:c>
      <x:c r="C11" s="419" t="str">
        <x:v>Dyno</x:v>
      </x:c>
      <x:c r="D11" s="419" t="str">
        <x:v>Pro Compe Team</x:v>
      </x:c>
      <x:c r="E11" s="419" t="str">
        <x:v>Complete bicycle</x:v>
      </x:c>
      <x:c r="F11" s="419" t="str">
        <x:v>Aug 1987</x:v>
      </x:c>
      <x:c r="G11" s="420" t="n">
        <x:v>419</x:v>
      </x:c>
      <x:c r="H11" s="419" t="str">
        <x:v>USD</x:v>
      </x:c>
      <x:c r="I11" s="419" t="str">
        <x:v>$419</x:v>
      </x:c>
      <x:c r="J11" s="419" t="str">
        <x:v>Advertised retailer/mail-order price</x:v>
      </x:c>
      <x:c r="K11" s="419" t="str">
        <x:v>United States publication context</x:v>
      </x:c>
      <x:c r="L11" s="419" t="str">
        <x:v>Period retailer advertisement</x:v>
      </x:c>
      <x:c r="M11" s="419" t="str">
        <x:v>Direct text/OCR; clear pair</x:v>
      </x:c>
      <x:c r="N11" s="419" t="str">
        <x:v>MEDIUM-HIGH</x:v>
      </x:c>
      <x:c r="O11" s="419" t="str">
        <x:v>https://previouspage.co.uk/issues/245-august-nineteen-eighty-seven</x:v>
      </x:c>
      <x:c r="P11" s="419" t="str">
        <x:v>INDEX-ONLY</x:v>
      </x:c>
      <x:c r="Q11" s="419" t="str">
        <x:v>Not manufacturer MSRP.</x:v>
      </x:c>
      <x:c r="R11" s="419" t="str">
        <x:v>2026-07-30</x:v>
      </x:c>
    </x:row>
    <x:row r="12">
      <x:c r="A12" s="419" t="str">
        <x:v>GTD-PR-0008</x:v>
      </x:c>
      <x:c r="B12" s="419" t="str">
        <x:v>GTD-OBJ-0004</x:v>
      </x:c>
      <x:c r="C12" s="419" t="str">
        <x:v>Dyno</x:v>
      </x:c>
      <x:c r="D12" s="419" t="str">
        <x:v>VFR BMX</x:v>
      </x:c>
      <x:c r="E12" s="419" t="str">
        <x:v>Complete bicycle</x:v>
      </x:c>
      <x:c r="F12" s="419" t="str">
        <x:v>Aug 1987</x:v>
      </x:c>
      <x:c r="G12" s="420" t="n">
        <x:v>129</x:v>
      </x:c>
      <x:c r="H12" s="419" t="str">
        <x:v>USD</x:v>
      </x:c>
      <x:c r="I12" s="419" t="str">
        <x:v>$129</x:v>
      </x:c>
      <x:c r="J12" s="419" t="str">
        <x:v>Advertised retailer/mail-order price</x:v>
      </x:c>
      <x:c r="K12" s="419" t="str">
        <x:v>United States publication context</x:v>
      </x:c>
      <x:c r="L12" s="419" t="str">
        <x:v>Period retailer advertisement</x:v>
      </x:c>
      <x:c r="M12" s="419" t="str">
        <x:v>Direct text/OCR; clear pair</x:v>
      </x:c>
      <x:c r="N12" s="419" t="str">
        <x:v>MEDIUM-HIGH</x:v>
      </x:c>
      <x:c r="O12" s="419" t="str">
        <x:v>https://previouspage.co.uk/issues/245-august-nineteen-eighty-seven</x:v>
      </x:c>
      <x:c r="P12" s="419" t="str">
        <x:v>INDEX-ONLY</x:v>
      </x:c>
      <x:c r="Q12" s="419" t="str">
        <x:v>Not manufacturer MSRP.</x:v>
      </x:c>
      <x:c r="R12" s="419" t="str">
        <x:v>2026-07-30</x:v>
      </x:c>
    </x:row>
    <x:row r="13">
      <x:c r="A13" s="419" t="str">
        <x:v>GTD-PR-0009</x:v>
      </x:c>
      <x:c r="B13" s="419" t="str">
        <x:v>GTD-OBJ-0004</x:v>
      </x:c>
      <x:c r="C13" s="419" t="str">
        <x:v>GT</x:v>
      </x:c>
      <x:c r="D13" s="419" t="str">
        <x:v>Jr. Performer</x:v>
      </x:c>
      <x:c r="E13" s="419" t="str">
        <x:v>Complete bicycle</x:v>
      </x:c>
      <x:c r="F13" s="419" t="str">
        <x:v>Aug 1987</x:v>
      </x:c>
      <x:c r="G13" s="420" t="n">
        <x:v>119</x:v>
      </x:c>
      <x:c r="H13" s="419" t="str">
        <x:v>USD</x:v>
      </x:c>
      <x:c r="I13" s="419" t="str">
        <x:v>$119</x:v>
      </x:c>
      <x:c r="J13" s="419" t="str">
        <x:v>Advertised retailer/mail-order price</x:v>
      </x:c>
      <x:c r="K13" s="419" t="str">
        <x:v>United States publication context</x:v>
      </x:c>
      <x:c r="L13" s="419" t="str">
        <x:v>Period retailer advertisement</x:v>
      </x:c>
      <x:c r="M13" s="419" t="str">
        <x:v>Direct text/OCR; clear pair</x:v>
      </x:c>
      <x:c r="N13" s="419" t="str">
        <x:v>MEDIUM-HIGH</x:v>
      </x:c>
      <x:c r="O13" s="419" t="str">
        <x:v>https://previouspage.co.uk/issues/245-august-nineteen-eighty-seven</x:v>
      </x:c>
      <x:c r="P13" s="419" t="str">
        <x:v>INDEX-ONLY</x:v>
      </x:c>
      <x:c r="Q13" s="419" t="str">
        <x:v>Not manufacturer MSRP.</x:v>
      </x:c>
      <x:c r="R13" s="419" t="str">
        <x:v>2026-07-30</x:v>
      </x:c>
    </x:row>
    <x:row r="14">
      <x:c r="A14" s="419" t="str">
        <x:v>GTD-PR-0010</x:v>
      </x:c>
      <x:c r="B14" s="419" t="str">
        <x:v>GTD-OBJ-0004</x:v>
      </x:c>
      <x:c r="C14" s="419" t="str">
        <x:v>GT</x:v>
      </x:c>
      <x:c r="D14" s="419" t="str">
        <x:v>Vertigo</x:v>
      </x:c>
      <x:c r="E14" s="419" t="str">
        <x:v>Complete bicycle</x:v>
      </x:c>
      <x:c r="F14" s="419" t="str">
        <x:v>Aug 1987</x:v>
      </x:c>
      <x:c r="G14" s="420" t="n">
        <x:v>164</x:v>
      </x:c>
      <x:c r="H14" s="419" t="str">
        <x:v>USD</x:v>
      </x:c>
      <x:c r="I14" s="419" t="str">
        <x:v>$164</x:v>
      </x:c>
      <x:c r="J14" s="419" t="str">
        <x:v>Advertised retailer/mail-order price</x:v>
      </x:c>
      <x:c r="K14" s="419" t="str">
        <x:v>United States publication context</x:v>
      </x:c>
      <x:c r="L14" s="419" t="str">
        <x:v>Period retailer advertisement</x:v>
      </x:c>
      <x:c r="M14" s="419" t="str">
        <x:v>Direct text/OCR; clear pair</x:v>
      </x:c>
      <x:c r="N14" s="419" t="str">
        <x:v>MEDIUM-HIGH</x:v>
      </x:c>
      <x:c r="O14" s="419" t="str">
        <x:v>https://previouspage.co.uk/issues/245-august-nineteen-eighty-seven</x:v>
      </x:c>
      <x:c r="P14" s="419" t="str">
        <x:v>INDEX-ONLY</x:v>
      </x:c>
      <x:c r="Q14" s="419" t="str">
        <x:v>Not manufacturer MSRP.</x:v>
      </x:c>
      <x:c r="R14" s="419" t="str">
        <x:v>2026-07-30</x:v>
      </x:c>
    </x:row>
    <x:row r="15">
      <x:c r="A15" s="419" t="str">
        <x:v>GTD-PR-0011</x:v>
      </x:c>
      <x:c r="B15" s="419" t="str">
        <x:v>GTD-OBJ-0004</x:v>
      </x:c>
      <x:c r="C15" s="419" t="str">
        <x:v>GT</x:v>
      </x:c>
      <x:c r="D15" s="419" t="str">
        <x:v>Performer</x:v>
      </x:c>
      <x:c r="E15" s="419" t="str">
        <x:v>Complete bicycle</x:v>
      </x:c>
      <x:c r="F15" s="419" t="str">
        <x:v>Aug 1987</x:v>
      </x:c>
      <x:c r="G15" s="420" t="n">
        <x:v>199</x:v>
      </x:c>
      <x:c r="H15" s="419" t="str">
        <x:v>USD</x:v>
      </x:c>
      <x:c r="I15" s="419" t="str">
        <x:v>$199</x:v>
      </x:c>
      <x:c r="J15" s="419" t="str">
        <x:v>Advertised retailer/mail-order price</x:v>
      </x:c>
      <x:c r="K15" s="419" t="str">
        <x:v>United States publication context</x:v>
      </x:c>
      <x:c r="L15" s="419" t="str">
        <x:v>Period retailer advertisement</x:v>
      </x:c>
      <x:c r="M15" s="419" t="str">
        <x:v>Direct text/OCR; clear pair</x:v>
      </x:c>
      <x:c r="N15" s="419" t="str">
        <x:v>MEDIUM-HIGH</x:v>
      </x:c>
      <x:c r="O15" s="419" t="str">
        <x:v>https://previouspage.co.uk/issues/245-august-nineteen-eighty-seven</x:v>
      </x:c>
      <x:c r="P15" s="419" t="str">
        <x:v>INDEX-ONLY</x:v>
      </x:c>
      <x:c r="Q15" s="419" t="str">
        <x:v>Not manufacturer MSRP.</x:v>
      </x:c>
      <x:c r="R15" s="419" t="str">
        <x:v>2026-07-30</x:v>
      </x:c>
    </x:row>
    <x:row r="16">
      <x:c r="A16" s="419" t="str">
        <x:v>GTD-PR-0012</x:v>
      </x:c>
      <x:c r="B16" s="419" t="str">
        <x:v>GTD-OBJ-0004</x:v>
      </x:c>
      <x:c r="C16" s="419" t="str">
        <x:v>GT</x:v>
      </x:c>
      <x:c r="D16" s="419" t="str">
        <x:v>Pro Freestyle Tour</x:v>
      </x:c>
      <x:c r="E16" s="419" t="str">
        <x:v>Complete bicycle</x:v>
      </x:c>
      <x:c r="F16" s="419" t="str">
        <x:v>Aug 1987</x:v>
      </x:c>
      <x:c r="G16" s="420" t="n">
        <x:v>299</x:v>
      </x:c>
      <x:c r="H16" s="419" t="str">
        <x:v>USD</x:v>
      </x:c>
      <x:c r="I16" s="419" t="str">
        <x:v>$299</x:v>
      </x:c>
      <x:c r="J16" s="419" t="str">
        <x:v>Advertised retailer/mail-order price</x:v>
      </x:c>
      <x:c r="K16" s="419" t="str">
        <x:v>United States publication context</x:v>
      </x:c>
      <x:c r="L16" s="419" t="str">
        <x:v>Period retailer advertisement</x:v>
      </x:c>
      <x:c r="M16" s="419" t="str">
        <x:v>Direct text/OCR; clear pair</x:v>
      </x:c>
      <x:c r="N16" s="419" t="str">
        <x:v>MEDIUM-HIGH</x:v>
      </x:c>
      <x:c r="O16" s="419" t="str">
        <x:v>https://previouspage.co.uk/issues/245-august-nineteen-eighty-seven</x:v>
      </x:c>
      <x:c r="P16" s="419" t="str">
        <x:v>INDEX-ONLY</x:v>
      </x:c>
      <x:c r="Q16" s="419" t="str">
        <x:v>Source abbreviates model as Pro F/S Tour.</x:v>
      </x:c>
      <x:c r="R16" s="419" t="str">
        <x:v>2026-07-30</x:v>
      </x:c>
    </x:row>
    <x:row r="17">
      <x:c r="A17" s="419" t="str">
        <x:v>GTD-PR-0013</x:v>
      </x:c>
      <x:c r="B17" s="419" t="str">
        <x:v>GTD-OBJ-0004</x:v>
      </x:c>
      <x:c r="C17" s="419" t="str">
        <x:v>GT</x:v>
      </x:c>
      <x:c r="D17" s="419" t="str">
        <x:v>Pro Freestyle Team</x:v>
      </x:c>
      <x:c r="E17" s="419" t="str">
        <x:v>Complete bicycle</x:v>
      </x:c>
      <x:c r="F17" s="419" t="str">
        <x:v>Aug 1987</x:v>
      </x:c>
      <x:c r="G17" s="420" t="n">
        <x:v>429</x:v>
      </x:c>
      <x:c r="H17" s="419" t="str">
        <x:v>USD</x:v>
      </x:c>
      <x:c r="I17" s="419" t="str">
        <x:v>$429</x:v>
      </x:c>
      <x:c r="J17" s="419" t="str">
        <x:v>Advertised retailer/mail-order price</x:v>
      </x:c>
      <x:c r="K17" s="419" t="str">
        <x:v>United States publication context</x:v>
      </x:c>
      <x:c r="L17" s="419" t="str">
        <x:v>Period retailer advertisement</x:v>
      </x:c>
      <x:c r="M17" s="419" t="str">
        <x:v>Direct text/OCR; clear pair</x:v>
      </x:c>
      <x:c r="N17" s="419" t="str">
        <x:v>MEDIUM-HIGH</x:v>
      </x:c>
      <x:c r="O17" s="419" t="str">
        <x:v>https://previouspage.co.uk/issues/245-august-nineteen-eighty-seven</x:v>
      </x:c>
      <x:c r="P17" s="419" t="str">
        <x:v>INDEX-ONLY</x:v>
      </x:c>
      <x:c r="Q17" s="419" t="str">
        <x:v>Source abbreviates model as Pro F/S Team.</x:v>
      </x:c>
      <x:c r="R17" s="419" t="str">
        <x:v>2026-07-30</x:v>
      </x:c>
    </x:row>
    <x:row r="18">
      <x:c r="A18" s="419" t="str">
        <x:v>GTD-PR-0014</x:v>
      </x:c>
      <x:c r="B18" s="419" t="str">
        <x:v>GTD-OBJ-0004</x:v>
      </x:c>
      <x:c r="C18" s="419" t="str">
        <x:v>GT</x:v>
      </x:c>
      <x:c r="D18" s="419" t="str">
        <x:v>Interceptor</x:v>
      </x:c>
      <x:c r="E18" s="419" t="str">
        <x:v>Complete bicycle</x:v>
      </x:c>
      <x:c r="F18" s="419" t="str">
        <x:v>Aug 1987</x:v>
      </x:c>
      <x:c r="G18" s="420" t="n">
        <x:v>169</x:v>
      </x:c>
      <x:c r="H18" s="419" t="str">
        <x:v>USD</x:v>
      </x:c>
      <x:c r="I18" s="419" t="str">
        <x:v>$169</x:v>
      </x:c>
      <x:c r="J18" s="419" t="str">
        <x:v>Advertised retailer/mail-order price</x:v>
      </x:c>
      <x:c r="K18" s="419" t="str">
        <x:v>United States publication context</x:v>
      </x:c>
      <x:c r="L18" s="419" t="str">
        <x:v>Period retailer advertisement</x:v>
      </x:c>
      <x:c r="M18" s="419" t="str">
        <x:v>Direct text/OCR; clear pair</x:v>
      </x:c>
      <x:c r="N18" s="419" t="str">
        <x:v>MEDIUM-HIGH</x:v>
      </x:c>
      <x:c r="O18" s="419" t="str">
        <x:v>https://previouspage.co.uk/issues/245-august-nineteen-eighty-seven</x:v>
      </x:c>
      <x:c r="P18" s="419" t="str">
        <x:v>INDEX-ONLY</x:v>
      </x:c>
      <x:c r="Q18" s="419" t="str">
        <x:v>Do not compare directly with the unresolved 1992 $259 configuration.</x:v>
      </x:c>
      <x:c r="R18" s="419" t="str">
        <x:v>2026-07-30</x:v>
      </x:c>
    </x:row>
    <x:row r="19">
      <x:c r="A19" s="419" t="str">
        <x:v>GTD-PR-0015</x:v>
      </x:c>
      <x:c r="B19" s="419" t="str">
        <x:v>GTD-OBJ-0004</x:v>
      </x:c>
      <x:c r="C19" s="419" t="str">
        <x:v>GT</x:v>
      </x:c>
      <x:c r="D19" s="419" t="str">
        <x:v>Mach 1</x:v>
      </x:c>
      <x:c r="E19" s="419" t="str">
        <x:v>Complete bicycle</x:v>
      </x:c>
      <x:c r="F19" s="419" t="str">
        <x:v>Aug 1987</x:v>
      </x:c>
      <x:c r="G19" s="420" t="n">
        <x:v>209</x:v>
      </x:c>
      <x:c r="H19" s="419" t="str">
        <x:v>USD</x:v>
      </x:c>
      <x:c r="I19" s="419" t="str">
        <x:v>$209</x:v>
      </x:c>
      <x:c r="J19" s="419" t="str">
        <x:v>Advertised retailer/mail-order price</x:v>
      </x:c>
      <x:c r="K19" s="419" t="str">
        <x:v>United States publication context</x:v>
      </x:c>
      <x:c r="L19" s="419" t="str">
        <x:v>Period retailer advertisement</x:v>
      </x:c>
      <x:c r="M19" s="419" t="str">
        <x:v>Direct text/OCR; clear pair</x:v>
      </x:c>
      <x:c r="N19" s="419" t="str">
        <x:v>MEDIUM-HIGH</x:v>
      </x:c>
      <x:c r="O19" s="419" t="str">
        <x:v>https://previouspage.co.uk/issues/245-august-nineteen-eighty-seven</x:v>
      </x:c>
      <x:c r="P19" s="419" t="str">
        <x:v>INDEX-ONLY</x:v>
      </x:c>
      <x:c r="Q19" s="419" t="str">
        <x:v>Not manufacturer MSRP.</x:v>
      </x:c>
      <x:c r="R19" s="419" t="str">
        <x:v>2026-07-30</x:v>
      </x:c>
    </x:row>
    <x:row r="20">
      <x:c r="A20" s="419" t="str">
        <x:v>GTD-PR-0016</x:v>
      </x:c>
      <x:c r="B20" s="419" t="str">
        <x:v>GTD-OBJ-0004</x:v>
      </x:c>
      <x:c r="C20" s="419" t="str">
        <x:v>GT</x:v>
      </x:c>
      <x:c r="D20" s="419" t="str">
        <x:v>Pro Series</x:v>
      </x:c>
      <x:c r="E20" s="419" t="str">
        <x:v>Complete bicycle</x:v>
      </x:c>
      <x:c r="F20" s="419" t="str">
        <x:v>Aug 1987</x:v>
      </x:c>
      <x:c r="G20" s="420" t="n">
        <x:v>329</x:v>
      </x:c>
      <x:c r="H20" s="419" t="str">
        <x:v>USD</x:v>
      </x:c>
      <x:c r="I20" s="419" t="str">
        <x:v>$329</x:v>
      </x:c>
      <x:c r="J20" s="419" t="str">
        <x:v>Advertised retailer/mail-order price</x:v>
      </x:c>
      <x:c r="K20" s="419" t="str">
        <x:v>United States publication context</x:v>
      </x:c>
      <x:c r="L20" s="419" t="str">
        <x:v>Period retailer advertisement</x:v>
      </x:c>
      <x:c r="M20" s="419" t="str">
        <x:v>Direct text/OCR; clear pair</x:v>
      </x:c>
      <x:c r="N20" s="419" t="str">
        <x:v>MEDIUM-HIGH</x:v>
      </x:c>
      <x:c r="O20" s="419" t="str">
        <x:v>https://previouspage.co.uk/issues/245-august-nineteen-eighty-seven</x:v>
      </x:c>
      <x:c r="P20" s="419" t="str">
        <x:v>INDEX-ONLY</x:v>
      </x:c>
      <x:c r="Q20" s="419" t="str">
        <x:v>Not manufacturer MSRP.</x:v>
      </x:c>
      <x:c r="R20" s="419" t="str">
        <x:v>2026-07-30</x:v>
      </x:c>
    </x:row>
    <x:row r="21">
      <x:c r="A21" s="419" t="str">
        <x:v>GTD-PR-0017</x:v>
      </x:c>
      <x:c r="B21" s="419" t="str">
        <x:v>GTD-OBJ-0004</x:v>
      </x:c>
      <x:c r="C21" s="419" t="str">
        <x:v>GT</x:v>
      </x:c>
      <x:c r="D21" s="419" t="str">
        <x:v>Pro Series Team</x:v>
      </x:c>
      <x:c r="E21" s="419" t="str">
        <x:v>Complete bicycle</x:v>
      </x:c>
      <x:c r="F21" s="419" t="str">
        <x:v>Aug 1987</x:v>
      </x:c>
      <x:c r="G21" s="420" t="n">
        <x:v>449</x:v>
      </x:c>
      <x:c r="H21" s="419" t="str">
        <x:v>USD</x:v>
      </x:c>
      <x:c r="I21" s="419" t="str">
        <x:v>$449</x:v>
      </x:c>
      <x:c r="J21" s="419" t="str">
        <x:v>Advertised retailer/mail-order price</x:v>
      </x:c>
      <x:c r="K21" s="419" t="str">
        <x:v>United States publication context</x:v>
      </x:c>
      <x:c r="L21" s="419" t="str">
        <x:v>Period retailer advertisement</x:v>
      </x:c>
      <x:c r="M21" s="419" t="str">
        <x:v>Direct text/OCR; clear pair</x:v>
      </x:c>
      <x:c r="N21" s="419" t="str">
        <x:v>MEDIUM-HIGH</x:v>
      </x:c>
      <x:c r="O21" s="419" t="str">
        <x:v>https://previouspage.co.uk/issues/245-august-nineteen-eighty-seven</x:v>
      </x:c>
      <x:c r="P21" s="419" t="str">
        <x:v>INDEX-ONLY</x:v>
      </x:c>
      <x:c r="Q21" s="419" t="str">
        <x:v>Not manufacturer MSRP.</x:v>
      </x:c>
      <x:c r="R21" s="419" t="str">
        <x:v>2026-07-30</x:v>
      </x:c>
    </x:row>
    <x:row r="22">
      <x:c r="A22" s="419" t="str">
        <x:v>GTD-PR-0018</x:v>
      </x:c>
      <x:c r="B22" s="419" t="str">
        <x:v>GTD-OBJ-0005</x:v>
      </x:c>
      <x:c r="C22" s="419" t="str">
        <x:v>GT</x:v>
      </x:c>
      <x:c r="D22" s="419" t="str">
        <x:v>Performer</x:v>
      </x:c>
      <x:c r="E22" s="419" t="str">
        <x:v>Complete bicycle</x:v>
      </x:c>
      <x:c r="F22" s="419" t="str">
        <x:v>Jul 1987</x:v>
      </x:c>
      <x:c r="G22" s="420" t="n">
        <x:v>199.95</x:v>
      </x:c>
      <x:c r="H22" s="419" t="str">
        <x:v>USD</x:v>
      </x:c>
      <x:c r="I22" s="419" t="str">
        <x:v>$199.95</x:v>
      </x:c>
      <x:c r="J22" s="419" t="str">
        <x:v>Advertised retailer/mail-order price</x:v>
      </x:c>
      <x:c r="K22" s="419" t="str">
        <x:v>United States publication context</x:v>
      </x:c>
      <x:c r="L22" s="419" t="str">
        <x:v>Period retailer advertisement</x:v>
      </x:c>
      <x:c r="M22" s="419" t="str">
        <x:v>Direct text/OCR; clear pair</x:v>
      </x:c>
      <x:c r="N22" s="419" t="str">
        <x:v>MEDIUM-HIGH</x:v>
      </x:c>
      <x:c r="O22" s="419" t="str">
        <x:v>https://previouspage.co.uk/magazines/BMX%20Plus/issues/244-july-nineteen-eighty-seven</x:v>
      </x:c>
      <x:c r="P22" s="419" t="str">
        <x:v>INDEX-ONLY</x:v>
      </x:c>
      <x:c r="Q22" s="419" t="str">
        <x:v>Separate seller/issue observation; do not deduplicate against August.</x:v>
      </x:c>
      <x:c r="R22" s="419" t="str">
        <x:v>2026-07-30</x:v>
      </x:c>
    </x:row>
    <x:row r="23">
      <x:c r="A23" s="419" t="str">
        <x:v>GTD-PR-0019</x:v>
      </x:c>
      <x:c r="B23" s="419" t="str">
        <x:v>GTD-OBJ-0005</x:v>
      </x:c>
      <x:c r="C23" s="419" t="str">
        <x:v>GT</x:v>
      </x:c>
      <x:c r="D23" s="419" t="str">
        <x:v>Pro Performer</x:v>
      </x:c>
      <x:c r="E23" s="419" t="str">
        <x:v>Complete bicycle</x:v>
      </x:c>
      <x:c r="F23" s="419" t="str">
        <x:v>Jul 1987</x:v>
      </x:c>
      <x:c r="G23" s="420" t="n">
        <x:v>289.95</x:v>
      </x:c>
      <x:c r="H23" s="419" t="str">
        <x:v>USD</x:v>
      </x:c>
      <x:c r="I23" s="419" t="str">
        <x:v>$289.95</x:v>
      </x:c>
      <x:c r="J23" s="419" t="str">
        <x:v>Advertised retailer/mail-order price</x:v>
      </x:c>
      <x:c r="K23" s="419" t="str">
        <x:v>United States publication context</x:v>
      </x:c>
      <x:c r="L23" s="419" t="str">
        <x:v>Period retailer advertisement</x:v>
      </x:c>
      <x:c r="M23" s="419" t="str">
        <x:v>Direct text/OCR; clear pair</x:v>
      </x:c>
      <x:c r="N23" s="419" t="str">
        <x:v>MEDIUM-HIGH</x:v>
      </x:c>
      <x:c r="O23" s="419" t="str">
        <x:v>https://previouspage.co.uk/magazines/BMX%20Plus/issues/244-july-nineteen-eighty-seven</x:v>
      </x:c>
      <x:c r="P23" s="419" t="str">
        <x:v>INDEX-ONLY</x:v>
      </x:c>
      <x:c r="Q23" s="419" t="str">
        <x:v>Not manufacturer MSRP.</x:v>
      </x:c>
      <x:c r="R23" s="419" t="str">
        <x:v>2026-07-30</x:v>
      </x:c>
    </x:row>
    <x:row r="24">
      <x:c r="A24" s="419" t="str">
        <x:v>GTD-PR-0020</x:v>
      </x:c>
      <x:c r="B24" s="419" t="str">
        <x:v>GTD-OBJ-0005</x:v>
      </x:c>
      <x:c r="C24" s="419" t="str">
        <x:v>GT</x:v>
      </x:c>
      <x:c r="D24" s="419" t="str">
        <x:v>Pro World Tour</x:v>
      </x:c>
      <x:c r="E24" s="419" t="str">
        <x:v>Complete bicycle</x:v>
      </x:c>
      <x:c r="F24" s="419" t="str">
        <x:v>Jul 1987</x:v>
      </x:c>
      <x:c r="G24" s="420" t="n">
        <x:v>344.95</x:v>
      </x:c>
      <x:c r="H24" s="419" t="str">
        <x:v>USD</x:v>
      </x:c>
      <x:c r="I24" s="419" t="str">
        <x:v>$344.95</x:v>
      </x:c>
      <x:c r="J24" s="419" t="str">
        <x:v>Advertised retailer/mail-order price</x:v>
      </x:c>
      <x:c r="K24" s="419" t="str">
        <x:v>United States publication context</x:v>
      </x:c>
      <x:c r="L24" s="419" t="str">
        <x:v>Period retailer advertisement</x:v>
      </x:c>
      <x:c r="M24" s="419" t="str">
        <x:v>Direct text/OCR; clear pair</x:v>
      </x:c>
      <x:c r="N24" s="419" t="str">
        <x:v>MEDIUM-HIGH</x:v>
      </x:c>
      <x:c r="O24" s="419" t="str">
        <x:v>https://previouspage.co.uk/magazines/BMX%20Plus/issues/244-july-nineteen-eighty-seven</x:v>
      </x:c>
      <x:c r="P24" s="419" t="str">
        <x:v>INDEX-ONLY</x:v>
      </x:c>
      <x:c r="Q24" s="419" t="str">
        <x:v>Not manufacturer MSRP.</x:v>
      </x:c>
      <x:c r="R24" s="419" t="str">
        <x:v>2026-07-30</x:v>
      </x:c>
    </x:row>
    <x:row r="25">
      <x:c r="A25" s="419" t="str">
        <x:v>GTD-PR-0021</x:v>
      </x:c>
      <x:c r="B25" s="419" t="str">
        <x:v>GTD-OBJ-0005</x:v>
      </x:c>
      <x:c r="C25" s="419" t="str">
        <x:v>GT</x:v>
      </x:c>
      <x:c r="D25" s="419" t="str">
        <x:v>Mach 1</x:v>
      </x:c>
      <x:c r="E25" s="419" t="str">
        <x:v>Complete bicycle</x:v>
      </x:c>
      <x:c r="F25" s="419" t="str">
        <x:v>Jul 1987</x:v>
      </x:c>
      <x:c r="G25" s="420" t="n">
        <x:v>214.95</x:v>
      </x:c>
      <x:c r="H25" s="419" t="str">
        <x:v>USD</x:v>
      </x:c>
      <x:c r="I25" s="419" t="str">
        <x:v>$214.95</x:v>
      </x:c>
      <x:c r="J25" s="419" t="str">
        <x:v>Advertised retailer/mail-order price</x:v>
      </x:c>
      <x:c r="K25" s="419" t="str">
        <x:v>United States publication context</x:v>
      </x:c>
      <x:c r="L25" s="419" t="str">
        <x:v>Period retailer advertisement</x:v>
      </x:c>
      <x:c r="M25" s="419" t="str">
        <x:v>Direct text/OCR; clear pair</x:v>
      </x:c>
      <x:c r="N25" s="419" t="str">
        <x:v>MEDIUM-HIGH</x:v>
      </x:c>
      <x:c r="O25" s="419" t="str">
        <x:v>https://previouspage.co.uk/magazines/BMX%20Plus/issues/244-july-nineteen-eighty-seven</x:v>
      </x:c>
      <x:c r="P25" s="419" t="str">
        <x:v>INDEX-ONLY</x:v>
      </x:c>
      <x:c r="Q25" s="419" t="str">
        <x:v>Separate seller/issue observation.</x:v>
      </x:c>
      <x:c r="R25" s="419" t="str">
        <x:v>2026-07-30</x:v>
      </x:c>
    </x:row>
  </x:sheetData>
  <x:mergeCells>
    <x:mergeCell ref="A1:R1"/>
    <x:mergeCell ref="A2:R2"/>
  </x:mergeCells>
  <x:dataValidations count="2">
    <x:dataValidation type="list" sqref="H5:H25">
      <x:formula1>"USD,AUD,GBP,UNCONFIRMED"</x:formula1>
    </x:dataValidation>
    <x:dataValidation type="list" sqref="N5:N25">
      <x:formula1>"HIGH,MEDIUM-HIGH,MEDIUM,LOW-MEDIUM,LOW"</x:formula1>
    </x:dataValidation>
  </x:dataValidations>
  <x:pageMargins left="0.7" right="0.7" top="0.75" bottom="0.75" header="0.3" footer="0.3"/>
  <x:tableParts count="1">
    <x:tablePart xmlns:r="http://schemas.openxmlformats.org/officeDocument/2006/relationships" r:id="R5383f7ab84854516"/>
  </x:tableParts>
</x:worksheet>
</file>

<file path=xl/worksheets/sheet36.xml><?xml version="1.0" encoding="utf-8"?>
<x:worksheet xmlns:x="http://schemas.openxmlformats.org/spreadsheetml/2006/main">
  <x:sheetFormatPr defaultRowHeight="15"/>
  <x:cols>
    <x:col min="1" max="1" width="24" hidden="0" customWidth="1"/>
    <x:col min="2" max="2" width="12" hidden="0" customWidth="1"/>
    <x:col min="3" max="3" width="36" hidden="0" customWidth="1"/>
    <x:col min="4" max="4" width="30" hidden="0" customWidth="1"/>
    <x:col min="5" max="5" width="24" hidden="0" customWidth="1"/>
    <x:col min="6" max="6" width="13" hidden="0" customWidth="1"/>
    <x:col min="7" max="7" width="34" hidden="0" customWidth="1"/>
    <x:col min="8" max="8" width="12" hidden="0" customWidth="1"/>
  </x:cols>
  <x:sheetData>
    <x:row r="1" ht="30" customHeight="1">
      <x:c r="A1" s="404" t="str">
        <x:v>v0.6 — GT/Dyno Sequence Dashboard</x:v>
      </x:c>
    </x:row>
    <x:row r="2" ht="34" customHeight="1">
      <x:c r="A2" s="408" t="str">
        <x:v>First sequence stage: three catalog identities, period price evidence, and promotions. Exact BMXMuseum ID recovery remains bounded and open.</x:v>
      </x:c>
    </x:row>
    <x:row r="4" ht="34" customHeight="1">
      <x:c r="A4" s="414" t="str">
        <x:v>Metric</x:v>
      </x:c>
      <x:c r="B4" s="414" t="str">
        <x:v>Count</x:v>
      </x:c>
      <x:c r="C4" s="414" t="str">
        <x:v>Outcome</x:v>
      </x:c>
      <x:c r="D4" s="414" t="str">
        <x:v>Determination</x:v>
      </x:c>
      <x:c r="E4" s="414" t="str">
        <x:v>Rights</x:v>
      </x:c>
      <x:c r="F4" s="414" t="str">
        <x:v>Status</x:v>
      </x:c>
      <x:c r="G4" s="414" t="str">
        <x:v>Next action</x:v>
      </x:c>
      <x:c r="H4" s="414" t="str">
        <x:v>Version</x:v>
      </x:c>
    </x:row>
    <x:row r="5">
      <x:c r="A5" s="419" t="str">
        <x:v>GT/Dyno object records</x:v>
      </x:c>
      <x:c r="B5" s="419" t="n">
        <x:f>COUNTA('v0.6 GT-Dyno Objects'!A5:A100)</x:f>
        <x:v>6</x:v>
      </x:c>
      <x:c r="C5" s="419" t="str">
        <x:v>Catalogs and promotions are separated by object type.</x:v>
      </x:c>
      <x:c r="D5" s="419" t="str">
        <x:v>6 source objects.</x:v>
      </x:c>
      <x:c r="E5" s="419" t="str">
        <x:v>No scans copied.</x:v>
      </x:c>
      <x:c r="F5" s="419" t="str">
        <x:v>GREEN</x:v>
      </x:c>
      <x:c r="G5" s="419" t="str">
        <x:v>Recover exact BMXMuseum IDs where publicly exposed.</x:v>
      </x:c>
      <x:c r="H5" s="419" t="str">
        <x:v>v0.6</x:v>
      </x:c>
    </x:row>
    <x:row r="6">
      <x:c r="A6" s="419" t="str">
        <x:v>Normalized price observations</x:v>
      </x:c>
      <x:c r="B6" s="419" t="n">
        <x:f>COUNTA('v0.6 Price Benchmarks'!A5:A100)</x:f>
        <x:v>21</x:v>
      </x:c>
      <x:c r="C6" s="419" t="str">
        <x:v>Line-item values are preserved with currency and price basis.</x:v>
      </x:c>
      <x:c r="D6" s="419" t="str">
        <x:v>21 observations.</x:v>
      </x:c>
      <x:c r="E6" s="419" t="str">
        <x:v>Index facts only.</x:v>
      </x:c>
      <x:c r="F6" s="419" t="str">
        <x:v>GREEN</x:v>
      </x:c>
      <x:c r="G6" s="419" t="str">
        <x:v>Inspect page images before expanding OCR-uncertain rows.</x:v>
      </x:c>
      <x:c r="H6" s="419" t="str">
        <x:v>v0.6</x:v>
      </x:c>
    </x:row>
    <x:row r="7">
      <x:c r="A7" s="419" t="str">
        <x:v>Exact BMXMuseum IDs recovered</x:v>
      </x:c>
      <x:c r="B7" s="419" t="n">
        <x:f>COUNTIF('v0.6 GT-Dyno Objects'!G5:G100,"&lt;&gt;UNRESOLVED")-COUNTIF('v0.6 GT-Dyno Objects'!G5:G100,"NOT APPLICABLE")</x:f>
        <x:v>90</x:v>
      </x:c>
      <x:c r="C7" s="419" t="str">
        <x:v>No new GT/Dyno canonical IDs were exposed in the permitted route.</x:v>
      </x:c>
      <x:c r="D7" s="419" t="str">
        <x:v>0 recovered.</x:v>
      </x:c>
      <x:c r="E7" s="419" t="str">
        <x:v>No bypass.</x:v>
      </x:c>
      <x:c r="F7" s="419" t="str">
        <x:v>OPEN</x:v>
      </x:c>
      <x:c r="G7" s="419" t="str">
        <x:v>Keep the three catalog IDs unresolved.</x:v>
      </x:c>
      <x:c r="H7" s="419" t="str">
        <x:v>v0.6</x:v>
      </x:c>
    </x:row>
    <x:row r="8">
      <x:c r="A8" s="419" t="str">
        <x:v>Catalog titles confirmed</x:v>
      </x:c>
      <x:c r="B8" s="419" t="n">
        <x:f>COUNTIF('v0.6 GT-Dyno Objects'!B5:B100,"Catalog")</x:f>
        <x:v>3</x:v>
      </x:c>
      <x:c r="C8" s="419" t="str">
        <x:v>1992, 1996 and 1999 Part 2 titles remain separately registered.</x:v>
      </x:c>
      <x:c r="D8" s="419" t="str">
        <x:v>3 titles.</x:v>
      </x:c>
      <x:c r="E8" s="419" t="str">
        <x:v>Bibliographic metadata only.</x:v>
      </x:c>
      <x:c r="F8" s="419" t="str">
        <x:v>GREEN</x:v>
      </x:c>
      <x:c r="G8" s="419" t="str">
        <x:v>Resolve pagination and Part 1 for 1999.</x:v>
      </x:c>
      <x:c r="H8" s="419" t="str">
        <x:v>v0.6</x:v>
      </x:c>
    </x:row>
    <x:row r="9">
      <x:c r="A9" s="419" t="str">
        <x:v>Retailer-price rows</x:v>
      </x:c>
      <x:c r="B9" s="419" t="n">
        <x:f>COUNTIF('v0.6 Price Benchmarks'!L5:L100,"Period retailer advertisement")</x:f>
        <x:v>19</x:v>
      </x:c>
      <x:c r="C9" s="419" t="str">
        <x:v>1987 ads supply useful market benchmarks but not manufacturer MSRP.</x:v>
      </x:c>
      <x:c r="D9" s="419" t="str">
        <x:v>19 retailer rows.</x:v>
      </x:c>
      <x:c r="E9" s="419" t="str">
        <x:v>No ad images copied.</x:v>
      </x:c>
      <x:c r="F9" s="419" t="str">
        <x:v>GREEN</x:v>
      </x:c>
      <x:c r="G9" s="419" t="str">
        <x:v>Use separate seller/issue observations.</x:v>
      </x:c>
      <x:c r="H9" s="419" t="str">
        <x:v>v0.6</x:v>
      </x:c>
    </x:row>
    <x:row r="10">
      <x:c r="A10" s="419" t="str">
        <x:v>Copied scans/images</x:v>
      </x:c>
      <x:c r="B10" s="419" t="n">
        <x:v>0</x:v>
      </x:c>
      <x:c r="C10" s="419" t="str">
        <x:v>No source scan or advertisement image embedded.</x:v>
      </x:c>
      <x:c r="D10" s="419" t="str">
        <x:v>Zero.</x:v>
      </x:c>
      <x:c r="E10" s="419" t="str">
        <x:v>Green boundary preserved.</x:v>
      </x:c>
      <x:c r="F10" s="419" t="str">
        <x:v>GREEN</x:v>
      </x:c>
      <x:c r="G10" s="419" t="str">
        <x:v>Continue metadata-plus-link capture.</x:v>
      </x:c>
      <x:c r="H10" s="419" t="str">
        <x:v>v0.6</x:v>
      </x:c>
    </x:row>
    <x:row r="11">
      <x:c r="A11" s="419" t="str">
        <x:v>Stage result</x:v>
      </x:c>
      <x:c r="B11" s="419" t="n">
        <x:f>COUNTA('v0.6 GT-Dyno Objects'!A5:A100)+COUNTA('v0.6 Price Benchmarks'!A5:A100)</x:f>
        <x:v>27</x:v>
      </x:c>
      <x:c r="C11" s="419" t="str">
        <x:v>The $319 model remains unresolved rather than guessed.</x:v>
      </x:c>
      <x:c r="D11" s="419" t="str">
        <x:v>Identity and price claims are decoupled.</x:v>
      </x:c>
      <x:c r="E11" s="419" t="str">
        <x:v>Index broadly; republish narrowly.</x:v>
      </x:c>
      <x:c r="F11" s="419" t="str">
        <x:v>LOCKED</x:v>
      </x:c>
      <x:c r="G11" s="419" t="str">
        <x:v>Advance to Haro and Ashtabula.</x:v>
      </x:c>
      <x:c r="H11" s="419" t="str">
        <x:v>v0.6</x:v>
      </x:c>
    </x:row>
  </x:sheetData>
  <x:mergeCells>
    <x:mergeCell ref="A1:H1"/>
    <x:mergeCell ref="A2:H2"/>
  </x:mergeCells>
  <x:conditionalFormatting sqref="F5:F11">
    <x:cfRule type="expression" dxfId="12" priority="1">
      <x:formula>F5="GREEN"</x:formula>
    </x:cfRule>
    <x:cfRule type="expression" dxfId="13" priority="2">
      <x:formula>F5="OPEN"</x:formula>
    </x:cfRule>
    <x:cfRule type="expression" dxfId="14" priority="3">
      <x:formula>F5="LOCKED"</x:formula>
    </x:cfRule>
  </x:conditionalFormatting>
  <x:pageMargins left="0.7" right="0.7" top="0.75" bottom="0.75" header="0.3" footer="0.3"/>
  <x:tableParts count="1">
    <x:tablePart xmlns:r="http://schemas.openxmlformats.org/officeDocument/2006/relationships" r:id="Re02662a1f4234d3e"/>
  </x:tableParts>
</x:worksheet>
</file>

<file path=xl/worksheets/sheet37.xml><?xml version="1.0" encoding="utf-8"?>
<x:worksheet xmlns:x="http://schemas.openxmlformats.org/spreadsheetml/2006/main">
  <x:sheetFormatPr defaultRowHeight="15"/>
  <x:cols>
    <x:col min="1" max="1" width="16" hidden="0" customWidth="1"/>
    <x:col min="2" max="2" width="22" hidden="0" customWidth="1"/>
    <x:col min="3" max="3" width="31" hidden="0" customWidth="1"/>
    <x:col min="4" max="4" width="11" hidden="0" customWidth="1"/>
    <x:col min="5" max="5" width="12" hidden="0" customWidth="1"/>
    <x:col min="6" max="6" width="27" hidden="0" customWidth="1"/>
    <x:col min="7" max="7" width="28" hidden="0" customWidth="1"/>
    <x:col min="8" max="8" width="36" hidden="0" customWidth="1"/>
    <x:col min="9" max="9" width="42" hidden="0" customWidth="1"/>
    <x:col min="10" max="10" width="16" hidden="0" customWidth="1"/>
    <x:col min="11" max="11" width="34" hidden="0" customWidth="1"/>
    <x:col min="12" max="12" width="34" hidden="0" customWidth="1"/>
    <x:col min="13" max="13" width="16" hidden="0" customWidth="1"/>
    <x:col min="14" max="14" width="30" hidden="0" customWidth="1"/>
    <x:col min="15" max="15" width="13" hidden="0" customWidth="1"/>
    <x:col min="16" max="16" width="36" hidden="0" customWidth="1"/>
  </x:cols>
  <x:sheetData>
    <x:row r="1" ht="30" customHeight="1">
      <x:c r="A1" s="404" t="str">
        <x:v>v0.7 — Haro Catalog Object Register</x:v>
      </x:c>
    </x:row>
    <x:row r="2" ht="34" customHeight="1">
      <x:c r="A2" s="408" t="str">
        <x:v>Official manufacturer evidence, enthusiast catalog reconstruction and period mailers are retained as separate source roles.</x:v>
      </x:c>
    </x:row>
    <x:row r="4" ht="34" customHeight="1">
      <x:c r="A4" s="414" t="str">
        <x:v>Object ID</x:v>
      </x:c>
      <x:c r="B4" s="414" t="str">
        <x:v>Object Type</x:v>
      </x:c>
      <x:c r="C4" s="414" t="str">
        <x:v>Title / Subject</x:v>
      </x:c>
      <x:c r="D4" s="414" t="str">
        <x:v>Year</x:v>
      </x:c>
      <x:c r="E4" s="414" t="str">
        <x:v>Brand</x:v>
      </x:c>
      <x:c r="F4" s="414" t="str">
        <x:v>Source Role</x:v>
      </x:c>
      <x:c r="G4" s="414" t="str">
        <x:v>BMXMuseum Status</x:v>
      </x:c>
      <x:c r="H4" s="414" t="str">
        <x:v>What It Can Verify</x:v>
      </x:c>
      <x:c r="I4" s="414" t="str">
        <x:v>Evidence / Limitation</x:v>
      </x:c>
      <x:c r="J4" s="414" t="str">
        <x:v>Confidence</x:v>
      </x:c>
      <x:c r="K4" s="414" t="str">
        <x:v>Primary Source URL</x:v>
      </x:c>
      <x:c r="L4" s="414" t="str">
        <x:v>Secondary Source URL</x:v>
      </x:c>
      <x:c r="M4" s="414" t="str">
        <x:v>Rights Code</x:v>
      </x:c>
      <x:c r="N4" s="414" t="str">
        <x:v>Research Status</x:v>
      </x:c>
      <x:c r="O4" s="414" t="str">
        <x:v>Accessed</x:v>
      </x:c>
      <x:c r="P4" s="414" t="str">
        <x:v>Notes</x:v>
      </x:c>
    </x:row>
    <x:row r="5">
      <x:c r="A5" s="419" t="str">
        <x:v>HAR-OBJ-0001</x:v>
      </x:c>
      <x:c r="B5" s="419" t="str">
        <x:v>Catalog</x:v>
      </x:c>
      <x:c r="C5" s="419" t="str">
        <x:v>1990 Haro BMX Catalog</x:v>
      </x:c>
      <x:c r="D5" s="419" t="str">
        <x:v>1990</x:v>
      </x:c>
      <x:c r="E5" s="419" t="str">
        <x:v>Haro</x:v>
      </x:c>
      <x:c r="F5" s="419" t="str">
        <x:v>Official manufacturer archive</x:v>
      </x:c>
      <x:c r="G5" s="419" t="str">
        <x:v>Catalog existence verified; exact BMXMuseum ID unresolved</x:v>
      </x:c>
      <x:c r="H5" s="419" t="str">
        <x:v>Existence of a Haro-issued 1990 catalog and official year placement.</x:v>
      </x:c>
      <x:c r="I5" s="419" t="str">
        <x:v>Official archive confirms the catalog year but does not expose the unresolved BMXMuseum canonical ID in this pass.</x:v>
      </x:c>
      <x:c r="J5" s="419" t="str">
        <x:v>HIGH for existence</x:v>
      </x:c>
      <x:c r="K5" s="419" t="str">
        <x:v>https://archive.harobikes.com/bmx</x:v>
      </x:c>
      <x:c r="L5" s="419" t="str">
        <x:v>https://www.bmx-catalogue.com/haro/mid-school/1990/model.html</x:v>
      </x:c>
      <x:c r="M5" s="419" t="str">
        <x:v>INDEX-ONLY</x:v>
      </x:c>
      <x:c r="N5" s="419" t="str">
        <x:v>OPEN — recover BMXMuseum ID and compare file pagination</x:v>
      </x:c>
      <x:c r="O5" s="419" t="str">
        <x:v>2026-07-30</x:v>
      </x:c>
      <x:c r="P5" s="419" t="str">
        <x:v>Official archive outranks model-recreation pages for catalog existence.</x:v>
      </x:c>
    </x:row>
    <x:row r="6">
      <x:c r="A6" s="419" t="str">
        <x:v>HAR-OBJ-0002</x:v>
      </x:c>
      <x:c r="B6" s="419" t="str">
        <x:v>Catalog model page</x:v>
      </x:c>
      <x:c r="C6" s="419" t="str">
        <x:v>1990 Haro Group 1A</x:v>
      </x:c>
      <x:c r="D6" s="419" t="str">
        <x:v>1990</x:v>
      </x:c>
      <x:c r="E6" s="419" t="str">
        <x:v>Haro</x:v>
      </x:c>
      <x:c r="F6" s="419" t="str">
        <x:v>Enthusiast catalog reconstruction</x:v>
      </x:c>
      <x:c r="G6" s="419" t="str">
        <x:v>No exact BMXMuseum model-page ID established</x:v>
      </x:c>
      <x:c r="H6" s="419" t="str">
        <x:v>Model-year existence, full-chromoly claim, race positioning and selected component descriptions.</x:v>
      </x:c>
      <x:c r="I6" s="419" t="str">
        <x:v>BMX-Catalogue presents recreated catalog content; treat as corroboration until checked against Haro's PDF.</x:v>
      </x:c>
      <x:c r="J6" s="419" t="str">
        <x:v>MEDIUM-HIGH</x:v>
      </x:c>
      <x:c r="K6" s="419" t="str">
        <x:v>https://www.bmx-catalogue.com/haro/mid-school/1990/group-1a.html</x:v>
      </x:c>
      <x:c r="L6" s="419" t="str">
        <x:v>https://archive.harobikes.com/bmx</x:v>
      </x:c>
      <x:c r="M6" s="419" t="str">
        <x:v>INDEX-ONLY</x:v>
      </x:c>
      <x:c r="N6" s="419" t="str">
        <x:v>INCLUDED WITH ATTRIBUTION</x:v>
      </x:c>
      <x:c r="O6" s="419" t="str">
        <x:v>2026-07-30</x:v>
      </x:c>
      <x:c r="P6" s="419" t="str">
        <x:v>Do not treat serial guidance as factory documentation without separate validation.</x:v>
      </x:c>
    </x:row>
    <x:row r="7">
      <x:c r="A7" s="419" t="str">
        <x:v>HAR-OBJ-0003</x:v>
      </x:c>
      <x:c r="B7" s="419" t="str">
        <x:v>Catalog model page</x:v>
      </x:c>
      <x:c r="C7" s="419" t="str">
        <x:v>1990 Haro Group 1B</x:v>
      </x:c>
      <x:c r="D7" s="419" t="str">
        <x:v>1990</x:v>
      </x:c>
      <x:c r="E7" s="419" t="str">
        <x:v>Haro</x:v>
      </x:c>
      <x:c r="F7" s="419" t="str">
        <x:v>Enthusiast catalog reconstruction</x:v>
      </x:c>
      <x:c r="G7" s="419" t="str">
        <x:v>No exact BMXMuseum model-page ID established</x:v>
      </x:c>
      <x:c r="H7" s="419" t="str">
        <x:v>Model-year existence and chromoly main-tube construction claim.</x:v>
      </x:c>
      <x:c r="I7" s="419" t="str">
        <x:v>Public reconstruction is useful for discovery; original Haro page comparison remains required.</x:v>
      </x:c>
      <x:c r="J7" s="419" t="str">
        <x:v>MEDIUM</x:v>
      </x:c>
      <x:c r="K7" s="419" t="str">
        <x:v>https://www.bmx-catalogue.com/haro/mid-school/1990/group-1b.html</x:v>
      </x:c>
      <x:c r="L7" s="419" t="str">
        <x:v>https://archive.harobikes.com/bmx</x:v>
      </x:c>
      <x:c r="M7" s="419" t="str">
        <x:v>INDEX-ONLY</x:v>
      </x:c>
      <x:c r="N7" s="419" t="str">
        <x:v>INCLUDED WITH ATTRIBUTION</x:v>
      </x:c>
      <x:c r="O7" s="419" t="str">
        <x:v>2026-07-30</x:v>
      </x:c>
      <x:c r="P7" s="419" t="str">
        <x:v>Model detail intentionally limited to exposed claims.</x:v>
      </x:c>
    </x:row>
    <x:row r="8">
      <x:c r="A8" s="419" t="str">
        <x:v>HAR-OBJ-0004</x:v>
      </x:c>
      <x:c r="B8" s="419" t="str">
        <x:v>Catalog model page</x:v>
      </x:c>
      <x:c r="C8" s="419" t="str">
        <x:v>1990 Haro Group 1C</x:v>
      </x:c>
      <x:c r="D8" s="419" t="str">
        <x:v>1990</x:v>
      </x:c>
      <x:c r="E8" s="419" t="str">
        <x:v>Haro</x:v>
      </x:c>
      <x:c r="F8" s="419" t="str">
        <x:v>Enthusiast catalog reconstruction</x:v>
      </x:c>
      <x:c r="G8" s="419" t="str">
        <x:v>No exact BMXMuseum model-page ID established</x:v>
      </x:c>
      <x:c r="H8" s="419" t="str">
        <x:v>Model-year existence within the three-model Group 1 range.</x:v>
      </x:c>
      <x:c r="I8" s="419" t="str">
        <x:v>The 1990 overview explicitly names Group 1A, 1B and 1C; full page detail awaits direct comparison.</x:v>
      </x:c>
      <x:c r="J8" s="419" t="str">
        <x:v>MEDIUM-HIGH</x:v>
      </x:c>
      <x:c r="K8" s="419" t="str">
        <x:v>https://www.bmx-catalogue.com/haro/mid-school/1990/group-1c.html</x:v>
      </x:c>
      <x:c r="L8" s="419" t="str">
        <x:v>https://www.bmx-catalogue.com/haro/mid-school/1990/model.html</x:v>
      </x:c>
      <x:c r="M8" s="419" t="str">
        <x:v>INDEX-ONLY</x:v>
      </x:c>
      <x:c r="N8" s="419" t="str">
        <x:v>INCLUDED WITH ATTRIBUTION</x:v>
      </x:c>
      <x:c r="O8" s="419" t="str">
        <x:v>2026-07-30</x:v>
      </x:c>
      <x:c r="P8" s="419" t="str">
        <x:v>Keep Group 1 variants as distinct objects.</x:v>
      </x:c>
    </x:row>
    <x:row r="9">
      <x:c r="A9" s="419" t="str">
        <x:v>HAR-OBJ-0005</x:v>
      </x:c>
      <x:c r="B9" s="419" t="str">
        <x:v>Catalog model page</x:v>
      </x:c>
      <x:c r="C9" s="419" t="str">
        <x:v>1990 Haro Master / Team Master</x:v>
      </x:c>
      <x:c r="D9" s="419" t="str">
        <x:v>1990</x:v>
      </x:c>
      <x:c r="E9" s="419" t="str">
        <x:v>Haro</x:v>
      </x:c>
      <x:c r="F9" s="419" t="str">
        <x:v>Enthusiast catalog reconstruction</x:v>
      </x:c>
      <x:c r="G9" s="419" t="str">
        <x:v>No exact BMXMuseum model-page ID established</x:v>
      </x:c>
      <x:c r="H9" s="419" t="str">
        <x:v>Master model-year existence, refined bashguard/longer wheelbase claims, colors and limited Team Master availability.</x:v>
      </x:c>
      <x:c r="I9" s="419" t="str">
        <x:v>Claims come from a recreated catalog page; verify wording and availability against the official PDF.</x:v>
      </x:c>
      <x:c r="J9" s="419" t="str">
        <x:v>MEDIUM-HIGH</x:v>
      </x:c>
      <x:c r="K9" s="419" t="str">
        <x:v>https://www.bmx-catalogue.com/haro/mid-school/1990/master.html</x:v>
      </x:c>
      <x:c r="L9" s="419" t="str">
        <x:v>https://archive.harobikes.com/bmx</x:v>
      </x:c>
      <x:c r="M9" s="419" t="str">
        <x:v>INDEX-ONLY</x:v>
      </x:c>
      <x:c r="N9" s="419" t="str">
        <x:v>INCLUDED WITH ATTRIBUTION</x:v>
      </x:c>
      <x:c r="O9" s="419" t="str">
        <x:v>2026-07-30</x:v>
      </x:c>
      <x:c r="P9" s="419" t="str">
        <x:v>Master and Team Master remain linked but separately identifiable variants.</x:v>
      </x:c>
    </x:row>
    <x:row r="10">
      <x:c r="A10" s="419" t="str">
        <x:v>HAR-OBJ-0006</x:v>
      </x:c>
      <x:c r="B10" s="419" t="str">
        <x:v>Catalog model page</x:v>
      </x:c>
      <x:c r="C10" s="419" t="str">
        <x:v>1990 Haro Invert</x:v>
      </x:c>
      <x:c r="D10" s="419" t="str">
        <x:v>1990</x:v>
      </x:c>
      <x:c r="E10" s="419" t="str">
        <x:v>Haro</x:v>
      </x:c>
      <x:c r="F10" s="419" t="str">
        <x:v>Enthusiast catalog reconstruction</x:v>
      </x:c>
      <x:c r="G10" s="419" t="str">
        <x:v>No exact BMXMuseum model-page ID established</x:v>
      </x:c>
      <x:c r="H10" s="419" t="str">
        <x:v>Model-year existence, relation to Sport geometry and selected equipment.</x:v>
      </x:c>
      <x:c r="I10" s="419" t="str">
        <x:v>Reconstruction should be compared against official scan before exact-copy or specification claims are elevated.</x:v>
      </x:c>
      <x:c r="J10" s="419" t="str">
        <x:v>MEDIUM-HIGH</x:v>
      </x:c>
      <x:c r="K10" s="419" t="str">
        <x:v>https://www.bmx-catalogue.com/haro/mid-school/1990/invert.html</x:v>
      </x:c>
      <x:c r="L10" s="419" t="str">
        <x:v>https://archive.harobikes.com/bmx</x:v>
      </x:c>
      <x:c r="M10" s="419" t="str">
        <x:v>INDEX-ONLY</x:v>
      </x:c>
      <x:c r="N10" s="419" t="str">
        <x:v>INCLUDED WITH ATTRIBUTION</x:v>
      </x:c>
      <x:c r="O10" s="419" t="str">
        <x:v>2026-07-30</x:v>
      </x:c>
      <x:c r="P10" s="419" t="str">
        <x:v>Paraphrase only.</x:v>
      </x:c>
    </x:row>
    <x:row r="11">
      <x:c r="A11" s="419" t="str">
        <x:v>HAR-OBJ-0007</x:v>
      </x:c>
      <x:c r="B11" s="419" t="str">
        <x:v>Catalog model list</x:v>
      </x:c>
      <x:c r="C11" s="419" t="str">
        <x:v>1990 Haro Shredder</x:v>
      </x:c>
      <x:c r="D11" s="419" t="str">
        <x:v>1990</x:v>
      </x:c>
      <x:c r="E11" s="419" t="str">
        <x:v>Haro</x:v>
      </x:c>
      <x:c r="F11" s="419" t="str">
        <x:v>Indexed enthusiast model registry</x:v>
      </x:c>
      <x:c r="G11" s="419" t="str">
        <x:v>No exact BMXMuseum model-page ID established</x:v>
      </x:c>
      <x:c r="H11" s="419" t="str">
        <x:v>Model-year existence and broad freestyle/street/track classification.</x:v>
      </x:c>
      <x:c r="I11" s="419" t="str">
        <x:v>The advanced registry lists the model, but a dedicated catalog page was not recovered in this pass.</x:v>
      </x:c>
      <x:c r="J11" s="419" t="str">
        <x:v>MEDIUM</x:v>
      </x:c>
      <x:c r="K11" s="419" t="str">
        <x:v>https://www.bmx-catalogue.com/advanced-search.html</x:v>
      </x:c>
      <x:c r="L11" s="419" t="str">
        <x:v>https://archive.harobikes.com/bmx</x:v>
      </x:c>
      <x:c r="M11" s="419" t="str">
        <x:v>INDEX-ONLY</x:v>
      </x:c>
      <x:c r="N11" s="419" t="str">
        <x:v>OPEN — locate original catalog page</x:v>
      </x:c>
      <x:c r="O11" s="419" t="str">
        <x:v>2026-07-30</x:v>
      </x:c>
      <x:c r="P11" s="419" t="str">
        <x:v>Do not infer complete specification.</x:v>
      </x:c>
    </x:row>
    <x:row r="12">
      <x:c r="A12" s="419" t="str">
        <x:v>HAR-OBJ-0008</x:v>
      </x:c>
      <x:c r="B12" s="419" t="str">
        <x:v>Catalog mailer / advertisement</x:v>
      </x:c>
      <x:c r="C12" s="419" t="str">
        <x:v>1991 Haro/Fusion catalog offer</x:v>
      </x:c>
      <x:c r="D12" s="419" t="str">
        <x:v>1991 catalog; ad in Nov 1991</x:v>
      </x:c>
      <x:c r="E12" s="419" t="str">
        <x:v>Haro; Fusion</x:v>
      </x:c>
      <x:c r="F12" s="419" t="str">
        <x:v>Independent period publication</x:v>
      </x:c>
      <x:c r="G12" s="419" t="str">
        <x:v>Not a BMXMuseum object in this pass</x:v>
      </x:c>
      <x:c r="H12" s="419" t="str">
        <x:v>Catalog distribution mechanism, $2 mailer price, Haro/Fusion relationship and distributor context.</x:v>
      </x:c>
      <x:c r="I12" s="419" t="str">
        <x:v>Period publication exposes the offer; retain as promotional ephemera, not as the catalog itself.</x:v>
      </x:c>
      <x:c r="J12" s="419" t="str">
        <x:v>HIGH for offer</x:v>
      </x:c>
      <x:c r="K12" s="419" t="str">
        <x:v>https://www.previouspage.co.uk/issues/131-november-nineteen-ninety-one</x:v>
      </x:c>
      <x:c r="L12" s="419" t="str">
        <x:v>https://archive.harobikes.com/bmx</x:v>
      </x:c>
      <x:c r="M12" s="419" t="str">
        <x:v>INDEX-ONLY</x:v>
      </x:c>
      <x:c r="N12" s="419" t="str">
        <x:v>INCLUDED — mailer object</x:v>
      </x:c>
      <x:c r="O12" s="419" t="str">
        <x:v>2026-07-30</x:v>
      </x:c>
      <x:c r="P12" s="419" t="str">
        <x:v>Catalog fee is not a bicycle price.</x:v>
      </x:c>
    </x:row>
  </x:sheetData>
  <x:mergeCells>
    <x:mergeCell ref="A1:P1"/>
    <x:mergeCell ref="A2:P2"/>
  </x:mergeCells>
  <x:pageMargins left="0.7" right="0.7" top="0.75" bottom="0.75" header="0.3" footer="0.3"/>
  <x:tableParts count="1">
    <x:tablePart xmlns:r="http://schemas.openxmlformats.org/officeDocument/2006/relationships" r:id="Re7e7554cd4514e0f"/>
  </x:tableParts>
</x:worksheet>
</file>

<file path=xl/worksheets/sheet38.xml><?xml version="1.0" encoding="utf-8"?>
<x:worksheet xmlns:x="http://schemas.openxmlformats.org/spreadsheetml/2006/main">
  <x:sheetFormatPr defaultRowHeight="15"/>
  <x:cols>
    <x:col min="1" max="1" width="16" hidden="0" customWidth="1"/>
    <x:col min="2" max="2" width="24" hidden="0" customWidth="1"/>
    <x:col min="3" max="3" width="34" hidden="0" customWidth="1"/>
    <x:col min="4" max="4" width="22" hidden="0" customWidth="1"/>
    <x:col min="5" max="5" width="18" hidden="0" customWidth="1"/>
    <x:col min="6" max="6" width="24" hidden="0" customWidth="1"/>
    <x:col min="7" max="7" width="26" hidden="0" customWidth="1"/>
    <x:col min="8" max="8" width="36" hidden="0" customWidth="1"/>
    <x:col min="9" max="9" width="42" hidden="0" customWidth="1"/>
    <x:col min="10" max="10" width="17" hidden="0" customWidth="1"/>
    <x:col min="11" max="11" width="34" hidden="0" customWidth="1"/>
    <x:col min="12" max="12" width="34" hidden="0" customWidth="1"/>
    <x:col min="13" max="13" width="16" hidden="0" customWidth="1"/>
    <x:col min="14" max="14" width="29" hidden="0" customWidth="1"/>
    <x:col min="15" max="15" width="13" hidden="0" customWidth="1"/>
    <x:col min="16" max="16" width="35" hidden="0" customWidth="1"/>
  </x:cols>
  <x:sheetData>
    <x:row r="1" ht="30" customHeight="1">
      <x:c r="A1" s="404" t="str">
        <x:v>v0.7 — Ashtabula Exact-Reference &amp; Corroboration Register</x:v>
      </x:c>
    </x:row>
    <x:row r="2" ht="34" customHeight="1">
      <x:c r="A2" s="408" t="str">
        <x:v>Reference 5027 is exact. Date, page-level specifications and cross-brand catalog claims retain their own confidence.</x:v>
      </x:c>
    </x:row>
    <x:row r="4" ht="34" customHeight="1">
      <x:c r="A4" s="414" t="str">
        <x:v>Object ID</x:v>
      </x:c>
      <x:c r="B4" s="414" t="str">
        <x:v>Object Type</x:v>
      </x:c>
      <x:c r="C4" s="414" t="str">
        <x:v>Title / Subject</x:v>
      </x:c>
      <x:c r="D4" s="414" t="str">
        <x:v>Year / Date</x:v>
      </x:c>
      <x:c r="E4" s="414" t="str">
        <x:v>Brand</x:v>
      </x:c>
      <x:c r="F4" s="414" t="str">
        <x:v>Exact Reference</x:v>
      </x:c>
      <x:c r="G4" s="414" t="str">
        <x:v>Evidence Class</x:v>
      </x:c>
      <x:c r="H4" s="414" t="str">
        <x:v>What It Can Verify</x:v>
      </x:c>
      <x:c r="I4" s="414" t="str">
        <x:v>Evidence / Limitation</x:v>
      </x:c>
      <x:c r="J4" s="414" t="str">
        <x:v>Confidence</x:v>
      </x:c>
      <x:c r="K4" s="414" t="str">
        <x:v>Primary Source URL</x:v>
      </x:c>
      <x:c r="L4" s="414" t="str">
        <x:v>Corroborating Source URL</x:v>
      </x:c>
      <x:c r="M4" s="414" t="str">
        <x:v>Rights Code</x:v>
      </x:c>
      <x:c r="N4" s="414" t="str">
        <x:v>Research Status</x:v>
      </x:c>
      <x:c r="O4" s="414" t="str">
        <x:v>Accessed</x:v>
      </x:c>
      <x:c r="P4" s="414" t="str">
        <x:v>Notes</x:v>
      </x:c>
    </x:row>
    <x:row r="5">
      <x:c r="A5" s="419" t="str">
        <x:v>ASH-OBJ-0001</x:v>
      </x:c>
      <x:c r="B5" s="419" t="str">
        <x:v>Component catalog</x:v>
      </x:c>
      <x:c r="C5" s="419" t="str">
        <x:v>Ashtabula component catalog</x:v>
      </x:c>
      <x:c r="D5" s="419" t="str">
        <x:v>circa 1977; date provisional</x:v>
      </x:c>
      <x:c r="E5" s="419" t="str">
        <x:v>Ashtabula</x:v>
      </x:c>
      <x:c r="F5" s="419" t="str">
        <x:v>BMXMuseum reference 5027</x:v>
      </x:c>
      <x:c r="G5" s="419" t="str">
        <x:v>EXACT EXTERNAL DIRECT LINK</x:v>
      </x:c>
      <x:c r="H5" s="419" t="str">
        <x:v>Catalog-object identity and a period component range.</x:v>
      </x:c>
      <x:c r="I5" s="419" t="str">
        <x:v>Two technical discussions independently cite reference 5027; the edition date remains approximate.</x:v>
      </x:c>
      <x:c r="J5" s="419" t="str">
        <x:v>HIGH for ID; MEDIUM for date</x:v>
      </x:c>
      <x:c r="K5" s="419" t="str">
        <x:v>https://bmxmuseum.com/reference/5027</x:v>
      </x:c>
      <x:c r="L5" s="419" t="str">
        <x:v>https://thecabe.com/forum/threads/ashtabula-fork-identification-help.253603/</x:v>
      </x:c>
      <x:c r="M5" s="419" t="str">
        <x:v>INDEX-ONLY</x:v>
      </x:c>
      <x:c r="N5" s="419" t="str">
        <x:v>EXACT ID RECOVERED</x:v>
      </x:c>
      <x:c r="O5" s="419" t="str">
        <x:v>2026-07-30</x:v>
      </x:c>
      <x:c r="P5" s="419" t="str">
        <x:v>Canonical link preserved without direct blocked-path retrieval.</x:v>
      </x:c>
    </x:row>
    <x:row r="6">
      <x:c r="A6" s="419" t="str">
        <x:v>ASH-OBJ-0002</x:v>
      </x:c>
      <x:c r="B6" s="419" t="str">
        <x:v>Catalog claim</x:v>
      </x:c>
      <x:c r="C6" s="419" t="str">
        <x:v>Ashtabula crank length range</x:v>
      </x:c>
      <x:c r="D6" s="419" t="str">
        <x:v>circa 1977; interpretation</x:v>
      </x:c>
      <x:c r="E6" s="419" t="str">
        <x:v>Ashtabula</x:v>
      </x:c>
      <x:c r="F6" s="419" t="str">
        <x:v>Derived from reference 5027 discussion</x:v>
      </x:c>
      <x:c r="G6" s="419" t="str">
        <x:v>EXTERNAL TECHNICAL INTERPRETATION</x:v>
      </x:c>
      <x:c r="H6" s="419" t="str">
        <x:v>A discussion reports catalog cranks up to 6-1/2 inches.</x:v>
      </x:c>
      <x:c r="I6" s="419" t="str">
        <x:v>This is an externally interpreted catalog fact, not direct page transcription in this research route.</x:v>
      </x:c>
      <x:c r="J6" s="419" t="str">
        <x:v>MEDIUM</x:v>
      </x:c>
      <x:c r="K6" s="419" t="str">
        <x:v>https://thecabe.com/forum/threads/ashtabula-fork-identification-help.253603/</x:v>
      </x:c>
      <x:c r="L6" s="419" t="str">
        <x:v>https://bmxmuseum.com/reference/5027</x:v>
      </x:c>
      <x:c r="M6" s="419" t="str">
        <x:v>INDEX-ONLY</x:v>
      </x:c>
      <x:c r="N6" s="419" t="str">
        <x:v>INCLUDED WITH ATTRIBUTION</x:v>
      </x:c>
      <x:c r="O6" s="419" t="str">
        <x:v>2026-07-30</x:v>
      </x:c>
      <x:c r="P6" s="419" t="str">
        <x:v>Verify page image when lawful access is available.</x:v>
      </x:c>
    </x:row>
    <x:row r="7">
      <x:c r="A7" s="419" t="str">
        <x:v>ASH-OBJ-0003</x:v>
      </x:c>
      <x:c r="B7" s="419" t="str">
        <x:v>Catalog claim</x:v>
      </x:c>
      <x:c r="C7" s="419" t="str">
        <x:v>Ashtabula fork sizing and 6-3/4-inch steerer discussion</x:v>
      </x:c>
      <x:c r="D7" s="419" t="str">
        <x:v>circa 1977; interpretation</x:v>
      </x:c>
      <x:c r="E7" s="419" t="str">
        <x:v>Ashtabula</x:v>
      </x:c>
      <x:c r="F7" s="419" t="str">
        <x:v>Derived from reference 5027 discussion</x:v>
      </x:c>
      <x:c r="G7" s="419" t="str">
        <x:v>EXTERNAL TECHNICAL INTERPRETATION</x:v>
      </x:c>
      <x:c r="H7" s="419" t="str">
        <x:v>A discussion describes fork offerings across wheel sizes and a 6-3/4-inch steerer.</x:v>
      </x:c>
      <x:c r="I7" s="419" t="str">
        <x:v>Technical interpretation depends on the cited discussion; retain attribution and do not generalize beyond the described page.</x:v>
      </x:c>
      <x:c r="J7" s="419" t="str">
        <x:v>MEDIUM</x:v>
      </x:c>
      <x:c r="K7" s="419" t="str">
        <x:v>https://thecabe.com/forum/threads/ashtabula-fork-identification-help.253603/</x:v>
      </x:c>
      <x:c r="L7" s="419" t="str">
        <x:v>https://bmxmuseum.com/reference/5027</x:v>
      </x:c>
      <x:c r="M7" s="419" t="str">
        <x:v>INDEX-ONLY</x:v>
      </x:c>
      <x:c r="N7" s="419" t="str">
        <x:v>INCLUDED WITH ATTRIBUTION</x:v>
      </x:c>
      <x:c r="O7" s="419" t="str">
        <x:v>2026-07-30</x:v>
      </x:c>
      <x:c r="P7" s="419" t="str">
        <x:v>Ground-clearance rationale is an interpreted claim.</x:v>
      </x:c>
    </x:row>
    <x:row r="8">
      <x:c r="A8" s="419" t="str">
        <x:v>ASH-OBJ-0004</x:v>
      </x:c>
      <x:c r="B8" s="419" t="str">
        <x:v>Manufacturer/distributor catalog page</x:v>
      </x:c>
      <x:c r="C8" s="419" t="str">
        <x:v>Mongoose 1979/80 catalog — Ashtabula one-piece cranks</x:v>
      </x:c>
      <x:c r="D8" s="419" t="str">
        <x:v>1979/80</x:v>
      </x:c>
      <x:c r="E8" s="419" t="str">
        <x:v>Mongoose; Ashtabula</x:v>
      </x:c>
      <x:c r="F8" s="419" t="str">
        <x:v>Independent period PDF</x:v>
      </x:c>
      <x:c r="G8" s="419" t="str">
        <x:v>PERIOD CATALOG PAGE</x:v>
      </x:c>
      <x:c r="H8" s="419" t="str">
        <x:v>5-1/2-inch and 6-1/2-inch Ashtabula one-piece crank offerings within the Mongoose component catalog.</x:v>
      </x:c>
      <x:c r="I8" s="419" t="str">
        <x:v>Page image was inspected in this research sequence. It corroborates product presence, not the edition/date of reference 5027.</x:v>
      </x:c>
      <x:c r="J8" s="419" t="str">
        <x:v>HIGH</x:v>
      </x:c>
      <x:c r="K8" s="419" t="str">
        <x:v>https://www.vintagemongoose.com/pdfs/mongoose_cat79-80.pdf</x:v>
      </x:c>
      <x:c r="L8" s="419" t="str">
        <x:v>https://www.vintagemongoose.com/info/catalogs.php</x:v>
      </x:c>
      <x:c r="M8" s="419" t="str">
        <x:v>INDEX-ONLY</x:v>
      </x:c>
      <x:c r="N8" s="419" t="str">
        <x:v>INCLUDED — visual page inspected</x:v>
      </x:c>
      <x:c r="O8" s="419" t="str">
        <x:v>2026-07-30</x:v>
      </x:c>
      <x:c r="P8" s="419" t="str">
        <x:v>Do not copy the catalog page into the register.</x:v>
      </x:c>
    </x:row>
    <x:row r="9">
      <x:c r="A9" s="419" t="str">
        <x:v>ASH-OBJ-0005</x:v>
      </x:c>
      <x:c r="B9" s="419" t="str">
        <x:v>Manufacturer/distributor catalog page</x:v>
      </x:c>
      <x:c r="C9" s="419" t="str">
        <x:v>Mongoose 1976–77 accessories — Ashtabula/Cecor pedals</x:v>
      </x:c>
      <x:c r="D9" s="419" t="str">
        <x:v>1976–77</x:v>
      </x:c>
      <x:c r="E9" s="419" t="str">
        <x:v>Mongoose; Ashtabula/Cecor</x:v>
      </x:c>
      <x:c r="F9" s="419" t="str">
        <x:v>Independent period PDF</x:v>
      </x:c>
      <x:c r="G9" s="419" t="str">
        <x:v>PERIOD CATALOG PAGE</x:v>
      </x:c>
      <x:c r="H9" s="419" t="str">
        <x:v>Ashtabula/Cecor pedal listing alongside early BMX components.</x:v>
      </x:c>
      <x:c r="I9" s="419" t="str">
        <x:v>Page image was inspected; exact OEM/branding relationship requires separate corporate verification.</x:v>
      </x:c>
      <x:c r="J9" s="419" t="str">
        <x:v>MEDIUM-HIGH</x:v>
      </x:c>
      <x:c r="K9" s="419" t="str">
        <x:v>https://www.vintagemongoose.com/pdfs/mongoose_cat76-77.pdf</x:v>
      </x:c>
      <x:c r="L9" s="419" t="str">
        <x:v>https://www.vintagemongoose.com/info/catalogs.php</x:v>
      </x:c>
      <x:c r="M9" s="419" t="str">
        <x:v>INDEX-ONLY</x:v>
      </x:c>
      <x:c r="N9" s="419" t="str">
        <x:v>INCLUDED — visual page inspected</x:v>
      </x:c>
      <x:c r="O9" s="419" t="str">
        <x:v>2026-07-30</x:v>
      </x:c>
      <x:c r="P9" s="419" t="str">
        <x:v>Record product listing without claiming manufacturing origin.</x:v>
      </x:c>
    </x:row>
  </x:sheetData>
  <x:mergeCells>
    <x:mergeCell ref="A1:P1"/>
    <x:mergeCell ref="A2:P2"/>
  </x:mergeCells>
  <x:pageMargins left="0.7" right="0.7" top="0.75" bottom="0.75" header="0.3" footer="0.3"/>
  <x:tableParts count="1">
    <x:tablePart xmlns:r="http://schemas.openxmlformats.org/officeDocument/2006/relationships" r:id="Rc4d129177c824de0"/>
  </x:tableParts>
</x:worksheet>
</file>

<file path=xl/worksheets/sheet39.xml><?xml version="1.0" encoding="utf-8"?>
<x:worksheet xmlns:x="http://schemas.openxmlformats.org/spreadsheetml/2006/main">
  <x:sheetFormatPr defaultRowHeight="15"/>
  <x:cols>
    <x:col min="1" max="1" width="18" hidden="0" customWidth="1"/>
    <x:col min="2" max="2" width="17" hidden="0" customWidth="1"/>
    <x:col min="3" max="3" width="13" hidden="0" customWidth="1"/>
    <x:col min="4" max="4" width="24" hidden="0" customWidth="1"/>
    <x:col min="5" max="5" width="20" hidden="0" customWidth="1"/>
    <x:col min="6" max="6" width="14" hidden="0" customWidth="1"/>
    <x:col min="7" max="7" width="13" hidden="0" customWidth="1"/>
    <x:col min="8" max="8" width="13" hidden="0" customWidth="1"/>
    <x:col min="9" max="9" width="15" hidden="0" customWidth="1"/>
    <x:col min="10" max="10" width="28" hidden="0" customWidth="1"/>
    <x:col min="11" max="11" width="24" hidden="0" customWidth="1"/>
    <x:col min="12" max="12" width="23" hidden="0" customWidth="1"/>
    <x:col min="13" max="13" width="22" hidden="0" customWidth="1"/>
    <x:col min="14" max="14" width="16" hidden="0" customWidth="1"/>
    <x:col min="15" max="15" width="34" hidden="0" customWidth="1"/>
    <x:col min="16" max="16" width="16" hidden="0" customWidth="1"/>
    <x:col min="17" max="17" width="34" hidden="0" customWidth="1"/>
    <x:col min="18" max="18" width="13" hidden="0" customWidth="1"/>
  </x:cols>
  <x:sheetData>
    <x:row r="1" ht="30" customHeight="1">
      <x:c r="A1" s="404" t="str">
        <x:v>v0.7 — Haro Price &amp; Mailer Context</x:v>
      </x:c>
    </x:row>
    <x:row r="2" ht="34" customHeight="1">
      <x:c r="A2" s="408" t="str">
        <x:v>Period retailer bicycle prices and a catalog request fee are preserved as different price types.</x:v>
      </x:c>
    </x:row>
    <x:row r="4" ht="34" customHeight="1">
      <x:c r="A4" s="414" t="str">
        <x:v>Price Observation ID</x:v>
      </x:c>
      <x:c r="B4" s="414" t="str">
        <x:v>Source Object ID</x:v>
      </x:c>
      <x:c r="C4" s="414" t="str">
        <x:v>Brand</x:v>
      </x:c>
      <x:c r="D4" s="414" t="str">
        <x:v>Product / Model</x:v>
      </x:c>
      <x:c r="E4" s="414" t="str">
        <x:v>Product Type</x:v>
      </x:c>
      <x:c r="F4" s="414" t="str">
        <x:v>Issue / Year</x:v>
      </x:c>
      <x:c r="G4" s="414" t="str">
        <x:v>Price Numeric</x:v>
      </x:c>
      <x:c r="H4" s="414" t="str">
        <x:v>Currency</x:v>
      </x:c>
      <x:c r="I4" s="414" t="str">
        <x:v>Displayed Price</x:v>
      </x:c>
      <x:c r="J4" s="414" t="str">
        <x:v>Price Basis</x:v>
      </x:c>
      <x:c r="K4" s="414" t="str">
        <x:v>Geography / Context</x:v>
      </x:c>
      <x:c r="L4" s="414" t="str">
        <x:v>Source Type</x:v>
      </x:c>
      <x:c r="M4" s="414" t="str">
        <x:v>Directness</x:v>
      </x:c>
      <x:c r="N4" s="414" t="str">
        <x:v>Confidence</x:v>
      </x:c>
      <x:c r="O4" s="414" t="str">
        <x:v>Source URL</x:v>
      </x:c>
      <x:c r="P4" s="414" t="str">
        <x:v>Rights Code</x:v>
      </x:c>
      <x:c r="Q4" s="414" t="str">
        <x:v>Normalization Note</x:v>
      </x:c>
      <x:c r="R4" s="414" t="str">
        <x:v>Accessed</x:v>
      </x:c>
    </x:row>
    <x:row r="5">
      <x:c r="A5" s="419" t="str">
        <x:v>HAR-PR-0001</x:v>
      </x:c>
      <x:c r="B5" s="419" t="str">
        <x:v>GTD-OBJ-0004</x:v>
      </x:c>
      <x:c r="C5" s="419" t="str">
        <x:v>Haro</x:v>
      </x:c>
      <x:c r="D5" s="419" t="str">
        <x:v>Shredder</x:v>
      </x:c>
      <x:c r="E5" s="419" t="str">
        <x:v>Complete bicycle</x:v>
      </x:c>
      <x:c r="F5" s="419" t="str">
        <x:v>Aug 1987</x:v>
      </x:c>
      <x:c r="G5" s="420" t="n">
        <x:v>169</x:v>
      </x:c>
      <x:c r="H5" s="419" t="str">
        <x:v>USD</x:v>
      </x:c>
      <x:c r="I5" s="419" t="str">
        <x:v>$169</x:v>
      </x:c>
      <x:c r="J5" s="419" t="str">
        <x:v>Advertised retailer/mail-order price</x:v>
      </x:c>
      <x:c r="K5" s="419" t="str">
        <x:v>United States publication context</x:v>
      </x:c>
      <x:c r="L5" s="419" t="str">
        <x:v>Period retailer advertisement</x:v>
      </x:c>
      <x:c r="M5" s="419" t="str">
        <x:v>Direct text/OCR; clear pair</x:v>
      </x:c>
      <x:c r="N5" s="419" t="str">
        <x:v>MEDIUM-HIGH</x:v>
      </x:c>
      <x:c r="O5" s="419" t="str">
        <x:v>https://previouspage.co.uk/issues/245-august-nineteen-eighty-seven</x:v>
      </x:c>
      <x:c r="P5" s="419" t="str">
        <x:v>INDEX-ONLY</x:v>
      </x:c>
      <x:c r="Q5" s="419" t="str">
        <x:v>Pre-1990 benchmark; not catalog MSRP.</x:v>
      </x:c>
      <x:c r="R5" s="419" t="str">
        <x:v>2026-07-30</x:v>
      </x:c>
    </x:row>
    <x:row r="6">
      <x:c r="A6" s="419" t="str">
        <x:v>HAR-PR-0002</x:v>
      </x:c>
      <x:c r="B6" s="419" t="str">
        <x:v>GTD-OBJ-0004</x:v>
      </x:c>
      <x:c r="C6" s="419" t="str">
        <x:v>Haro</x:v>
      </x:c>
      <x:c r="D6" s="419" t="str">
        <x:v>Invert</x:v>
      </x:c>
      <x:c r="E6" s="419" t="str">
        <x:v>Complete bicycle</x:v>
      </x:c>
      <x:c r="F6" s="419" t="str">
        <x:v>Aug 1987</x:v>
      </x:c>
      <x:c r="G6" s="420" t="n">
        <x:v>219</x:v>
      </x:c>
      <x:c r="H6" s="419" t="str">
        <x:v>USD</x:v>
      </x:c>
      <x:c r="I6" s="419" t="str">
        <x:v>$219</x:v>
      </x:c>
      <x:c r="J6" s="419" t="str">
        <x:v>Advertised retailer/mail-order price</x:v>
      </x:c>
      <x:c r="K6" s="419" t="str">
        <x:v>United States publication context</x:v>
      </x:c>
      <x:c r="L6" s="419" t="str">
        <x:v>Period retailer advertisement</x:v>
      </x:c>
      <x:c r="M6" s="419" t="str">
        <x:v>Direct text/OCR; clear pair</x:v>
      </x:c>
      <x:c r="N6" s="419" t="str">
        <x:v>MEDIUM-HIGH</x:v>
      </x:c>
      <x:c r="O6" s="419" t="str">
        <x:v>https://previouspage.co.uk/issues/245-august-nineteen-eighty-seven</x:v>
      </x:c>
      <x:c r="P6" s="419" t="str">
        <x:v>INDEX-ONLY</x:v>
      </x:c>
      <x:c r="Q6" s="419" t="str">
        <x:v>Pre-1990 benchmark; not catalog MSRP.</x:v>
      </x:c>
      <x:c r="R6" s="419" t="str">
        <x:v>2026-07-30</x:v>
      </x:c>
    </x:row>
    <x:row r="7">
      <x:c r="A7" s="419" t="str">
        <x:v>HAR-PR-0003</x:v>
      </x:c>
      <x:c r="B7" s="419" t="str">
        <x:v>GTD-OBJ-0004</x:v>
      </x:c>
      <x:c r="C7" s="419" t="str">
        <x:v>Haro</x:v>
      </x:c>
      <x:c r="D7" s="419" t="str">
        <x:v>Master</x:v>
      </x:c>
      <x:c r="E7" s="419" t="str">
        <x:v>Complete bicycle</x:v>
      </x:c>
      <x:c r="F7" s="419" t="str">
        <x:v>Aug 1987</x:v>
      </x:c>
      <x:c r="G7" s="420" t="n">
        <x:v>309</x:v>
      </x:c>
      <x:c r="H7" s="419" t="str">
        <x:v>USD</x:v>
      </x:c>
      <x:c r="I7" s="419" t="str">
        <x:v>$309</x:v>
      </x:c>
      <x:c r="J7" s="419" t="str">
        <x:v>Advertised retailer/mail-order price</x:v>
      </x:c>
      <x:c r="K7" s="419" t="str">
        <x:v>United States publication context</x:v>
      </x:c>
      <x:c r="L7" s="419" t="str">
        <x:v>Period retailer advertisement</x:v>
      </x:c>
      <x:c r="M7" s="419" t="str">
        <x:v>Direct text/OCR; clear pair</x:v>
      </x:c>
      <x:c r="N7" s="419" t="str">
        <x:v>MEDIUM-HIGH</x:v>
      </x:c>
      <x:c r="O7" s="419" t="str">
        <x:v>https://previouspage.co.uk/issues/245-august-nineteen-eighty-seven</x:v>
      </x:c>
      <x:c r="P7" s="419" t="str">
        <x:v>INDEX-ONLY</x:v>
      </x:c>
      <x:c r="Q7" s="419" t="str">
        <x:v>Pre-1990 benchmark; not catalog MSRP.</x:v>
      </x:c>
      <x:c r="R7" s="419" t="str">
        <x:v>2026-07-30</x:v>
      </x:c>
    </x:row>
    <x:row r="8">
      <x:c r="A8" s="419" t="str">
        <x:v>HAR-PR-0004</x:v>
      </x:c>
      <x:c r="B8" s="419" t="str">
        <x:v>GTD-OBJ-0004</x:v>
      </x:c>
      <x:c r="C8" s="419" t="str">
        <x:v>Haro</x:v>
      </x:c>
      <x:c r="D8" s="419" t="str">
        <x:v>Team Master</x:v>
      </x:c>
      <x:c r="E8" s="419" t="str">
        <x:v>Complete bicycle</x:v>
      </x:c>
      <x:c r="F8" s="419" t="str">
        <x:v>Aug 1987</x:v>
      </x:c>
      <x:c r="G8" s="420" t="n">
        <x:v>529</x:v>
      </x:c>
      <x:c r="H8" s="419" t="str">
        <x:v>USD</x:v>
      </x:c>
      <x:c r="I8" s="419" t="str">
        <x:v>$529</x:v>
      </x:c>
      <x:c r="J8" s="419" t="str">
        <x:v>Advertised retailer/mail-order price</x:v>
      </x:c>
      <x:c r="K8" s="419" t="str">
        <x:v>United States publication context</x:v>
      </x:c>
      <x:c r="L8" s="419" t="str">
        <x:v>Period retailer advertisement</x:v>
      </x:c>
      <x:c r="M8" s="419" t="str">
        <x:v>Direct text/OCR; clear pair</x:v>
      </x:c>
      <x:c r="N8" s="419" t="str">
        <x:v>MEDIUM-HIGH</x:v>
      </x:c>
      <x:c r="O8" s="419" t="str">
        <x:v>https://previouspage.co.uk/issues/245-august-nineteen-eighty-seven</x:v>
      </x:c>
      <x:c r="P8" s="419" t="str">
        <x:v>INDEX-ONLY</x:v>
      </x:c>
      <x:c r="Q8" s="419" t="str">
        <x:v>Pre-1990 benchmark; not catalog MSRP.</x:v>
      </x:c>
      <x:c r="R8" s="419" t="str">
        <x:v>2026-07-30</x:v>
      </x:c>
    </x:row>
    <x:row r="9">
      <x:c r="A9" s="419" t="str">
        <x:v>HAR-PR-0005</x:v>
      </x:c>
      <x:c r="B9" s="419" t="str">
        <x:v>HAR-OBJ-0008</x:v>
      </x:c>
      <x:c r="C9" s="419" t="str">
        <x:v>Haro/Fusion</x:v>
      </x:c>
      <x:c r="D9" s="419" t="str">
        <x:v>1991 catalog mailer</x:v>
      </x:c>
      <x:c r="E9" s="419" t="str">
        <x:v>Catalog / information pack</x:v>
      </x:c>
      <x:c r="F9" s="419" t="str">
        <x:v>Nov 1991</x:v>
      </x:c>
      <x:c r="G9" s="420" t="n">
        <x:v>2</x:v>
      </x:c>
      <x:c r="H9" s="419" t="str">
        <x:v>USD</x:v>
      </x:c>
      <x:c r="I9" s="419" t="str">
        <x:v>$2</x:v>
      </x:c>
      <x:c r="J9" s="419" t="str">
        <x:v>Catalog request fee</x:v>
      </x:c>
      <x:c r="K9" s="419" t="str">
        <x:v>United States</x:v>
      </x:c>
      <x:c r="L9" s="419" t="str">
        <x:v>Period catalog mailer</x:v>
      </x:c>
      <x:c r="M9" s="419" t="str">
        <x:v>Direct indexed text</x:v>
      </x:c>
      <x:c r="N9" s="419" t="str">
        <x:v>HIGH</x:v>
      </x:c>
      <x:c r="O9" s="419" t="str">
        <x:v>https://www.previouspage.co.uk/issues/131-november-nineteen-ninety-one</x:v>
      </x:c>
      <x:c r="P9" s="419" t="str">
        <x:v>INDEX-ONLY</x:v>
      </x:c>
      <x:c r="Q9" s="419" t="str">
        <x:v>Catalog fee, not product price.</x:v>
      </x:c>
      <x:c r="R9" s="419" t="str">
        <x:v>2026-07-30</x:v>
      </x:c>
    </x:row>
  </x:sheetData>
  <x:mergeCells>
    <x:mergeCell ref="A1:R1"/>
    <x:mergeCell ref="A2:R2"/>
  </x:mergeCells>
  <x:pageMargins left="0.7" right="0.7" top="0.75" bottom="0.75" header="0.3" footer="0.3"/>
  <x:tableParts count="1">
    <x:tablePart xmlns:r="http://schemas.openxmlformats.org/officeDocument/2006/relationships" r:id="R5ddbfcfc8f124ee8"/>
  </x:tableParts>
</x:worksheet>
</file>

<file path=xl/worksheets/sheet40.xml><?xml version="1.0" encoding="utf-8"?>
<x:worksheet xmlns:x="http://schemas.openxmlformats.org/spreadsheetml/2006/main">
  <x:sheetFormatPr defaultRowHeight="15"/>
  <x:cols>
    <x:col min="1" max="1" width="25" hidden="0" customWidth="1"/>
    <x:col min="2" max="2" width="12" hidden="0" customWidth="1"/>
    <x:col min="3" max="3" width="38" hidden="0" customWidth="1"/>
    <x:col min="4" max="4" width="30" hidden="0" customWidth="1"/>
    <x:col min="5" max="5" width="23" hidden="0" customWidth="1"/>
    <x:col min="6" max="6" width="13" hidden="0" customWidth="1"/>
    <x:col min="7" max="7" width="34" hidden="0" customWidth="1"/>
    <x:col min="8" max="8" width="12" hidden="0" customWidth="1"/>
  </x:cols>
  <x:sheetData>
    <x:row r="1" ht="30" customHeight="1">
      <x:c r="A1" s="404" t="str">
        <x:v>v0.7 — Haro &amp; Ashtabula Dashboard</x:v>
      </x:c>
    </x:row>
    <x:row r="2" ht="34" customHeight="1">
      <x:c r="A2" s="408" t="str">
        <x:v>Second sequence stage: official Haro catalog existence, model-level discovery records, exact Ashtabula reference recovery and page-inspected corroboration.</x:v>
      </x:c>
    </x:row>
    <x:row r="4" ht="34" customHeight="1">
      <x:c r="A4" s="414" t="str">
        <x:v>Metric</x:v>
      </x:c>
      <x:c r="B4" s="414" t="str">
        <x:v>Count</x:v>
      </x:c>
      <x:c r="C4" s="414" t="str">
        <x:v>Outcome</x:v>
      </x:c>
      <x:c r="D4" s="414" t="str">
        <x:v>Determination</x:v>
      </x:c>
      <x:c r="E4" s="414" t="str">
        <x:v>Rights</x:v>
      </x:c>
      <x:c r="F4" s="414" t="str">
        <x:v>Status</x:v>
      </x:c>
      <x:c r="G4" s="414" t="str">
        <x:v>Next action</x:v>
      </x:c>
      <x:c r="H4" s="414" t="str">
        <x:v>Version</x:v>
      </x:c>
    </x:row>
    <x:row r="5">
      <x:c r="A5" s="419" t="str">
        <x:v>Haro records</x:v>
      </x:c>
      <x:c r="B5" s="419" t="n">
        <x:f>COUNTA('v0.7 Haro Objects'!A5:A100)</x:f>
        <x:v>8</x:v>
      </x:c>
      <x:c r="C5" s="419" t="str">
        <x:v>Official archive and secondary reconstructions remain source-distinct.</x:v>
      </x:c>
      <x:c r="D5" s="419" t="str">
        <x:v>8 objects.</x:v>
      </x:c>
      <x:c r="E5" s="419" t="str">
        <x:v>No scans copied.</x:v>
      </x:c>
      <x:c r="F5" s="419" t="str">
        <x:v>GREEN</x:v>
      </x:c>
      <x:c r="G5" s="419" t="str">
        <x:v>Compare model pages against official 1990 PDF.</x:v>
      </x:c>
      <x:c r="H5" s="419" t="str">
        <x:v>v0.7</x:v>
      </x:c>
    </x:row>
    <x:row r="6">
      <x:c r="A6" s="419" t="str">
        <x:v>Ashtabula records</x:v>
      </x:c>
      <x:c r="B6" s="419" t="n">
        <x:f>COUNTA('v0.7 Ashtabula'!A5:A100)</x:f>
        <x:v>5</x:v>
      </x:c>
      <x:c r="C6" s="419" t="str">
        <x:v>Reference 5027 is exact; specification claims remain attributed.</x:v>
      </x:c>
      <x:c r="D6" s="419" t="str">
        <x:v>5 objects.</x:v>
      </x:c>
      <x:c r="E6" s="419" t="str">
        <x:v>No canonical scan copied.</x:v>
      </x:c>
      <x:c r="F6" s="419" t="str">
        <x:v>GREEN</x:v>
      </x:c>
      <x:c r="G6" s="419" t="str">
        <x:v>Recover edition date and page structure.</x:v>
      </x:c>
      <x:c r="H6" s="419" t="str">
        <x:v>v0.7</x:v>
      </x:c>
    </x:row>
    <x:row r="7">
      <x:c r="A7" s="419" t="str">
        <x:v>Exact BMXMuseum IDs</x:v>
      </x:c>
      <x:c r="B7" s="419" t="n">
        <x:f>COUNTIF('v0.7 Ashtabula'!F5:F100,"BMXMuseum reference*")</x:f>
        <x:v>0</x:v>
      </x:c>
      <x:c r="C7" s="419" t="str">
        <x:v>Ashtabula reference 5027 remains the one recovered canonical ID in this stage.</x:v>
      </x:c>
      <x:c r="D7" s="419" t="str">
        <x:v>1 exact ID.</x:v>
      </x:c>
      <x:c r="E7" s="419" t="str">
        <x:v>No bypass.</x:v>
      </x:c>
      <x:c r="F7" s="419" t="str">
        <x:v>GREEN</x:v>
      </x:c>
      <x:c r="G7" s="419" t="str">
        <x:v>Seek exposed canonical links only.</x:v>
      </x:c>
      <x:c r="H7" s="419" t="str">
        <x:v>v0.7</x:v>
      </x:c>
    </x:row>
    <x:row r="8">
      <x:c r="A8" s="419" t="str">
        <x:v>Haro price context</x:v>
      </x:c>
      <x:c r="B8" s="419" t="n">
        <x:f>COUNTA('v0.7 Haro Price Context'!A5:A100)</x:f>
        <x:v>5</x:v>
      </x:c>
      <x:c r="C8" s="419" t="str">
        <x:v>Four 1987 retailer bike prices plus one 1991 catalog fee.</x:v>
      </x:c>
      <x:c r="D8" s="419" t="str">
        <x:v>5 observations.</x:v>
      </x:c>
      <x:c r="E8" s="419" t="str">
        <x:v>Price types separated.</x:v>
      </x:c>
      <x:c r="F8" s="419" t="str">
        <x:v>GREEN</x:v>
      </x:c>
      <x:c r="G8" s="419" t="str">
        <x:v>Do not treat as 1990 MSRP.</x:v>
      </x:c>
      <x:c r="H8" s="419" t="str">
        <x:v>v0.7</x:v>
      </x:c>
    </x:row>
    <x:row r="9">
      <x:c r="A9" s="419" t="str">
        <x:v>Page-inspected period PDFs</x:v>
      </x:c>
      <x:c r="B9" s="419" t="n">
        <x:v>2</x:v>
      </x:c>
      <x:c r="C9" s="419" t="str">
        <x:v>Mongoose 1979/80 and 1976–77 pages corroborate Ashtabula-related listings.</x:v>
      </x:c>
      <x:c r="D9" s="419" t="str">
        <x:v>2 documents.</x:v>
      </x:c>
      <x:c r="E9" s="419" t="str">
        <x:v>Links only.</x:v>
      </x:c>
      <x:c r="F9" s="419" t="str">
        <x:v>GREEN</x:v>
      </x:c>
      <x:c r="G9" s="419" t="str">
        <x:v>Record page numbers on future direct inspection.</x:v>
      </x:c>
      <x:c r="H9" s="419" t="str">
        <x:v>v0.7</x:v>
      </x:c>
    </x:row>
    <x:row r="10">
      <x:c r="A10" s="419" t="str">
        <x:v>Unresolved Haro BMXMuseum ID</x:v>
      </x:c>
      <x:c r="B10" s="419" t="n">
        <x:f>COUNTIF('v0.7 Haro Objects'!G5:G100,"*unresolved*")</x:f>
        <x:v>0</x:v>
      </x:c>
      <x:c r="C10" s="419" t="str">
        <x:v>The 1990 catalog is verified but its BMXMuseum ID is still open.</x:v>
      </x:c>
      <x:c r="D10" s="419" t="str">
        <x:v>1 catalog target.</x:v>
      </x:c>
      <x:c r="E10" s="419" t="str">
        <x:v>No absence claim.</x:v>
      </x:c>
      <x:c r="F10" s="419" t="str">
        <x:v>OPEN</x:v>
      </x:c>
      <x:c r="G10" s="419" t="str">
        <x:v>Continue public-reference recovery.</x:v>
      </x:c>
      <x:c r="H10" s="419" t="str">
        <x:v>v0.7</x:v>
      </x:c>
    </x:row>
    <x:row r="11">
      <x:c r="A11" s="419" t="str">
        <x:v>Copied scans/images</x:v>
      </x:c>
      <x:c r="B11" s="419" t="n">
        <x:v>0</x:v>
      </x:c>
      <x:c r="C11" s="419" t="str">
        <x:v>No source scan or catalog image embedded.</x:v>
      </x:c>
      <x:c r="D11" s="419" t="str">
        <x:v>Zero.</x:v>
      </x:c>
      <x:c r="E11" s="419" t="str">
        <x:v>Green boundary preserved.</x:v>
      </x:c>
      <x:c r="F11" s="419" t="str">
        <x:v>GREEN</x:v>
      </x:c>
      <x:c r="G11" s="419" t="str">
        <x:v>Advance to major-brand sweep.</x:v>
      </x:c>
      <x:c r="H11" s="419" t="str">
        <x:v>v0.7</x:v>
      </x:c>
    </x:row>
    <x:row r="12">
      <x:c r="A12" s="419" t="str">
        <x:v>Stage result</x:v>
      </x:c>
      <x:c r="B12" s="419" t="n">
        <x:f>COUNTA('v0.7 Haro Objects'!A5:A100)+COUNTA('v0.7 Ashtabula'!A5:A100)+COUNTA('v0.7 Haro Price Context'!A5:A100)</x:f>
        <x:v>18</x:v>
      </x:c>
      <x:c r="C12" s="419" t="str">
        <x:v>Identity, model, price and technical claims have independent evidence grades.</x:v>
      </x:c>
      <x:c r="D12" s="419" t="str">
        <x:v>Structured expansion complete.</x:v>
      </x:c>
      <x:c r="E12" s="419" t="str">
        <x:v>Index broadly; republish narrowly.</x:v>
      </x:c>
      <x:c r="F12" s="419" t="str">
        <x:v>LOCKED</x:v>
      </x:c>
      <x:c r="G12" s="419" t="str">
        <x:v>Advance to v0.8.</x:v>
      </x:c>
      <x:c r="H12" s="419" t="str">
        <x:v>v0.7</x:v>
      </x:c>
    </x:row>
  </x:sheetData>
  <x:mergeCells>
    <x:mergeCell ref="A1:H1"/>
    <x:mergeCell ref="A2:H2"/>
  </x:mergeCells>
  <x:conditionalFormatting sqref="F5:F12">
    <x:cfRule type="expression" dxfId="15" priority="1">
      <x:formula>F5="GREEN"</x:formula>
    </x:cfRule>
    <x:cfRule type="expression" dxfId="16" priority="2">
      <x:formula>F5="OPEN"</x:formula>
    </x:cfRule>
    <x:cfRule type="expression" dxfId="17" priority="3">
      <x:formula>F5="LOCKED"</x:formula>
    </x:cfRule>
  </x:conditionalFormatting>
  <x:pageMargins left="0.7" right="0.7" top="0.75" bottom="0.75" header="0.3" footer="0.3"/>
  <x:tableParts count="1">
    <x:tablePart xmlns:r="http://schemas.openxmlformats.org/officeDocument/2006/relationships" r:id="R618f14c6b47c4113"/>
  </x:tableParts>
</x:worksheet>
</file>

<file path=xl/worksheets/sheet41.xml><?xml version="1.0" encoding="utf-8"?>
<x:worksheet xmlns:x="http://schemas.openxmlformats.org/spreadsheetml/2006/main">
  <x:sheetFormatPr defaultRowHeight="15"/>
  <x:cols>
    <x:col min="1" max="1" width="16" hidden="0" customWidth="1"/>
    <x:col min="2" max="2" width="16" hidden="0" customWidth="1"/>
    <x:col min="3" max="3" width="24" hidden="0" customWidth="1"/>
    <x:col min="4" max="4" width="35" hidden="0" customWidth="1"/>
    <x:col min="5" max="5" width="18" hidden="0" customWidth="1"/>
    <x:col min="6" max="6" width="27" hidden="0" customWidth="1"/>
    <x:col min="7" max="7" width="30" hidden="0" customWidth="1"/>
    <x:col min="8" max="8" width="38" hidden="0" customWidth="1"/>
    <x:col min="9" max="9" width="43" hidden="0" customWidth="1"/>
    <x:col min="10" max="10" width="18" hidden="0" customWidth="1"/>
    <x:col min="11" max="11" width="34" hidden="0" customWidth="1"/>
    <x:col min="12" max="12" width="34" hidden="0" customWidth="1"/>
    <x:col min="13" max="13" width="16" hidden="0" customWidth="1"/>
    <x:col min="14" max="14" width="30" hidden="0" customWidth="1"/>
    <x:col min="15" max="15" width="13" hidden="0" customWidth="1"/>
    <x:col min="16" max="16" width="36" hidden="0" customWidth="1"/>
  </x:cols>
  <x:sheetData>
    <x:row r="1" ht="30" customHeight="1">
      <x:c r="A1" s="404" t="str">
        <x:v>v0.8 — Major-Brand Catalog, Advertisement &amp; Mailer Sweep</x:v>
      </x:c>
    </x:row>
    <x:row r="2" ht="34" customHeight="1">
      <x:c r="A2" s="408" t="str">
        <x:v>Redline, Mongoose, SE Racing, Diamond Back and Torker objects are separated by source role, bibliographic certainty and rights status.</x:v>
      </x:c>
    </x:row>
    <x:row r="4" ht="34" customHeight="1">
      <x:c r="A4" s="414" t="str">
        <x:v>Object ID</x:v>
      </x:c>
      <x:c r="B4" s="414" t="str">
        <x:v>Brand</x:v>
      </x:c>
      <x:c r="C4" s="414" t="str">
        <x:v>Object Type</x:v>
      </x:c>
      <x:c r="D4" s="414" t="str">
        <x:v>Title / Subject</x:v>
      </x:c>
      <x:c r="E4" s="414" t="str">
        <x:v>Year / Date</x:v>
      </x:c>
      <x:c r="F4" s="414" t="str">
        <x:v>Source Role</x:v>
      </x:c>
      <x:c r="G4" s="414" t="str">
        <x:v>BMXMuseum Relationship</x:v>
      </x:c>
      <x:c r="H4" s="414" t="str">
        <x:v>What It Can Verify</x:v>
      </x:c>
      <x:c r="I4" s="414" t="str">
        <x:v>Evidence / Limitation</x:v>
      </x:c>
      <x:c r="J4" s="414" t="str">
        <x:v>Confidence</x:v>
      </x:c>
      <x:c r="K4" s="414" t="str">
        <x:v>Primary Source URL</x:v>
      </x:c>
      <x:c r="L4" s="414" t="str">
        <x:v>Secondary Source URL</x:v>
      </x:c>
      <x:c r="M4" s="414" t="str">
        <x:v>Rights Code</x:v>
      </x:c>
      <x:c r="N4" s="414" t="str">
        <x:v>Research Status</x:v>
      </x:c>
      <x:c r="O4" s="414" t="str">
        <x:v>Accessed</x:v>
      </x:c>
      <x:c r="P4" s="414" t="str">
        <x:v>Notes</x:v>
      </x:c>
    </x:row>
    <x:row r="5">
      <x:c r="A5" s="419" t="str">
        <x:v>MB-OBJ-0001</x:v>
      </x:c>
      <x:c r="B5" s="419" t="str">
        <x:v>Redline</x:v>
      </x:c>
      <x:c r="C5" s="419" t="str">
        <x:v>Product catalog</x:v>
      </x:c>
      <x:c r="D5" s="419" t="str">
        <x:v>1978 Redline product catalog</x:v>
      </x:c>
      <x:c r="E5" s="419" t="str">
        <x:v>1978</x:v>
      </x:c>
      <x:c r="F5" s="419" t="str">
        <x:v>Historical brand archive</x:v>
      </x:c>
      <x:c r="G5" s="419" t="str">
        <x:v>BMXMuseum comparison ecosystem; exact catalog reference not recovered</x:v>
      </x:c>
      <x:c r="H5" s="419" t="str">
        <x:v>Introduction of purpose-built stem, seat clamp and seat post alongside frames/forks.</x:v>
      </x:c>
      <x:c r="I5" s="419" t="str">
        <x:v>Current historical archive summarizes the catalog; original page structure and BMXMuseum ID remain open.</x:v>
      </x:c>
      <x:c r="J5" s="419" t="str">
        <x:v>MEDIUM-HIGH</x:v>
      </x:c>
      <x:c r="K5" s="419" t="str">
        <x:v>https://www.redlinevintagebmx.com/redline-history</x:v>
      </x:c>
      <x:c r="L5" s="419"/>
      <x:c r="M5" s="419" t="str">
        <x:v>INDEX-ONLY</x:v>
      </x:c>
      <x:c r="N5" s="419" t="str">
        <x:v>INCLUDED WITH ATTRIBUTION</x:v>
      </x:c>
      <x:c r="O5" s="419" t="str">
        <x:v>2026-07-30</x:v>
      </x:c>
      <x:c r="P5" s="419" t="str">
        <x:v>Do not reproduce archive images.</x:v>
      </x:c>
    </x:row>
    <x:row r="6">
      <x:c r="A6" s="419" t="str">
        <x:v>MB-OBJ-0002</x:v>
      </x:c>
      <x:c r="B6" s="419" t="str">
        <x:v>Redline</x:v>
      </x:c>
      <x:c r="C6" s="419" t="str">
        <x:v>Magazine advertisement</x:v>
      </x:c>
      <x:c r="D6" s="419" t="str">
        <x:v>First Red Line magazine advertisement featuring John Palfreyman</x:v>
      </x:c>
      <x:c r="E6" s="419" t="str">
        <x:v>1970s; exact issue open</x:v>
      </x:c>
      <x:c r="F6" s="419" t="str">
        <x:v>Official rider-history corroboration</x:v>
      </x:c>
      <x:c r="G6" s="419" t="str">
        <x:v>Existing master relationship; exact bibliographic object unresolved</x:v>
      </x:c>
      <x:c r="H6" s="419" t="str">
        <x:v>Early rider endorsement and product-testing relationship.</x:v>
      </x:c>
      <x:c r="I6" s="419" t="str">
        <x:v>USA BMX supports the rider/ad relationship; publication, issue, page and product still require recovery.</x:v>
      </x:c>
      <x:c r="J6" s="419" t="str">
        <x:v>HIGH for relationship; MEDIUM for object</x:v>
      </x:c>
      <x:c r="K6" s="419" t="str">
        <x:v>https://www.usabmx.com/news-and-media/6/2012-05-10/National-BMX-Hall-of-Fame-2012-Inductees-Announced?id=580</x:v>
      </x:c>
      <x:c r="L6" s="419" t="str">
        <x:v>https://www.redlinevintagebmx.com/redline-history</x:v>
      </x:c>
      <x:c r="M6" s="419" t="str">
        <x:v>INDEX-ONLY</x:v>
      </x:c>
      <x:c r="N6" s="419" t="str">
        <x:v>OPEN — exact issue/page</x:v>
      </x:c>
      <x:c r="O6" s="419" t="str">
        <x:v>2026-07-30</x:v>
      </x:c>
      <x:c r="P6" s="419" t="str">
        <x:v>Relationship remains stronger than bibliographic detail.</x:v>
      </x:c>
    </x:row>
    <x:row r="7">
      <x:c r="A7" s="419" t="str">
        <x:v>MB-OBJ-0003</x:v>
      </x:c>
      <x:c r="B7" s="419" t="str">
        <x:v>Redline</x:v>
      </x:c>
      <x:c r="C7" s="419" t="str">
        <x:v>Product announcement / kit</x:v>
      </x:c>
      <x:c r="D7" s="419" t="str">
        <x:v>RL 20 II Prostyler first dedicated freestyle kit</x:v>
      </x:c>
      <x:c r="E7" s="419" t="str">
        <x:v>Summer 1985</x:v>
      </x:c>
      <x:c r="F7" s="419" t="str">
        <x:v>Historical brand archive</x:v>
      </x:c>
      <x:c r="G7" s="419" t="str">
        <x:v>No exact BMXMuseum object recovered</x:v>
      </x:c>
      <x:c r="H7" s="419" t="str">
        <x:v>Launch period and kit configuration as frame, fork, handlebars and Dia-Compe 880 brakeset.</x:v>
      </x:c>
      <x:c r="I7" s="419" t="str">
        <x:v>Modern historical page summarizes the launch; period advertisement/catalog page remains to be located.</x:v>
      </x:c>
      <x:c r="J7" s="419" t="str">
        <x:v>MEDIUM-HIGH</x:v>
      </x:c>
      <x:c r="K7" s="419" t="str">
        <x:v>https://www.redlinevintagebmx.com/the-rl-40-project</x:v>
      </x:c>
      <x:c r="L7" s="419"/>
      <x:c r="M7" s="419" t="str">
        <x:v>INDEX-ONLY</x:v>
      </x:c>
      <x:c r="N7" s="419" t="str">
        <x:v>INCLUDED WITH ATTRIBUTION</x:v>
      </x:c>
      <x:c r="O7" s="419" t="str">
        <x:v>2026-07-30</x:v>
      </x:c>
      <x:c r="P7" s="419" t="str">
        <x:v>Separate launch claim from surviving-bike authenticity.</x:v>
      </x:c>
    </x:row>
    <x:row r="8">
      <x:c r="A8" s="419" t="str">
        <x:v>MB-OBJ-0004</x:v>
      </x:c>
      <x:c r="B8" s="419" t="str">
        <x:v>Mongoose</x:v>
      </x:c>
      <x:c r="C8" s="419" t="str">
        <x:v>Archive collection</x:v>
      </x:c>
      <x:c r="D8" s="419" t="str">
        <x:v>Vintage Mongoose catalog and dealer-price archive</x:v>
      </x:c>
      <x:c r="E8" s="419" t="str">
        <x:v>1970s onward</x:v>
      </x:c>
      <x:c r="F8" s="419" t="str">
        <x:v>Specialist historical archive</x:v>
      </x:c>
      <x:c r="G8" s="419" t="str">
        <x:v>Uses original BMX Products catalogs and BMXMuseum/community evidence</x:v>
      </x:c>
      <x:c r="H8" s="419" t="str">
        <x:v>Existence of downloadable brochures, dealer price sheets and catalog corpus.</x:v>
      </x:c>
      <x:c r="I8" s="419" t="str">
        <x:v>Archive stewardship does not automatically grant republication rights for each scan.</x:v>
      </x:c>
      <x:c r="J8" s="419" t="str">
        <x:v>HIGH for archive scope</x:v>
      </x:c>
      <x:c r="K8" s="419" t="str">
        <x:v>https://www.vintagemongoose.com/</x:v>
      </x:c>
      <x:c r="L8" s="419" t="str">
        <x:v>https://www.vintagemongoose.com/info/catalogs.php</x:v>
      </x:c>
      <x:c r="M8" s="419" t="str">
        <x:v>INDEX-ONLY</x:v>
      </x:c>
      <x:c r="N8" s="419" t="str">
        <x:v>INCLUDED — discovery hub</x:v>
      </x:c>
      <x:c r="O8" s="419" t="str">
        <x:v>2026-07-30</x:v>
      </x:c>
      <x:c r="P8" s="419" t="str">
        <x:v>Preserve item-level source and rights data.</x:v>
      </x:c>
    </x:row>
    <x:row r="9">
      <x:c r="A9" s="419" t="str">
        <x:v>MB-OBJ-0005</x:v>
      </x:c>
      <x:c r="B9" s="419" t="str">
        <x:v>Mongoose</x:v>
      </x:c>
      <x:c r="C9" s="419" t="str">
        <x:v>Manufacturer catalog</x:v>
      </x:c>
      <x:c r="D9" s="419" t="str">
        <x:v>1976–77 Bicycle and Components Catalog</x:v>
      </x:c>
      <x:c r="E9" s="419" t="str">
        <x:v>1976–77</x:v>
      </x:c>
      <x:c r="F9" s="419" t="str">
        <x:v>Period catalog PDF</x:v>
      </x:c>
      <x:c r="G9" s="419" t="str">
        <x:v>Independent corroborating catalog; exact BMXMuseum object not established</x:v>
      </x:c>
      <x:c r="H9" s="419" t="str">
        <x:v>Early Mongoose products, components, part numbers and distributor context.</x:v>
      </x:c>
      <x:c r="I9" s="419" t="str">
        <x:v>Page images may be inspected for facts; the scan is not embedded or republished.</x:v>
      </x:c>
      <x:c r="J9" s="419" t="str">
        <x:v>HIGH</x:v>
      </x:c>
      <x:c r="K9" s="419" t="str">
        <x:v>https://www.vintagemongoose.com/pdfs/mongoose_cat76-77.pdf</x:v>
      </x:c>
      <x:c r="L9" s="419" t="str">
        <x:v>https://www.vintagemongoose.com/info/catalogs.php</x:v>
      </x:c>
      <x:c r="M9" s="419" t="str">
        <x:v>INDEX-ONLY</x:v>
      </x:c>
      <x:c r="N9" s="419" t="str">
        <x:v>INCLUDED — page inspected</x:v>
      </x:c>
      <x:c r="O9" s="419" t="str">
        <x:v>2026-07-30</x:v>
      </x:c>
      <x:c r="P9" s="419" t="str">
        <x:v>Visual evidence recorded without copying.</x:v>
      </x:c>
    </x:row>
    <x:row r="10">
      <x:c r="A10" s="419" t="str">
        <x:v>MB-OBJ-0006</x:v>
      </x:c>
      <x:c r="B10" s="419" t="str">
        <x:v>Mongoose</x:v>
      </x:c>
      <x:c r="C10" s="419" t="str">
        <x:v>Manufacturer catalog</x:v>
      </x:c>
      <x:c r="D10" s="419" t="str">
        <x:v>1979/80 Bicycle and Components Catalog</x:v>
      </x:c>
      <x:c r="E10" s="419" t="str">
        <x:v>1979/80</x:v>
      </x:c>
      <x:c r="F10" s="419" t="str">
        <x:v>Period catalog PDF</x:v>
      </x:c>
      <x:c r="G10" s="419" t="str">
        <x:v>Independent corroborating catalog; exact BMXMuseum object not established</x:v>
      </x:c>
      <x:c r="H10" s="419" t="str">
        <x:v>Bicycle lineup, accessory range and component relationships including Ashtabula cranks.</x:v>
      </x:c>
      <x:c r="I10" s="419" t="str">
        <x:v>Catalog date is printed on cover; page-specific claims remain tied to inspected pages.</x:v>
      </x:c>
      <x:c r="J10" s="419" t="str">
        <x:v>HIGH</x:v>
      </x:c>
      <x:c r="K10" s="419" t="str">
        <x:v>https://www.vintagemongoose.com/pdfs/mongoose_cat79-80.pdf</x:v>
      </x:c>
      <x:c r="L10" s="419" t="str">
        <x:v>https://www.vintagemongoose.com/info/catalogs.php</x:v>
      </x:c>
      <x:c r="M10" s="419" t="str">
        <x:v>INDEX-ONLY</x:v>
      </x:c>
      <x:c r="N10" s="419" t="str">
        <x:v>INCLUDED — page inspected</x:v>
      </x:c>
      <x:c r="O10" s="419" t="str">
        <x:v>2026-07-30</x:v>
      </x:c>
      <x:c r="P10" s="419" t="str">
        <x:v>Do not treat hosted scan as public-domain.</x:v>
      </x:c>
    </x:row>
    <x:row r="11">
      <x:c r="A11" s="419" t="str">
        <x:v>MB-OBJ-0007</x:v>
      </x:c>
      <x:c r="B11" s="419" t="str">
        <x:v>Mongoose</x:v>
      </x:c>
      <x:c r="C11" s="419" t="str">
        <x:v>Distributor price list</x:v>
      </x:c>
      <x:c r="D11" s="419" t="str">
        <x:v>1985 Repco price list — Mongoose and parts</x:v>
      </x:c>
      <x:c r="E11" s="419" t="str">
        <x:v>1985</x:v>
      </x:c>
      <x:c r="F11" s="419" t="str">
        <x:v>Australian collector/research archive</x:v>
      </x:c>
      <x:c r="G11" s="419" t="str">
        <x:v>No exact BMXMuseum object established</x:v>
      </x:c>
      <x:c r="H11" s="419" t="str">
        <x:v>Australian distributor pricing and cross-brand distribution context.</x:v>
      </x:c>
      <x:c r="I11" s="419" t="str">
        <x:v>Public summary exposes selected prices; currency is likely AUD from Australian context but should be verified from the scan.</x:v>
      </x:c>
      <x:c r="J11" s="419" t="str">
        <x:v>MEDIUM</x:v>
      </x:c>
      <x:c r="K11" s="419" t="str">
        <x:v>https://www.bloggingadeadhorse.com/hotfoot2.php</x:v>
      </x:c>
      <x:c r="L11" s="419" t="str">
        <x:v>https://www.vintagemongoose.com/</x:v>
      </x:c>
      <x:c r="M11" s="419" t="str">
        <x:v>INDEX-ONLY</x:v>
      </x:c>
      <x:c r="N11" s="419" t="str">
        <x:v>INCLUDED WITH CURRENCY CAUTION</x:v>
      </x:c>
      <x:c r="O11" s="419" t="str">
        <x:v>2026-07-30</x:v>
      </x:c>
      <x:c r="P11" s="419" t="str">
        <x:v>Do not transcribe unseen rows.</x:v>
      </x:c>
    </x:row>
    <x:row r="12">
      <x:c r="A12" s="419" t="str">
        <x:v>MB-OBJ-0008</x:v>
      </x:c>
      <x:c r="B12" s="419" t="str">
        <x:v>SE Racing</x:v>
      </x:c>
      <x:c r="C12" s="419" t="str">
        <x:v>Product-history object</x:v>
      </x:c>
      <x:c r="D12" s="419" t="str">
        <x:v>PK Ripper late-1970s debut</x:v>
      </x:c>
      <x:c r="E12" s="419" t="str">
        <x:v>Late 1970s</x:v>
      </x:c>
      <x:c r="F12" s="419" t="str">
        <x:v>Current official brand history</x:v>
      </x:c>
      <x:c r="G12" s="419" t="str">
        <x:v>No exact BMXMuseum catalog/ad object recovered</x:v>
      </x:c>
      <x:c r="H12" s="419" t="str">
        <x:v>Early high-end aluminum BMX frame chronology and PK Ripper continuity.</x:v>
      </x:c>
      <x:c r="I12" s="419" t="str">
        <x:v>Current marketing history supports a broad debut claim, not an exact first advertisement or catalog page.</x:v>
      </x:c>
      <x:c r="J12" s="419" t="str">
        <x:v>MEDIUM-HIGH</x:v>
      </x:c>
      <x:c r="K12" s="419" t="str">
        <x:v>https://www.sebikes.com/blogs/news/elite-race-series</x:v>
      </x:c>
      <x:c r="L12" s="419" t="str">
        <x:v>https://www.sebikes.com/pages/perry-kramer</x:v>
      </x:c>
      <x:c r="M12" s="419" t="str">
        <x:v>INDEX-ONLY</x:v>
      </x:c>
      <x:c r="N12" s="419" t="str">
        <x:v>INCLUDED WITH ATTRIBUTION</x:v>
      </x:c>
      <x:c r="O12" s="419" t="str">
        <x:v>2026-07-30</x:v>
      </x:c>
      <x:c r="P12" s="419" t="str">
        <x:v>Exact debut date and first-page object remain open.</x:v>
      </x:c>
    </x:row>
    <x:row r="13">
      <x:c r="A13" s="419" t="str">
        <x:v>MB-OBJ-0009</x:v>
      </x:c>
      <x:c r="B13" s="419" t="str">
        <x:v>SE Racing</x:v>
      </x:c>
      <x:c r="C13" s="419" t="str">
        <x:v>Rider/model naming history</x:v>
      </x:c>
      <x:c r="D13" s="419" t="str">
        <x:v>Perry Kramer initials on PK Ripper</x:v>
      </x:c>
      <x:c r="E13" s="419" t="str">
        <x:v>Since early 1979</x:v>
      </x:c>
      <x:c r="F13" s="419" t="str">
        <x:v>First-person official rider page</x:v>
      </x:c>
      <x:c r="G13" s="419" t="str">
        <x:v>No exact BMXMuseum object recovered</x:v>
      </x:c>
      <x:c r="H13" s="419" t="str">
        <x:v>Rider-to-model naming relationship and approximate start period.</x:v>
      </x:c>
      <x:c r="I13" s="419" t="str">
        <x:v>First-person statement supports the relationship; catalog/advertisement evidence remains separate.</x:v>
      </x:c>
      <x:c r="J13" s="419" t="str">
        <x:v>HIGH for relationship</x:v>
      </x:c>
      <x:c r="K13" s="419" t="str">
        <x:v>https://www.sebikes.com/pages/perry-kramer</x:v>
      </x:c>
      <x:c r="L13" s="419" t="str">
        <x:v>https://www.sebikes.com/blogs/news/classic-1</x:v>
      </x:c>
      <x:c r="M13" s="419" t="str">
        <x:v>INDEX-ONLY</x:v>
      </x:c>
      <x:c r="N13" s="419" t="str">
        <x:v>INCLUDED — relationship evidence</x:v>
      </x:c>
      <x:c r="O13" s="419" t="str">
        <x:v>2026-07-30</x:v>
      </x:c>
      <x:c r="P13" s="419" t="str">
        <x:v>Do not convert approximate timing into exact launch date.</x:v>
      </x:c>
    </x:row>
    <x:row r="14">
      <x:c r="A14" s="419" t="str">
        <x:v>MB-OBJ-0010</x:v>
      </x:c>
      <x:c r="B14" s="419" t="str">
        <x:v>Diamond Back</x:v>
      </x:c>
      <x:c r="C14" s="419" t="str">
        <x:v>Team/product advertisement</x:v>
      </x:c>
      <x:c r="D14" s="419" t="str">
        <x:v>Silver Streak team advertisement and product naming</x:v>
      </x:c>
      <x:c r="E14" s="419" t="str">
        <x:v>1982</x:v>
      </x:c>
      <x:c r="F14" s="419" t="str">
        <x:v>Period publication</x:v>
      </x:c>
      <x:c r="G14" s="419" t="str">
        <x:v>No exact BMXMuseum reference recovered</x:v>
      </x:c>
      <x:c r="H14" s="419" t="str">
        <x:v>1981 ABA factory-team award, Silver Streak naming relationship and period promotional language.</x:v>
      </x:c>
      <x:c r="I14" s="419" t="str">
        <x:v>Repeated issues support campaign continuity; exact original US placement and complete copy are not reproduced.</x:v>
      </x:c>
      <x:c r="J14" s="419" t="str">
        <x:v>HIGH for period object</x:v>
      </x:c>
      <x:c r="K14" s="419" t="str">
        <x:v>https://previouspage.co.uk/magazines/BMX%20Action%20Bike/issues/13-april%2Fmay-eighty-two</x:v>
      </x:c>
      <x:c r="L14" s="419" t="str">
        <x:v>https://previouspage.co.uk/magazines/BMX%20Action%20Bike/issues/25-october%2Fnovember-eighty-two</x:v>
      </x:c>
      <x:c r="M14" s="419" t="str">
        <x:v>INDEX-ONLY</x:v>
      </x:c>
      <x:c r="N14" s="419" t="str">
        <x:v>INCLUDED — campaign object</x:v>
      </x:c>
      <x:c r="O14" s="419" t="str">
        <x:v>2026-07-30</x:v>
      </x:c>
      <x:c r="P14" s="419" t="str">
        <x:v>Historical styling retained as Diamond Back.</x:v>
      </x:c>
    </x:row>
    <x:row r="15">
      <x:c r="A15" s="419" t="str">
        <x:v>MB-OBJ-0011</x:v>
      </x:c>
      <x:c r="B15" s="419" t="str">
        <x:v>Diamond Back</x:v>
      </x:c>
      <x:c r="C15" s="419" t="str">
        <x:v>Information-pack mailer</x:v>
      </x:c>
      <x:c r="D15" s="419" t="str">
        <x:v>Free Diamond Back and Pro Star info pack and decal</x:v>
      </x:c>
      <x:c r="E15" s="419" t="str">
        <x:v>1982</x:v>
      </x:c>
      <x:c r="F15" s="419" t="str">
        <x:v>Period publication</x:v>
      </x:c>
      <x:c r="G15" s="419" t="str">
        <x:v>No exact BMXMuseum reference recovered</x:v>
      </x:c>
      <x:c r="H15" s="419" t="str">
        <x:v>Direct-to-factory information-pack offer and decal promotion.</x:v>
      </x:c>
      <x:c r="I15" s="419" t="str">
        <x:v>The offer is visible in multiple issues; contents of the pack are not recovered in this pass.</x:v>
      </x:c>
      <x:c r="J15" s="419" t="str">
        <x:v>HIGH for offer</x:v>
      </x:c>
      <x:c r="K15" s="419" t="str">
        <x:v>https://previouspage.co.uk/magazines/BMX%20Action%20Bike/issues/13-april%2Fmay-eighty-two</x:v>
      </x:c>
      <x:c r="L15" s="419" t="str">
        <x:v>https://previouspage.co.uk/magazines/BMX%20Action%20Bike/issues/57-august%2Fseptember-eighty-two</x:v>
      </x:c>
      <x:c r="M15" s="419" t="str">
        <x:v>INDEX-ONLY</x:v>
      </x:c>
      <x:c r="N15" s="419" t="str">
        <x:v>INCLUDED — mailer/flyer lead</x:v>
      </x:c>
      <x:c r="O15" s="419" t="str">
        <x:v>2026-07-30</x:v>
      </x:c>
      <x:c r="P15" s="419" t="str">
        <x:v>Do not count the unseen pack as multiple documents.</x:v>
      </x:c>
    </x:row>
    <x:row r="16">
      <x:c r="A16" s="419" t="str">
        <x:v>MB-OBJ-0012</x:v>
      </x:c>
      <x:c r="B16" s="419" t="str">
        <x:v>Torker</x:v>
      </x:c>
      <x:c r="C16" s="419" t="str">
        <x:v>Magazine advertisement</x:v>
      </x:c>
      <x:c r="D16" s="419" t="str">
        <x:v>First Torker advertisement in BMX Weekly</x:v>
      </x:c>
      <x:c r="E16" s="419" t="str">
        <x:v>December 1976</x:v>
      </x:c>
      <x:c r="F16" s="419" t="str">
        <x:v>Current official historical archive</x:v>
      </x:c>
      <x:c r="G16" s="419" t="str">
        <x:v>BMXMuseum production-record ecosystem; exact ad page unresolved</x:v>
      </x:c>
      <x:c r="H16" s="419" t="str">
        <x:v>Brand-launch chronology and earliest reported public advertisement.</x:v>
      </x:c>
      <x:c r="I16" s="419" t="str">
        <x:v>Official Torker history supplies the date; period issue/page and exact image remain to be recovered.</x:v>
      </x:c>
      <x:c r="J16" s="419" t="str">
        <x:v>MEDIUM-HIGH</x:v>
      </x:c>
      <x:c r="K16" s="419" t="str">
        <x:v>https://torkerracing.com/pages/the-fullerton-era-torker-bmx-history</x:v>
      </x:c>
      <x:c r="L16" s="419" t="str">
        <x:v>https://torkerracing.com/pages/torker-bmx-models</x:v>
      </x:c>
      <x:c r="M16" s="419" t="str">
        <x:v>INDEX-ONLY</x:v>
      </x:c>
      <x:c r="N16" s="419" t="str">
        <x:v>OPEN — period issue/page</x:v>
      </x:c>
      <x:c r="O16" s="419" t="str">
        <x:v>2026-07-30</x:v>
      </x:c>
      <x:c r="P16" s="419" t="str">
        <x:v>Existing master record retained and strengthened.</x:v>
      </x:c>
    </x:row>
    <x:row r="17">
      <x:c r="A17" s="419" t="str">
        <x:v>MB-OBJ-0013</x:v>
      </x:c>
      <x:c r="B17" s="419" t="str">
        <x:v>Torker</x:v>
      </x:c>
      <x:c r="C17" s="419" t="str">
        <x:v>Model archive</x:v>
      </x:c>
      <x:c r="D17" s="419" t="str">
        <x:v>Fullerton-era Torker model archive</x:v>
      </x:c>
      <x:c r="E17" s="419" t="str">
        <x:v>1976–1984</x:v>
      </x:c>
      <x:c r="F17" s="419" t="str">
        <x:v>Current official historical archive</x:v>
      </x:c>
      <x:c r="G17" s="419" t="str">
        <x:v>Explicitly cites BMXMuseum production research</x:v>
      </x:c>
      <x:c r="H17" s="419" t="str">
        <x:v>Chronological model sequence, serial families, factory colors and rider associations.</x:v>
      </x:c>
      <x:c r="I17" s="419" t="str">
        <x:v>Modern official synthesis draws from BMXMuseum and period magazines; each underlying claim should retain source attribution.</x:v>
      </x:c>
      <x:c r="J17" s="419" t="str">
        <x:v>HIGH for archive role</x:v>
      </x:c>
      <x:c r="K17" s="419" t="str">
        <x:v>https://torkerracing.com/pages/torker-bmx-models</x:v>
      </x:c>
      <x:c r="L17" s="419" t="str">
        <x:v>https://torkerracing.com/pages/the-fullerton-era-torker-bmx-history</x:v>
      </x:c>
      <x:c r="M17" s="419" t="str">
        <x:v>INDEX-ONLY</x:v>
      </x:c>
      <x:c r="N17" s="419" t="str">
        <x:v>INCLUDED — discovery and verification hub</x:v>
      </x:c>
      <x:c r="O17" s="419" t="str">
        <x:v>2026-07-30</x:v>
      </x:c>
      <x:c r="P17" s="419" t="str">
        <x:v>Useful for cross-linking, not a substitute for period scans.</x:v>
      </x:c>
    </x:row>
    <x:row r="18">
      <x:c r="A18" s="419" t="str">
        <x:v>MB-OBJ-0014</x:v>
      </x:c>
      <x:c r="B18" s="419" t="str">
        <x:v>Torker</x:v>
      </x:c>
      <x:c r="C18" s="419" t="str">
        <x:v>Factory-team history</x:v>
      </x:c>
      <x:c r="D18" s="419" t="str">
        <x:v>1979 National Number One team / 1980 world-pro chronology</x:v>
      </x:c>
      <x:c r="E18" s="419" t="str">
        <x:v>1979–1980</x:v>
      </x:c>
      <x:c r="F18" s="419" t="str">
        <x:v>Current official historical archive</x:v>
      </x:c>
      <x:c r="G18" s="419" t="str">
        <x:v>BMXMuseum production and team-history ecosystem</x:v>
      </x:c>
      <x:c r="H18" s="419" t="str">
        <x:v>Team and rider chronology relevant to advertisements and team flyers.</x:v>
      </x:c>
      <x:c r="I18" s="419" t="str">
        <x:v>Modern historical synthesis should be cross-checked against period result and team-ad objects.</x:v>
      </x:c>
      <x:c r="J18" s="419" t="str">
        <x:v>MEDIUM-HIGH</x:v>
      </x:c>
      <x:c r="K18" s="419" t="str">
        <x:v>https://torkerracing.com/blogs/news/torker-bmx-number-one-team-in-america</x:v>
      </x:c>
      <x:c r="L18" s="419" t="str">
        <x:v>https://torkerracing.com/pages/torker-bmx-hall-of-fame</x:v>
      </x:c>
      <x:c r="M18" s="419" t="str">
        <x:v>INDEX-ONLY</x:v>
      </x:c>
      <x:c r="N18" s="419" t="str">
        <x:v>INCLUDED WITH ATTRIBUTION</x:v>
      </x:c>
      <x:c r="O18" s="419" t="str">
        <x:v>2026-07-30</x:v>
      </x:c>
      <x:c r="P18" s="419" t="str">
        <x:v>Relationship leads for future team-flyer sweep.</x:v>
      </x:c>
    </x:row>
  </x:sheetData>
  <x:mergeCells>
    <x:mergeCell ref="A1:P1"/>
    <x:mergeCell ref="A2:P2"/>
  </x:mergeCells>
  <x:pageMargins left="0.7" right="0.7" top="0.75" bottom="0.75" header="0.3" footer="0.3"/>
  <x:tableParts count="1">
    <x:tablePart xmlns:r="http://schemas.openxmlformats.org/officeDocument/2006/relationships" r:id="R10bf8b84a50c473a"/>
  </x:tableParts>
</x:worksheet>
</file>

<file path=xl/worksheets/sheet42.xml><?xml version="1.0" encoding="utf-8"?>
<x:worksheet xmlns:x="http://schemas.openxmlformats.org/spreadsheetml/2006/main">
  <x:sheetFormatPr defaultRowHeight="15"/>
  <x:cols>
    <x:col min="1" max="1" width="18" hidden="0" customWidth="1"/>
    <x:col min="2" max="2" width="17" hidden="0" customWidth="1"/>
    <x:col min="3" max="3" width="13" hidden="0" customWidth="1"/>
    <x:col min="4" max="4" width="26" hidden="0" customWidth="1"/>
    <x:col min="5" max="5" width="18" hidden="0" customWidth="1"/>
    <x:col min="6" max="6" width="14" hidden="0" customWidth="1"/>
    <x:col min="7" max="7" width="13" hidden="0" customWidth="1"/>
    <x:col min="8" max="8" width="13" hidden="0" customWidth="1"/>
    <x:col min="9" max="9" width="15" hidden="0" customWidth="1"/>
    <x:col min="10" max="10" width="28" hidden="0" customWidth="1"/>
    <x:col min="11" max="11" width="24" hidden="0" customWidth="1"/>
    <x:col min="12" max="12" width="25" hidden="0" customWidth="1"/>
    <x:col min="13" max="13" width="22" hidden="0" customWidth="1"/>
    <x:col min="14" max="14" width="16" hidden="0" customWidth="1"/>
    <x:col min="15" max="15" width="34" hidden="0" customWidth="1"/>
    <x:col min="16" max="16" width="16" hidden="0" customWidth="1"/>
    <x:col min="17" max="17" width="34" hidden="0" customWidth="1"/>
    <x:col min="18" max="18" width="13" hidden="0" customWidth="1"/>
  </x:cols>
  <x:sheetData>
    <x:row r="1" ht="30" customHeight="1">
      <x:c r="A1" s="404" t="str">
        <x:v>v0.8 — Major-Brand Price Benchmarks</x:v>
      </x:c>
    </x:row>
    <x:row r="2" ht="34" customHeight="1">
      <x:c r="A2" s="408" t="str">
        <x:v>Australian distributor summaries and UK retailer advertisements are normalized without collapsing currency, seller or price basis.</x:v>
      </x:c>
    </x:row>
    <x:row r="4" ht="34" customHeight="1">
      <x:c r="A4" s="414" t="str">
        <x:v>Price Observation ID</x:v>
      </x:c>
      <x:c r="B4" s="414" t="str">
        <x:v>Source Object ID</x:v>
      </x:c>
      <x:c r="C4" s="414" t="str">
        <x:v>Brand</x:v>
      </x:c>
      <x:c r="D4" s="414" t="str">
        <x:v>Product / Model</x:v>
      </x:c>
      <x:c r="E4" s="414" t="str">
        <x:v>Product Type</x:v>
      </x:c>
      <x:c r="F4" s="414" t="str">
        <x:v>Issue / Year</x:v>
      </x:c>
      <x:c r="G4" s="414" t="str">
        <x:v>Price Numeric</x:v>
      </x:c>
      <x:c r="H4" s="414" t="str">
        <x:v>Currency</x:v>
      </x:c>
      <x:c r="I4" s="414" t="str">
        <x:v>Displayed Price</x:v>
      </x:c>
      <x:c r="J4" s="414" t="str">
        <x:v>Price Basis</x:v>
      </x:c>
      <x:c r="K4" s="414" t="str">
        <x:v>Geography / Context</x:v>
      </x:c>
      <x:c r="L4" s="414" t="str">
        <x:v>Source Type</x:v>
      </x:c>
      <x:c r="M4" s="414" t="str">
        <x:v>Directness</x:v>
      </x:c>
      <x:c r="N4" s="414" t="str">
        <x:v>Confidence</x:v>
      </x:c>
      <x:c r="O4" s="414" t="str">
        <x:v>Source URL</x:v>
      </x:c>
      <x:c r="P4" s="414" t="str">
        <x:v>Rights Code</x:v>
      </x:c>
      <x:c r="Q4" s="414" t="str">
        <x:v>Normalization Note</x:v>
      </x:c>
      <x:c r="R4" s="414" t="str">
        <x:v>Accessed</x:v>
      </x:c>
    </x:row>
    <x:row r="5">
      <x:c r="A5" s="419" t="str">
        <x:v>MB-PR-0001</x:v>
      </x:c>
      <x:c r="B5" s="419" t="str">
        <x:v>MB-OBJ-0007</x:v>
      </x:c>
      <x:c r="C5" s="419" t="str">
        <x:v>Mongoose</x:v>
      </x:c>
      <x:c r="D5" s="419" t="str">
        <x:v>Californian full chromoly frame</x:v>
      </x:c>
      <x:c r="E5" s="419" t="str">
        <x:v>Frame</x:v>
      </x:c>
      <x:c r="F5" s="419" t="str">
        <x:v>1985</x:v>
      </x:c>
      <x:c r="G5" s="419" t="n">
        <x:v>76.5</x:v>
      </x:c>
      <x:c r="H5" s="419" t="str">
        <x:v>AUD-LIKELY</x:v>
      </x:c>
      <x:c r="I5" s="419" t="str">
        <x:v>$76.50</x:v>
      </x:c>
      <x:c r="J5" s="419" t="str">
        <x:v>Distributor price-list figure</x:v>
      </x:c>
      <x:c r="K5" s="419" t="str">
        <x:v>Australia / Repco context</x:v>
      </x:c>
      <x:c r="L5" s="419" t="str">
        <x:v>Collector summary of period distributor list</x:v>
      </x:c>
      <x:c r="M5" s="419" t="str">
        <x:v>Transcribed public summary</x:v>
      </x:c>
      <x:c r="N5" s="419" t="str">
        <x:v>MEDIUM</x:v>
      </x:c>
      <x:c r="O5" s="419" t="str">
        <x:v>https://www.bloggingadeadhorse.com/hotfoot2.php</x:v>
      </x:c>
      <x:c r="P5" s="419" t="str">
        <x:v>INDEX-ONLY</x:v>
      </x:c>
      <x:c r="Q5" s="419" t="str">
        <x:v>Currency likely AUD; verify scan legend.</x:v>
      </x:c>
      <x:c r="R5" s="419" t="str">
        <x:v>2026-07-30</x:v>
      </x:c>
    </x:row>
    <x:row r="6">
      <x:c r="A6" s="419" t="str">
        <x:v>MB-PR-0002</x:v>
      </x:c>
      <x:c r="B6" s="419" t="str">
        <x:v>MB-OBJ-0007</x:v>
      </x:c>
      <x:c r="C6" s="419" t="str">
        <x:v>Mongoose</x:v>
      </x:c>
      <x:c r="D6" s="419" t="str">
        <x:v>Pro Class rims</x:v>
      </x:c>
      <x:c r="E6" s="419" t="str">
        <x:v>Rims</x:v>
      </x:c>
      <x:c r="F6" s="419" t="str">
        <x:v>1985</x:v>
      </x:c>
      <x:c r="G6" s="419" t="n">
        <x:v>15.5</x:v>
      </x:c>
      <x:c r="H6" s="419" t="str">
        <x:v>AUD-LIKELY</x:v>
      </x:c>
      <x:c r="I6" s="419" t="str">
        <x:v>$15.50</x:v>
      </x:c>
      <x:c r="J6" s="419" t="str">
        <x:v>Distributor price-list figure</x:v>
      </x:c>
      <x:c r="K6" s="419" t="str">
        <x:v>Australia / Repco context</x:v>
      </x:c>
      <x:c r="L6" s="419" t="str">
        <x:v>Collector summary of period distributor list</x:v>
      </x:c>
      <x:c r="M6" s="419" t="str">
        <x:v>Transcribed public summary</x:v>
      </x:c>
      <x:c r="N6" s="419" t="str">
        <x:v>MEDIUM</x:v>
      </x:c>
      <x:c r="O6" s="419" t="str">
        <x:v>https://www.bloggingadeadhorse.com/hotfoot2.php</x:v>
      </x:c>
      <x:c r="P6" s="419" t="str">
        <x:v>INDEX-ONLY</x:v>
      </x:c>
      <x:c r="Q6" s="419" t="str">
        <x:v>Currency likely AUD; unit/pair basis requires scan.</x:v>
      </x:c>
      <x:c r="R6" s="419" t="str">
        <x:v>2026-07-30</x:v>
      </x:c>
    </x:row>
    <x:row r="7">
      <x:c r="A7" s="419" t="str">
        <x:v>MB-PR-0003</x:v>
      </x:c>
      <x:c r="B7" s="419" t="str">
        <x:v>MB-OBJ-0007</x:v>
      </x:c>
      <x:c r="C7" s="419" t="str">
        <x:v>Mongoose</x:v>
      </x:c>
      <x:c r="D7" s="419" t="str">
        <x:v>Pad set</x:v>
      </x:c>
      <x:c r="E7" s="419" t="str">
        <x:v>Pad set</x:v>
      </x:c>
      <x:c r="F7" s="419" t="str">
        <x:v>1985</x:v>
      </x:c>
      <x:c r="G7" s="419" t="n">
        <x:v>5.65</x:v>
      </x:c>
      <x:c r="H7" s="419" t="str">
        <x:v>AUD-LIKELY</x:v>
      </x:c>
      <x:c r="I7" s="419" t="str">
        <x:v>$5.65</x:v>
      </x:c>
      <x:c r="J7" s="419" t="str">
        <x:v>Distributor price-list figure</x:v>
      </x:c>
      <x:c r="K7" s="419" t="str">
        <x:v>Australia / Repco context</x:v>
      </x:c>
      <x:c r="L7" s="419" t="str">
        <x:v>Collector summary of period distributor list</x:v>
      </x:c>
      <x:c r="M7" s="419" t="str">
        <x:v>Transcribed public summary</x:v>
      </x:c>
      <x:c r="N7" s="419" t="str">
        <x:v>MEDIUM</x:v>
      </x:c>
      <x:c r="O7" s="419" t="str">
        <x:v>https://www.bloggingadeadhorse.com/hotfoot2.php</x:v>
      </x:c>
      <x:c r="P7" s="419" t="str">
        <x:v>INDEX-ONLY</x:v>
      </x:c>
      <x:c r="Q7" s="419" t="str">
        <x:v>Currency likely AUD; exact set contents unresolved.</x:v>
      </x:c>
      <x:c r="R7" s="419" t="str">
        <x:v>2026-07-30</x:v>
      </x:c>
    </x:row>
    <x:row r="8">
      <x:c r="A8" s="419" t="str">
        <x:v>MB-PR-0004</x:v>
      </x:c>
      <x:c r="B8" s="419" t="str">
        <x:v>MB-OBJ-0010</x:v>
      </x:c>
      <x:c r="C8" s="419" t="str">
        <x:v>Diamond Back</x:v>
      </x:c>
      <x:c r="D8" s="419" t="str">
        <x:v>Silver Streak</x:v>
      </x:c>
      <x:c r="E8" s="419" t="str">
        <x:v>Complete bicycle</x:v>
      </x:c>
      <x:c r="F8" s="419" t="str">
        <x:v>Sep 1982</x:v>
      </x:c>
      <x:c r="G8" s="419" t="n">
        <x:v>119.37</x:v>
      </x:c>
      <x:c r="H8" s="419" t="str">
        <x:v>GBP</x:v>
      </x:c>
      <x:c r="I8" s="419" t="str">
        <x:v>£119.37</x:v>
      </x:c>
      <x:c r="J8" s="419" t="str">
        <x:v>Advertised retailer price</x:v>
      </x:c>
      <x:c r="K8" s="419" t="str">
        <x:v>United Kingdom</x:v>
      </x:c>
      <x:c r="L8" s="419" t="str">
        <x:v>Period retailer advertisement</x:v>
      </x:c>
      <x:c r="M8" s="419" t="str">
        <x:v>Indexed text/OCR</x:v>
      </x:c>
      <x:c r="N8" s="419" t="str">
        <x:v>MEDIUM</x:v>
      </x:c>
      <x:c r="O8" s="419" t="str">
        <x:v>https://previouspage.co.uk/magazines/BMX%20Weekly/issues/213-september-nineteen-eighty-two</x:v>
      </x:c>
      <x:c r="P8" s="419" t="str">
        <x:v>INDEX-ONLY</x:v>
      </x:c>
      <x:c r="Q8" s="419" t="str">
        <x:v>OCR alignment should be visually checked before elevation.</x:v>
      </x:c>
      <x:c r="R8" s="419" t="str">
        <x:v>2026-07-30</x:v>
      </x:c>
    </x:row>
    <x:row r="9">
      <x:c r="A9" s="419" t="str">
        <x:v>MB-PR-0005</x:v>
      </x:c>
      <x:c r="B9" s="419" t="str">
        <x:v>MB-OBJ-0010</x:v>
      </x:c>
      <x:c r="C9" s="419" t="str">
        <x:v>Diamond Back</x:v>
      </x:c>
      <x:c r="D9" s="419" t="str">
        <x:v>Silver Streak</x:v>
      </x:c>
      <x:c r="E9" s="419" t="str">
        <x:v>Complete bicycle</x:v>
      </x:c>
      <x:c r="F9" s="419" t="str">
        <x:v>Jul 1983</x:v>
      </x:c>
      <x:c r="G9" s="419" t="n">
        <x:v>195</x:v>
      </x:c>
      <x:c r="H9" s="419" t="str">
        <x:v>GBP</x:v>
      </x:c>
      <x:c r="I9" s="419" t="str">
        <x:v>£195</x:v>
      </x:c>
      <x:c r="J9" s="419" t="str">
        <x:v>Advertised retailer price</x:v>
      </x:c>
      <x:c r="K9" s="419" t="str">
        <x:v>United Kingdom</x:v>
      </x:c>
      <x:c r="L9" s="419" t="str">
        <x:v>Period retailer advertisement</x:v>
      </x:c>
      <x:c r="M9" s="419" t="str">
        <x:v>Direct indexed text</x:v>
      </x:c>
      <x:c r="N9" s="419" t="str">
        <x:v>MEDIUM-HIGH</x:v>
      </x:c>
      <x:c r="O9" s="419" t="str">
        <x:v>https://previouspage.co.uk/magazines/BMX%20Action%20Bike/issues/62-july-nineteen-eighty-three</x:v>
      </x:c>
      <x:c r="P9" s="419" t="str">
        <x:v>INDEX-ONLY</x:v>
      </x:c>
      <x:c r="Q9" s="419" t="str">
        <x:v>Separate seller/issue observation.</x:v>
      </x:c>
      <x:c r="R9" s="419" t="str">
        <x:v>2026-07-30</x:v>
      </x:c>
    </x:row>
    <x:row r="10">
      <x:c r="A10" s="419" t="str">
        <x:v>MB-PR-0006</x:v>
      </x:c>
      <x:c r="B10" s="419" t="str">
        <x:v>MB-OBJ-0010</x:v>
      </x:c>
      <x:c r="C10" s="419" t="str">
        <x:v>Diamond Back</x:v>
      </x:c>
      <x:c r="D10" s="419" t="str">
        <x:v>Silver Streak</x:v>
      </x:c>
      <x:c r="E10" s="419" t="str">
        <x:v>Complete bicycle</x:v>
      </x:c>
      <x:c r="F10" s="419" t="str">
        <x:v>Sep 1983</x:v>
      </x:c>
      <x:c r="G10" s="419" t="n">
        <x:v>195</x:v>
      </x:c>
      <x:c r="H10" s="419" t="str">
        <x:v>GBP</x:v>
      </x:c>
      <x:c r="I10" s="419" t="str">
        <x:v>£195</x:v>
      </x:c>
      <x:c r="J10" s="419" t="str">
        <x:v>Advertised retailer price</x:v>
      </x:c>
      <x:c r="K10" s="419" t="str">
        <x:v>United Kingdom</x:v>
      </x:c>
      <x:c r="L10" s="419" t="str">
        <x:v>Period retailer advertisement</x:v>
      </x:c>
      <x:c r="M10" s="419" t="str">
        <x:v>Direct indexed text</x:v>
      </x:c>
      <x:c r="N10" s="419" t="str">
        <x:v>MEDIUM-HIGH</x:v>
      </x:c>
      <x:c r="O10" s="419" t="str">
        <x:v>https://previouspage.co.uk/magazines/BMX%20Action%20Bike/issues/64-september-nineteen-eighty-three</x:v>
      </x:c>
      <x:c r="P10" s="419" t="str">
        <x:v>INDEX-ONLY</x:v>
      </x:c>
      <x:c r="Q10" s="419" t="str">
        <x:v>Separate seller/issue observation.</x:v>
      </x:c>
      <x:c r="R10" s="419" t="str">
        <x:v>2026-07-30</x:v>
      </x:c>
    </x:row>
    <x:row r="11">
      <x:c r="A11" s="419" t="str">
        <x:v>MB-PR-0007</x:v>
      </x:c>
      <x:c r="B11" s="419" t="str">
        <x:v>MB-OBJ-0010</x:v>
      </x:c>
      <x:c r="C11" s="419" t="str">
        <x:v>Diamond Back</x:v>
      </x:c>
      <x:c r="D11" s="419" t="str">
        <x:v>Silver Streak</x:v>
      </x:c>
      <x:c r="E11" s="419" t="str">
        <x:v>Complete bicycle</x:v>
      </x:c>
      <x:c r="F11" s="419" t="str">
        <x:v>Oct 1983</x:v>
      </x:c>
      <x:c r="G11" s="419" t="n">
        <x:v>199</x:v>
      </x:c>
      <x:c r="H11" s="419" t="str">
        <x:v>GBP</x:v>
      </x:c>
      <x:c r="I11" s="419" t="str">
        <x:v>£199</x:v>
      </x:c>
      <x:c r="J11" s="419" t="str">
        <x:v>Advertised retailer price plus postage</x:v>
      </x:c>
      <x:c r="K11" s="419" t="str">
        <x:v>United Kingdom</x:v>
      </x:c>
      <x:c r="L11" s="419" t="str">
        <x:v>Period retailer advertisement</x:v>
      </x:c>
      <x:c r="M11" s="419" t="str">
        <x:v>Direct indexed text</x:v>
      </x:c>
      <x:c r="N11" s="419" t="str">
        <x:v>MEDIUM-HIGH</x:v>
      </x:c>
      <x:c r="O11" s="419" t="str">
        <x:v>https://previouspage.co.uk/magazines/BMX%20Action%20Bike/issues/85-october-nineteen-eighty-three</x:v>
      </x:c>
      <x:c r="P11" s="419" t="str">
        <x:v>INDEX-ONLY</x:v>
      </x:c>
      <x:c r="Q11" s="419" t="str">
        <x:v>Postage excluded from numeric price.</x:v>
      </x:c>
      <x:c r="R11" s="419" t="str">
        <x:v>2026-07-30</x:v>
      </x:c>
    </x:row>
    <x:row r="12">
      <x:c r="A12" s="419" t="str">
        <x:v>MB-PR-0008</x:v>
      </x:c>
      <x:c r="B12" s="419" t="str">
        <x:v>MB-OBJ-0010</x:v>
      </x:c>
      <x:c r="C12" s="419" t="str">
        <x:v>Diamond Back</x:v>
      </x:c>
      <x:c r="D12" s="419" t="str">
        <x:v>Harry Leary Turbo</x:v>
      </x:c>
      <x:c r="E12" s="419" t="str">
        <x:v>Complete bicycle</x:v>
      </x:c>
      <x:c r="F12" s="419" t="str">
        <x:v>Oct 1983</x:v>
      </x:c>
      <x:c r="G12" s="419" t="n">
        <x:v>299</x:v>
      </x:c>
      <x:c r="H12" s="419" t="str">
        <x:v>GBP</x:v>
      </x:c>
      <x:c r="I12" s="419" t="str">
        <x:v>£299</x:v>
      </x:c>
      <x:c r="J12" s="419" t="str">
        <x:v>Advertised retailer price</x:v>
      </x:c>
      <x:c r="K12" s="419" t="str">
        <x:v>United Kingdom</x:v>
      </x:c>
      <x:c r="L12" s="419" t="str">
        <x:v>Period retailer advertisement</x:v>
      </x:c>
      <x:c r="M12" s="419" t="str">
        <x:v>Direct indexed text</x:v>
      </x:c>
      <x:c r="N12" s="419" t="str">
        <x:v>MEDIUM-HIGH</x:v>
      </x:c>
      <x:c r="O12" s="419" t="str">
        <x:v>https://previouspage.co.uk/magazines/BMX%20Action%20Bike/issues/85-october-nineteen-eighty-three</x:v>
      </x:c>
      <x:c r="P12" s="419" t="str">
        <x:v>INDEX-ONLY</x:v>
      </x:c>
      <x:c r="Q12" s="419" t="str">
        <x:v>Useful Lititz BMX crosswalk; not MSRP.</x:v>
      </x:c>
      <x:c r="R12" s="419" t="str">
        <x:v>2026-07-30</x:v>
      </x:c>
    </x:row>
  </x:sheetData>
  <x:mergeCells>
    <x:mergeCell ref="A1:R1"/>
    <x:mergeCell ref="A2:R2"/>
  </x:mergeCells>
  <x:pageMargins left="0.7" right="0.7" top="0.75" bottom="0.75" header="0.3" footer="0.3"/>
  <x:tableParts count="1">
    <x:tablePart xmlns:r="http://schemas.openxmlformats.org/officeDocument/2006/relationships" r:id="R2d8e9bc4fe794ce3"/>
  </x:tableParts>
</x:worksheet>
</file>

<file path=xl/worksheets/sheet43.xml><?xml version="1.0" encoding="utf-8"?>
<x:worksheet xmlns:x="http://schemas.openxmlformats.org/spreadsheetml/2006/main">
  <x:sheetFormatPr defaultRowHeight="15"/>
  <x:cols>
    <x:col min="1" max="1" width="25" hidden="0" customWidth="1"/>
    <x:col min="2" max="2" width="12" hidden="0" customWidth="1"/>
    <x:col min="3" max="3" width="38" hidden="0" customWidth="1"/>
    <x:col min="4" max="4" width="31" hidden="0" customWidth="1"/>
    <x:col min="5" max="5" width="24" hidden="0" customWidth="1"/>
    <x:col min="6" max="6" width="13" hidden="0" customWidth="1"/>
    <x:col min="7" max="7" width="34" hidden="0" customWidth="1"/>
    <x:col min="8" max="8" width="12" hidden="0" customWidth="1"/>
  </x:cols>
  <x:sheetData>
    <x:row r="1" ht="30" customHeight="1">
      <x:c r="A1" s="404" t="str">
        <x:v>v0.8 — Major-Brand Sweep Dashboard</x:v>
      </x:c>
    </x:row>
    <x:row r="2" ht="34" customHeight="1">
      <x:c r="A2" s="408" t="str">
        <x:v>Third sequence stage: Redline, Mongoose, SE Racing, Diamond Back and Torker source objects plus normalized distributor and retailer pricing.</x:v>
      </x:c>
    </x:row>
    <x:row r="4" ht="34" customHeight="1">
      <x:c r="A4" s="414" t="str">
        <x:v>Metric</x:v>
      </x:c>
      <x:c r="B4" s="414" t="str">
        <x:v>Count</x:v>
      </x:c>
      <x:c r="C4" s="414" t="str">
        <x:v>Outcome</x:v>
      </x:c>
      <x:c r="D4" s="414" t="str">
        <x:v>Determination</x:v>
      </x:c>
      <x:c r="E4" s="414" t="str">
        <x:v>Rights</x:v>
      </x:c>
      <x:c r="F4" s="414" t="str">
        <x:v>Status</x:v>
      </x:c>
      <x:c r="G4" s="414" t="str">
        <x:v>Next action</x:v>
      </x:c>
      <x:c r="H4" s="414" t="str">
        <x:v>Version</x:v>
      </x:c>
    </x:row>
    <x:row r="5">
      <x:c r="A5" s="419" t="str">
        <x:v>Major-brand objects</x:v>
      </x:c>
      <x:c r="B5" s="419" t="n">
        <x:f>COUNTA('v0.8 Brand Ephemera'!A5:A100)</x:f>
        <x:v>14</x:v>
      </x:c>
      <x:c r="C5" s="419" t="str">
        <x:v>Five brands now have source-role-separated ephemera records.</x:v>
      </x:c>
      <x:c r="D5" s="419" t="str">
        <x:v>14 objects.</x:v>
      </x:c>
      <x:c r="E5" s="419" t="str">
        <x:v>No scans copied.</x:v>
      </x:c>
      <x:c r="F5" s="419" t="str">
        <x:v>GREEN</x:v>
      </x:c>
      <x:c r="G5" s="419" t="str">
        <x:v>Continue item-level exact-reference recovery.</x:v>
      </x:c>
      <x:c r="H5" s="419" t="str">
        <x:v>v0.8</x:v>
      </x:c>
    </x:row>
    <x:row r="6">
      <x:c r="A6" s="419" t="str">
        <x:v>Brands covered</x:v>
      </x:c>
      <x:c r="B6" s="419" t="n">
        <x:v>5</x:v>
      </x:c>
      <x:c r="C6" s="419" t="str">
        <x:v>Redline, Mongoose, SE Racing, Diamond Back and Torker.</x:v>
      </x:c>
      <x:c r="D6" s="419" t="str">
        <x:v>5 brands.</x:v>
      </x:c>
      <x:c r="E6" s="419" t="str">
        <x:v>Metadata/links only.</x:v>
      </x:c>
      <x:c r="F6" s="419" t="str">
        <x:v>GREEN</x:v>
      </x:c>
      <x:c r="G6" s="419" t="str">
        <x:v>Add deeper brand-specific sweeps later.</x:v>
      </x:c>
      <x:c r="H6" s="419" t="str">
        <x:v>v0.8</x:v>
      </x:c>
    </x:row>
    <x:row r="7">
      <x:c r="A7" s="419" t="str">
        <x:v>Normalized price observations</x:v>
      </x:c>
      <x:c r="B7" s="419" t="n">
        <x:f>COUNTA('v0.8 Price Benchmarks'!A5:A100)</x:f>
        <x:v>8</x:v>
      </x:c>
      <x:c r="C7" s="419" t="str">
        <x:v>AUD-likely, GBP and seller context remain explicit.</x:v>
      </x:c>
      <x:c r="D7" s="419" t="str">
        <x:v>8 observations.</x:v>
      </x:c>
      <x:c r="E7" s="419" t="str">
        <x:v>No price-type collapse.</x:v>
      </x:c>
      <x:c r="F7" s="419" t="str">
        <x:v>GREEN</x:v>
      </x:c>
      <x:c r="G7" s="419" t="str">
        <x:v>Verify OCR-uncertain page alignments.</x:v>
      </x:c>
      <x:c r="H7" s="419" t="str">
        <x:v>v0.8</x:v>
      </x:c>
    </x:row>
    <x:row r="8">
      <x:c r="A8" s="419" t="str">
        <x:v>Page-inspected catalog PDFs</x:v>
      </x:c>
      <x:c r="B8" s="419" t="n">
        <x:v>2</x:v>
      </x:c>
      <x:c r="C8" s="419" t="str">
        <x:v>Mongoose 1976–77 and 1979/80 catalogs remain visual evidence sources.</x:v>
      </x:c>
      <x:c r="D8" s="419" t="str">
        <x:v>2 documents.</x:v>
      </x:c>
      <x:c r="E8" s="419" t="str">
        <x:v>Not embedded.</x:v>
      </x:c>
      <x:c r="F8" s="419" t="str">
        <x:v>GREEN</x:v>
      </x:c>
      <x:c r="G8" s="419" t="str">
        <x:v>Add page numbers in later preservation pass.</x:v>
      </x:c>
      <x:c r="H8" s="419" t="str">
        <x:v>v0.8</x:v>
      </x:c>
    </x:row>
    <x:row r="9">
      <x:c r="A9" s="419" t="str">
        <x:v>Exact new BMXMuseum IDs</x:v>
      </x:c>
      <x:c r="B9" s="419" t="n">
        <x:f>COUNTIF('v0.8 Brand Ephemera'!G5:G100,"*reference*")-COUNTIF('v0.8 Brand Ephemera'!G5:G100,"*unresolved*")</x:f>
        <x:v>0</x:v>
      </x:c>
      <x:c r="C9" s="419" t="str">
        <x:v>No additional canonical IDs were exposed in this brand sweep.</x:v>
      </x:c>
      <x:c r="D9" s="419" t="str">
        <x:v>0.</x:v>
      </x:c>
      <x:c r="E9" s="419" t="str">
        <x:v>No bypass.</x:v>
      </x:c>
      <x:c r="F9" s="419" t="str">
        <x:v>OPEN</x:v>
      </x:c>
      <x:c r="G9" s="419" t="str">
        <x:v>Retain open status rather than infer absence.</x:v>
      </x:c>
      <x:c r="H9" s="419" t="str">
        <x:v>v0.8</x:v>
      </x:c>
    </x:row>
    <x:row r="10">
      <x:c r="A10" s="419" t="str">
        <x:v>Mailer / info-pack objects</x:v>
      </x:c>
      <x:c r="B10" s="419" t="n">
        <x:f>COUNTIF('v0.8 Brand Ephemera'!C5:C100,"*mailer*")</x:f>
        <x:v>0</x:v>
      </x:c>
      <x:c r="C10" s="419" t="str">
        <x:v>Diamond Back/Pro Star info-pack and decal offer is separately registered.</x:v>
      </x:c>
      <x:c r="D10" s="419" t="str">
        <x:v>1 offer.</x:v>
      </x:c>
      <x:c r="E10" s="419" t="str">
        <x:v>Unseen contents not counted.</x:v>
      </x:c>
      <x:c r="F10" s="419" t="str">
        <x:v>GREEN</x:v>
      </x:c>
      <x:c r="G10" s="419" t="str">
        <x:v>Locate surviving pack or scan lawfully.</x:v>
      </x:c>
      <x:c r="H10" s="419" t="str">
        <x:v>v0.8</x:v>
      </x:c>
    </x:row>
    <x:row r="11">
      <x:c r="A11" s="419" t="str">
        <x:v>Copied scans/images</x:v>
      </x:c>
      <x:c r="B11" s="419" t="n">
        <x:v>0</x:v>
      </x:c>
      <x:c r="C11" s="419" t="str">
        <x:v>No scan or advertisement image copied into the workbook.</x:v>
      </x:c>
      <x:c r="D11" s="419" t="str">
        <x:v>Zero.</x:v>
      </x:c>
      <x:c r="E11" s="419" t="str">
        <x:v>Green boundary preserved.</x:v>
      </x:c>
      <x:c r="F11" s="419" t="str">
        <x:v>GREEN</x:v>
      </x:c>
      <x:c r="G11" s="419" t="str">
        <x:v>Advance to event/dealer/team flyers.</x:v>
      </x:c>
      <x:c r="H11" s="419" t="str">
        <x:v>v0.8</x:v>
      </x:c>
    </x:row>
    <x:row r="12">
      <x:c r="A12" s="419" t="str">
        <x:v>Stage result</x:v>
      </x:c>
      <x:c r="B12" s="419" t="n">
        <x:f>COUNTA('v0.8 Brand Ephemera'!A5:A100)+COUNTA('v0.8 Price Benchmarks'!A5:A100)</x:f>
        <x:v>22</x:v>
      </x:c>
      <x:c r="C12" s="419" t="str">
        <x:v>The register now supports brand chronology, object discovery and period price comparison.</x:v>
      </x:c>
      <x:c r="D12" s="419" t="str">
        <x:v>Structured sweep complete.</x:v>
      </x:c>
      <x:c r="E12" s="419" t="str">
        <x:v>Index broadly; republish narrowly.</x:v>
      </x:c>
      <x:c r="F12" s="419" t="str">
        <x:v>LOCKED</x:v>
      </x:c>
      <x:c r="G12" s="419" t="str">
        <x:v>Advance to v0.9.</x:v>
      </x:c>
      <x:c r="H12" s="419" t="str">
        <x:v>v0.8</x:v>
      </x:c>
    </x:row>
  </x:sheetData>
  <x:mergeCells>
    <x:mergeCell ref="A1:H1"/>
    <x:mergeCell ref="A2:H2"/>
  </x:mergeCells>
  <x:conditionalFormatting sqref="F5:F12">
    <x:cfRule type="expression" dxfId="18" priority="1">
      <x:formula>F5="GREEN"</x:formula>
    </x:cfRule>
    <x:cfRule type="expression" dxfId="19" priority="2">
      <x:formula>F5="OPEN"</x:formula>
    </x:cfRule>
    <x:cfRule type="expression" dxfId="20" priority="3">
      <x:formula>F5="LOCKED"</x:formula>
    </x:cfRule>
  </x:conditionalFormatting>
  <x:pageMargins left="0.7" right="0.7" top="0.75" bottom="0.75" header="0.3" footer="0.3"/>
  <x:tableParts count="1">
    <x:tablePart xmlns:r="http://schemas.openxmlformats.org/officeDocument/2006/relationships" r:id="Rb004fbe04e344a4a"/>
  </x:tableParts>
</x:worksheet>
</file>

<file path=xl/worksheets/sheet44.xml><?xml version="1.0" encoding="utf-8"?>
<x:worksheet xmlns:x="http://schemas.openxmlformats.org/spreadsheetml/2006/main">
  <x:sheetFormatPr defaultRowHeight="15"/>
  <x:cols>
    <x:col min="1" max="1" width="16" hidden="0" customWidth="1"/>
    <x:col min="2" max="2" width="27" hidden="0" customWidth="1"/>
    <x:col min="3" max="3" width="38" hidden="0" customWidth="1"/>
    <x:col min="4" max="4" width="23" hidden="0" customWidth="1"/>
    <x:col min="5" max="5" width="25" hidden="0" customWidth="1"/>
    <x:col min="6" max="6" width="34" hidden="0" customWidth="1"/>
    <x:col min="7" max="7" width="28" hidden="0" customWidth="1"/>
    <x:col min="8" max="8" width="27" hidden="0" customWidth="1"/>
    <x:col min="9" max="9" width="27" hidden="0" customWidth="1"/>
    <x:col min="10" max="10" width="38" hidden="0" customWidth="1"/>
    <x:col min="11" max="11" width="25" hidden="0" customWidth="1"/>
    <x:col min="12" max="12" width="31" hidden="0" customWidth="1"/>
    <x:col min="13" max="13" width="35" hidden="0" customWidth="1"/>
    <x:col min="14" max="14" width="17" hidden="0" customWidth="1"/>
    <x:col min="15" max="15" width="16" hidden="0" customWidth="1"/>
    <x:col min="16" max="16" width="23" hidden="0" customWidth="1"/>
    <x:col min="17" max="17" width="31" hidden="0" customWidth="1"/>
    <x:col min="18" max="18" width="27" hidden="0" customWidth="1"/>
    <x:col min="19" max="19" width="13" hidden="0" customWidth="1"/>
    <x:col min="20" max="20" width="38" hidden="0" customWidth="1"/>
  </x:cols>
  <x:sheetData>
    <x:row r="1" ht="30" customHeight="1">
      <x:c r="A1" s="404" t="str">
        <x:v>v0.9 — Event, Dealer, Team &amp; Promotional Flyer Register</x:v>
      </x:c>
    </x:row>
    <x:row r="2" ht="34" customHeight="1">
      <x:c r="A2" s="408" t="str">
        <x:v>Flyers, coupons, mailers, contest forms, dealer advertisements and event notices remain distinct object types with privacy and rights safeguards.</x:v>
      </x:c>
    </x:row>
    <x:row r="4" ht="34" customHeight="1">
      <x:c r="A4" s="414" t="str">
        <x:v>Flyer ID</x:v>
      </x:c>
      <x:c r="B4" s="414" t="str">
        <x:v>Flyer Type</x:v>
      </x:c>
      <x:c r="C4" s="414" t="str">
        <x:v>Title / Object</x:v>
      </x:c>
      <x:c r="D4" s="414" t="str">
        <x:v>Date / Period</x:v>
      </x:c>
      <x:c r="E4" s="414" t="str">
        <x:v>Promoter / Brand</x:v>
      </x:c>
      <x:c r="F4" s="414" t="str">
        <x:v>Event / Product</x:v>
      </x:c>
      <x:c r="G4" s="414" t="str">
        <x:v>Riders / People</x:v>
      </x:c>
      <x:c r="H4" s="414" t="str">
        <x:v>Venue</x:v>
      </x:c>
      <x:c r="I4" s="414" t="str">
        <x:v>Location</x:v>
      </x:c>
      <x:c r="J4" s="414" t="str">
        <x:v>Entry / Offer Detail</x:v>
      </x:c>
      <x:c r="K4" s="414" t="str">
        <x:v>Source Role</x:v>
      </x:c>
      <x:c r="L4" s="414" t="str">
        <x:v>BMXMuseum Relationship</x:v>
      </x:c>
      <x:c r="M4" s="414" t="str">
        <x:v>Primary Source URL</x:v>
      </x:c>
      <x:c r="N4" s="414" t="str">
        <x:v>Confidence</x:v>
      </x:c>
      <x:c r="O4" s="414" t="str">
        <x:v>Rights Code</x:v>
      </x:c>
      <x:c r="P4" s="414" t="str">
        <x:v>Image Action</x:v>
      </x:c>
      <x:c r="Q4" s="414" t="str">
        <x:v>Text Action</x:v>
      </x:c>
      <x:c r="R4" s="414" t="str">
        <x:v>Research Status</x:v>
      </x:c>
      <x:c r="S4" s="414" t="str">
        <x:v>Accessed</x:v>
      </x:c>
      <x:c r="T4" s="414" t="str">
        <x:v>Notes</x:v>
      </x:c>
    </x:row>
    <x:row r="5">
      <x:c r="A5" s="419" t="str">
        <x:v>SEQ-FLY-0001</x:v>
      </x:c>
      <x:c r="B5" s="419" t="str">
        <x:v>Event flyer / trade-exhibition notice</x:v>
      </x:c>
      <x:c r="C5" s="419" t="str">
        <x:v>Pontin's BMX Open Championships &amp; Trade Exhibition</x:v>
      </x:c>
      <x:c r="D5" s="419" t="str">
        <x:v>1983-10-07 to 1983-10-09</x:v>
      </x:c>
      <x:c r="E5" s="419" t="str">
        <x:v>Pontin's; UK BMX organizers</x:v>
      </x:c>
      <x:c r="F5" s="419" t="str">
        <x:v>Open championships, trade exhibition and BMX holiday weekend</x:v>
      </x:c>
      <x:c r="G5" s="419" t="str">
        <x:v>Mike Pardon; Andy Preston (freestyle demos referenced in surrounding promotion)</x:v>
      </x:c>
      <x:c r="H5" s="419" t="str">
        <x:v>Pontin's Middleton Tower Holiday Centre</x:v>
      </x:c>
      <x:c r="I5" s="419" t="str">
        <x:v>Morecambe, England, United Kingdom</x:v>
      </x:c>
      <x:c r="J5" s="419" t="str">
        <x:v>Booking and trade forms offered; race weekend over three dates</x:v>
      </x:c>
      <x:c r="K5" s="419" t="str">
        <x:v>Period magazine advertisement / booking form</x:v>
      </x:c>
      <x:c r="L5" s="419" t="str">
        <x:v>No exact BMXMuseum object recovered</x:v>
      </x:c>
      <x:c r="M5" s="419" t="str">
        <x:v>https://previouspage.co.uk/magazines/BMX%20Action%20Bike/issues/64-september-nineteen-eighty-three</x:v>
      </x:c>
      <x:c r="N5" s="419" t="str">
        <x:v>HIGH</x:v>
      </x:c>
      <x:c r="O5" s="419" t="str">
        <x:v>INDEX-ONLY</x:v>
      </x:c>
      <x:c r="P5" s="419" t="str">
        <x:v>Do not copy page image</x:v>
      </x:c>
      <x:c r="Q5" s="419" t="str">
        <x:v>Paraphrase event facts and form function</x:v>
      </x:c>
      <x:c r="R5" s="419" t="str">
        <x:v>INCLUDED — exact dates/venue</x:v>
      </x:c>
      <x:c r="S5" s="419" t="str">
        <x:v>2026-07-30</x:v>
      </x:c>
      <x:c r="T5" s="419" t="str">
        <x:v>September and October issues support the campaign; preserve issue-specific occurrences.</x:v>
      </x:c>
    </x:row>
    <x:row r="6">
      <x:c r="A6" s="419" t="str">
        <x:v>SEQ-FLY-0002</x:v>
      </x:c>
      <x:c r="B6" s="419" t="str">
        <x:v>Event registration coupon</x:v>
      </x:c>
      <x:c r="C6" s="419" t="str">
        <x:v>Lee Cooper BMX Indoor Grand Prix pre-registration</x:v>
      </x:c>
      <x:c r="D6" s="419" t="str">
        <x:v>Winter 1982–83; exact event dates open</x:v>
      </x:c>
      <x:c r="E6" s="419" t="str">
        <x:v>Lee Cooper</x:v>
      </x:c>
      <x:c r="F6" s="419" t="str">
        <x:v>Indoor BMX racing and stunt event; Diamond Back Teamfinder first-round context</x:v>
      </x:c>
      <x:c r="G6" s="419" t="str">
        <x:v>Rider roster not fully extracted</x:v>
      </x:c>
      <x:c r="H6" s="419" t="str">
        <x:v>Pickett's Lock Centre</x:v>
      </x:c>
      <x:c r="I6" s="419" t="str">
        <x:v>Edmonton, London, United Kingdom</x:v>
      </x:c>
      <x:c r="J6" s="419" t="str">
        <x:v>Coupon requested latest information and pre-registration forms</x:v>
      </x:c>
      <x:c r="K6" s="419" t="str">
        <x:v>Period magazine coupon</x:v>
      </x:c>
      <x:c r="L6" s="419" t="str">
        <x:v>No exact BMXMuseum object recovered</x:v>
      </x:c>
      <x:c r="M6" s="419" t="str">
        <x:v>https://previouspage.co.uk/magazines/BMX%20Action%20Bike/issues/58-december%2Fjanuary-eighty-two</x:v>
      </x:c>
      <x:c r="N6" s="419" t="str">
        <x:v>MEDIUM-HIGH</x:v>
      </x:c>
      <x:c r="O6" s="419" t="str">
        <x:v>INDEX-ONLY</x:v>
      </x:c>
      <x:c r="P6" s="419" t="str">
        <x:v>Do not copy coupon image</x:v>
      </x:c>
      <x:c r="Q6" s="419" t="str">
        <x:v>Paraphrase form and event function</x:v>
      </x:c>
      <x:c r="R6" s="419" t="str">
        <x:v>INCLUDED — exact dates pending</x:v>
      </x:c>
      <x:c r="S6" s="419" t="str">
        <x:v>2026-07-30</x:v>
      </x:c>
      <x:c r="T6" s="419" t="str">
        <x:v>Do not infer event dates from issue month.</x:v>
      </x:c>
    </x:row>
    <x:row r="7">
      <x:c r="A7" s="419" t="str">
        <x:v>SEQ-FLY-0003</x:v>
      </x:c>
      <x:c r="B7" s="419" t="str">
        <x:v>Event entry / pre-registration advertisement</x:v>
      </x:c>
      <x:c r="C7" s="419" t="str">
        <x:v>AFA Expert &amp; Pro Contest — Austin</x:v>
      </x:c>
      <x:c r="D7" s="419" t="str">
        <x:v>1987-05-02 to 1987-05-03</x:v>
      </x:c>
      <x:c r="E7" s="419" t="str">
        <x:v>AFA</x:v>
      </x:c>
      <x:c r="F7" s="419" t="str">
        <x:v>Expert/pro freestyle contest; $2,000 purse</x:v>
      </x:c>
      <x:c r="G7" s="419" t="str">
        <x:v>Dennis McCoy; Robert Peterson; Rick Allison; other pros</x:v>
      </x:c>
      <x:c r="H7" s="419" t="str">
        <x:v>Austin City Coliseum</x:v>
      </x:c>
      <x:c r="I7" s="419" t="str">
        <x:v>Austin, Texas, United States</x:v>
      </x:c>
      <x:c r="J7" s="419" t="str">
        <x:v>Pre-registration only; expert and pro classes</x:v>
      </x:c>
      <x:c r="K7" s="419" t="str">
        <x:v>Period event advertisement</x:v>
      </x:c>
      <x:c r="L7" s="419" t="str">
        <x:v>No exact BMXMuseum object recovered</x:v>
      </x:c>
      <x:c r="M7" s="419" t="str">
        <x:v>https://previouspage.co.uk/magazines/BMX%20Plus/issues/244-july-nineteen-eighty-seven</x:v>
      </x:c>
      <x:c r="N7" s="419" t="str">
        <x:v>HIGH</x:v>
      </x:c>
      <x:c r="O7" s="419" t="str">
        <x:v>INDEX-ONLY</x:v>
      </x:c>
      <x:c r="P7" s="419" t="str">
        <x:v>Do not copy advertisement</x:v>
      </x:c>
      <x:c r="Q7" s="419" t="str">
        <x:v>Paraphrase event facts, classes and dates</x:v>
      </x:c>
      <x:c r="R7" s="419" t="str">
        <x:v>INCLUDED</x:v>
      </x:c>
      <x:c r="S7" s="419" t="str">
        <x:v>2026-07-30</x:v>
      </x:c>
      <x:c r="T7" s="419" t="str">
        <x:v>The event was advertised in multiple issues; preserve first-seen and repeated placements separately if later itemized.</x:v>
      </x:c>
    </x:row>
    <x:row r="8">
      <x:c r="A8" s="419" t="str">
        <x:v>SEQ-FLY-0004</x:v>
      </x:c>
      <x:c r="B8" s="419" t="str">
        <x:v>Contest entry form</x:v>
      </x:c>
      <x:c r="C8" s="419" t="str">
        <x:v>BMX Plus! / GT Hide-A-Contest</x:v>
      </x:c>
      <x:c r="D8" s="419" t="str">
        <x:v>Deadline 1987-09-28; drawing 1987-10-05</x:v>
      </x:c>
      <x:c r="E8" s="419" t="str">
        <x:v>GT; BMX Plus!</x:v>
      </x:c>
      <x:c r="F8" s="419" t="str">
        <x:v>Reader contest and GT promotion</x:v>
      </x:c>
      <x:c r="G8" s="419" t="str">
        <x:v>Not applicable</x:v>
      </x:c>
      <x:c r="H8" s="419" t="str">
        <x:v>Mail-in entry</x:v>
      </x:c>
      <x:c r="I8" s="419" t="str">
        <x:v>United States</x:v>
      </x:c>
      <x:c r="J8" s="419" t="str">
        <x:v>No purchase necessary; mail-in form with published deadline and drawing date</x:v>
      </x:c>
      <x:c r="K8" s="419" t="str">
        <x:v>Period contest entry form</x:v>
      </x:c>
      <x:c r="L8" s="419" t="str">
        <x:v>No exact BMXMuseum object recovered</x:v>
      </x:c>
      <x:c r="M8" s="419" t="str">
        <x:v>https://previouspage.co.uk/issues/245-august-nineteen-eighty-seven</x:v>
      </x:c>
      <x:c r="N8" s="419" t="str">
        <x:v>HIGH for dates</x:v>
      </x:c>
      <x:c r="O8" s="419" t="str">
        <x:v>INDEX-ONLY</x:v>
      </x:c>
      <x:c r="P8" s="419" t="str">
        <x:v>Do not copy form image</x:v>
      </x:c>
      <x:c r="Q8" s="419" t="str">
        <x:v>Paraphrase dates and contest structure</x:v>
      </x:c>
      <x:c r="R8" s="419" t="str">
        <x:v>INCLUDED — prize details open</x:v>
      </x:c>
      <x:c r="S8" s="419" t="str">
        <x:v>2026-07-30</x:v>
      </x:c>
      <x:c r="T8" s="419" t="str">
        <x:v>Promotional entry form, not a race flyer.</x:v>
      </x:c>
    </x:row>
    <x:row r="9">
      <x:c r="A9" s="419" t="str">
        <x:v>SEQ-FLY-0005</x:v>
      </x:c>
      <x:c r="B9" s="419" t="str">
        <x:v>Information-pack mailer</x:v>
      </x:c>
      <x:c r="C9" s="419" t="str">
        <x:v>Diamond Back and Pro Star Info Pack &amp; Decal</x:v>
      </x:c>
      <x:c r="D9" s="419" t="str">
        <x:v>1982 campaign</x:v>
      </x:c>
      <x:c r="E9" s="419" t="str">
        <x:v>Diamond Back; Pro Star</x:v>
      </x:c>
      <x:c r="F9" s="419" t="str">
        <x:v>Product information pack and decal</x:v>
      </x:c>
      <x:c r="G9" s="419" t="str">
        <x:v>Diamond Back factory team / Harry Leary context in campaign copy</x:v>
      </x:c>
      <x:c r="H9" s="419" t="str">
        <x:v>Direct-to-factory mail request</x:v>
      </x:c>
      <x:c r="I9" s="419" t="str">
        <x:v>United States origin; advertised in United Kingdom publication</x:v>
      </x:c>
      <x:c r="J9" s="419" t="str">
        <x:v>Free info pack and decal offered</x:v>
      </x:c>
      <x:c r="K9" s="419" t="str">
        <x:v>Period product mailer advertisement</x:v>
      </x:c>
      <x:c r="L9" s="419" t="str">
        <x:v>No exact BMXMuseum object recovered</x:v>
      </x:c>
      <x:c r="M9" s="419" t="str">
        <x:v>https://previouspage.co.uk/magazines/BMX%20Action%20Bike/issues/13-april%2Fmay-eighty-two</x:v>
      </x:c>
      <x:c r="N9" s="419" t="str">
        <x:v>HIGH for offer</x:v>
      </x:c>
      <x:c r="O9" s="419" t="str">
        <x:v>INDEX-ONLY</x:v>
      </x:c>
      <x:c r="P9" s="419" t="str">
        <x:v>Do not copy advertisement</x:v>
      </x:c>
      <x:c r="Q9" s="419" t="str">
        <x:v>Paraphrase offer; unseen pack not inventoried</x:v>
      </x:c>
      <x:c r="R9" s="419" t="str">
        <x:v>INCLUDED — contents unresolved</x:v>
      </x:c>
      <x:c r="S9" s="419" t="str">
        <x:v>2026-07-30</x:v>
      </x:c>
      <x:c r="T9" s="419" t="str">
        <x:v>Repeated placements do not prove multiple pack editions.</x:v>
      </x:c>
    </x:row>
    <x:row r="10">
      <x:c r="A10" s="419" t="str">
        <x:v>SEQ-FLY-0006</x:v>
      </x:c>
      <x:c r="B10" s="419" t="str">
        <x:v>Catalog mailer</x:v>
      </x:c>
      <x:c r="C10" s="419" t="str">
        <x:v>1991 Haro/Fusion catalog request</x:v>
      </x:c>
      <x:c r="D10" s="419" t="str">
        <x:v>Advertisement in Nov 1991</x:v>
      </x:c>
      <x:c r="E10" s="419" t="str">
        <x:v>Haro; Fusion; West Coast Cycle</x:v>
      </x:c>
      <x:c r="F10" s="419" t="str">
        <x:v>1991 product catalog</x:v>
      </x:c>
      <x:c r="G10" s="419" t="str">
        <x:v>Not applicable</x:v>
      </x:c>
      <x:c r="H10" s="419" t="str">
        <x:v>Mail request</x:v>
      </x:c>
      <x:c r="I10" s="419" t="str">
        <x:v>Carlsbad, California, United States</x:v>
      </x:c>
      <x:c r="J10" s="419" t="str">
        <x:v>Send $2 for a 1991 catalog</x:v>
      </x:c>
      <x:c r="K10" s="419" t="str">
        <x:v>Period catalog mailer</x:v>
      </x:c>
      <x:c r="L10" s="419" t="str">
        <x:v>Haro 1990 BMXMuseum reference ID remains unresolved; mailer is independent</x:v>
      </x:c>
      <x:c r="M10" s="419" t="str">
        <x:v>https://www.previouspage.co.uk/issues/131-november-nineteen-ninety-one</x:v>
      </x:c>
      <x:c r="N10" s="419" t="str">
        <x:v>HIGH</x:v>
      </x:c>
      <x:c r="O10" s="419" t="str">
        <x:v>INDEX-ONLY</x:v>
      </x:c>
      <x:c r="P10" s="419" t="str">
        <x:v>Do not copy ad image</x:v>
      </x:c>
      <x:c r="Q10" s="419" t="str">
        <x:v>Paraphrase offer and distributor context</x:v>
      </x:c>
      <x:c r="R10" s="419" t="str">
        <x:v>INCLUDED</x:v>
      </x:c>
      <x:c r="S10" s="419" t="str">
        <x:v>2026-07-30</x:v>
      </x:c>
      <x:c r="T10" s="419" t="str">
        <x:v>Catalog-request fee stored separately from product prices.</x:v>
      </x:c>
    </x:row>
    <x:row r="11">
      <x:c r="A11" s="419" t="str">
        <x:v>SEQ-FLY-0007</x:v>
      </x:c>
      <x:c r="B11" s="419" t="str">
        <x:v>Dealer price-list / sticker offer</x:v>
      </x:c>
      <x:c r="C11" s="419" t="str">
        <x:v>Send SAE for price list and free sticker</x:v>
      </x:c>
      <x:c r="D11" s="419" t="str">
        <x:v>September 1982</x:v>
      </x:c>
      <x:c r="E11" s="419" t="str">
        <x:v>Retailer/dealer unresolved from indexed alignment</x:v>
      </x:c>
      <x:c r="F11" s="419" t="str">
        <x:v>BMX products and dealer price list</x:v>
      </x:c>
      <x:c r="G11" s="419" t="str">
        <x:v>Not applicable</x:v>
      </x:c>
      <x:c r="H11" s="419" t="str">
        <x:v>Mail-order dealer advertisement</x:v>
      </x:c>
      <x:c r="I11" s="419" t="str">
        <x:v>United Kingdom</x:v>
      </x:c>
      <x:c r="J11" s="419" t="str">
        <x:v>Self-addressed envelope for price list and free sticker</x:v>
      </x:c>
      <x:c r="K11" s="419" t="str">
        <x:v>Period retailer advertisement</x:v>
      </x:c>
      <x:c r="L11" s="419" t="str">
        <x:v>No exact BMXMuseum object recovered</x:v>
      </x:c>
      <x:c r="M11" s="419" t="str">
        <x:v>https://previouspage.co.uk/magazines/BMX%20Weekly/issues/213-september-nineteen-eighty-two</x:v>
      </x:c>
      <x:c r="N11" s="419" t="str">
        <x:v>MEDIUM</x:v>
      </x:c>
      <x:c r="O11" s="419" t="str">
        <x:v>INDEX-ONLY</x:v>
      </x:c>
      <x:c r="P11" s="419" t="str">
        <x:v>Do not copy advertisement</x:v>
      </x:c>
      <x:c r="Q11" s="419" t="str">
        <x:v>Paraphrase offer; dealer identity pending page inspection</x:v>
      </x:c>
      <x:c r="R11" s="419" t="str">
        <x:v>INCLUDED WITH LIMITS</x:v>
      </x:c>
      <x:c r="S11" s="419" t="str">
        <x:v>2026-07-30</x:v>
      </x:c>
      <x:c r="T11" s="419" t="str">
        <x:v>OCR alignment requires visual verification before dealer attribution.</x:v>
      </x:c>
    </x:row>
    <x:row r="12">
      <x:c r="A12" s="419" t="str">
        <x:v>SEQ-FLY-0008</x:v>
      </x:c>
      <x:c r="B12" s="419" t="str">
        <x:v>Event notice / contact flyer</x:v>
      </x:c>
      <x:c r="C12" s="419" t="str">
        <x:v>Ramp Jam — Moorhead, Minnesota</x:v>
      </x:c>
      <x:c r="D12" s="419" t="str">
        <x:v>1987-05-02</x:v>
      </x:c>
      <x:c r="E12" s="419" t="str">
        <x:v>Local organizer; Rob Staiger contact</x:v>
      </x:c>
      <x:c r="F12" s="419" t="str">
        <x:v>Ramp Jam</x:v>
      </x:c>
      <x:c r="G12" s="419" t="str">
        <x:v>Ramp riders</x:v>
      </x:c>
      <x:c r="H12" s="419" t="str">
        <x:v>Venue not exposed in indexed text</x:v>
      </x:c>
      <x:c r="I12" s="419" t="str">
        <x:v>Moorhead, Minnesota, United States</x:v>
      </x:c>
      <x:c r="J12" s="419" t="str">
        <x:v>Contact Rob Staiger for information</x:v>
      </x:c>
      <x:c r="K12" s="419" t="str">
        <x:v>Period magazine event notice</x:v>
      </x:c>
      <x:c r="L12" s="419" t="str">
        <x:v>No exact BMXMuseum object recovered</x:v>
      </x:c>
      <x:c r="M12" s="419" t="str">
        <x:v>https://previouspage.co.uk/magazines/BMX%20Plus/issues/243-may-nineteen-eighty-seven</x:v>
      </x:c>
      <x:c r="N12" s="419" t="str">
        <x:v>MEDIUM-HIGH</x:v>
      </x:c>
      <x:c r="O12" s="419" t="str">
        <x:v>INDEX-ONLY</x:v>
      </x:c>
      <x:c r="P12" s="419" t="str">
        <x:v>Do not copy notice</x:v>
      </x:c>
      <x:c r="Q12" s="419" t="str">
        <x:v>Paraphrase date/location/contact role; do not republish address</x:v>
      </x:c>
      <x:c r="R12" s="419" t="str">
        <x:v>INCLUDED — venue open</x:v>
      </x:c>
      <x:c r="S12" s="419" t="str">
        <x:v>2026-07-30</x:v>
      </x:c>
      <x:c r="T12" s="419" t="str">
        <x:v>Personal street address from period notice is intentionally not stored.</x:v>
      </x:c>
    </x:row>
    <x:row r="13">
      <x:c r="A13" s="419" t="str">
        <x:v>SEQ-FLY-0009</x:v>
      </x:c>
      <x:c r="B13" s="419" t="str">
        <x:v>Tour promotion / route notice</x:v>
      </x:c>
      <x:c r="C13" s="419" t="str">
        <x:v>DYNO Tour promotional stop listing</x:v>
      </x:c>
      <x:c r="D13" s="419" t="str">
        <x:v>1987</x:v>
      </x:c>
      <x:c r="E13" s="419" t="str">
        <x:v>Dyno</x:v>
      </x:c>
      <x:c r="F13" s="419" t="str">
        <x:v>Freestyle tour / dealer-stop promotion</x:v>
      </x:c>
      <x:c r="G13" s="419" t="str">
        <x:v>Tour riders not fully extracted</x:v>
      </x:c>
      <x:c r="H13" s="419" t="str">
        <x:v>Multiple stops; exact venues not itemized</x:v>
      </x:c>
      <x:c r="I13" s="419" t="str">
        <x:v>United States</x:v>
      </x:c>
      <x:c r="J13" s="419" t="str">
        <x:v>Publicity listing of stops and route context</x:v>
      </x:c>
      <x:c r="K13" s="419" t="str">
        <x:v>Period magazine promotional notice</x:v>
      </x:c>
      <x:c r="L13" s="419" t="str">
        <x:v>GT/Dyno catalog IDs unresolved; tour object independent</x:v>
      </x:c>
      <x:c r="M13" s="419" t="str">
        <x:v>https://previouspage.co.uk/magazines/BMX%20Plus/issues/244-july-nineteen-eighty-seven</x:v>
      </x:c>
      <x:c r="N13" s="419" t="str">
        <x:v>MEDIUM</x:v>
      </x:c>
      <x:c r="O13" s="419" t="str">
        <x:v>INDEX-ONLY</x:v>
      </x:c>
      <x:c r="P13" s="419" t="str">
        <x:v>Do not copy page image</x:v>
      </x:c>
      <x:c r="Q13" s="419" t="str">
        <x:v>Paraphrase tour existence; itemize stops only after page inspection</x:v>
      </x:c>
      <x:c r="R13" s="419" t="str">
        <x:v>INCLUDED — stops pending</x:v>
      </x:c>
      <x:c r="S13" s="419" t="str">
        <x:v>2026-07-30</x:v>
      </x:c>
      <x:c r="T13" s="419" t="str">
        <x:v>Do not create named venue records from city-only OCR.</x:v>
      </x:c>
    </x:row>
    <x:row r="14">
      <x:c r="A14" s="419" t="str">
        <x:v>SEQ-FLY-0010</x:v>
      </x:c>
      <x:c r="B14" s="419" t="str">
        <x:v>Event prize promotion</x:v>
      </x:c>
      <x:c r="C14" s="419" t="str">
        <x:v>Diamond Back Silver Streak free draw at Lee Cooper event</x:v>
      </x:c>
      <x:c r="D14" s="419" t="str">
        <x:v>Winter 1982–83</x:v>
      </x:c>
      <x:c r="E14" s="419" t="str">
        <x:v>Lee Cooper; Diamond Back</x:v>
      </x:c>
      <x:c r="F14" s="419" t="str">
        <x:v>Two Silver Streak bicycles offered in free daily draws</x:v>
      </x:c>
      <x:c r="G14" s="419" t="str">
        <x:v>Event attendees</x:v>
      </x:c>
      <x:c r="H14" s="419" t="str">
        <x:v>Lee Cooper BMX Indoor Grand Prix context</x:v>
      </x:c>
      <x:c r="I14" s="419" t="str">
        <x:v>Edmonton, London, United Kingdom</x:v>
      </x:c>
      <x:c r="J14" s="419" t="str">
        <x:v>Free draw each day for riders attending</x:v>
      </x:c>
      <x:c r="K14" s="419" t="str">
        <x:v>Period event promotion</x:v>
      </x:c>
      <x:c r="L14" s="419" t="str">
        <x:v>No exact BMXMuseum object recovered</x:v>
      </x:c>
      <x:c r="M14" s="419" t="str">
        <x:v>https://previouspage.co.uk/magazines/BMX%20Action%20Bike/issues/58-december%2Fjanuary-eighty-two</x:v>
      </x:c>
      <x:c r="N14" s="419" t="str">
        <x:v>MEDIUM-HIGH</x:v>
      </x:c>
      <x:c r="O14" s="419" t="str">
        <x:v>INDEX-ONLY</x:v>
      </x:c>
      <x:c r="P14" s="419" t="str">
        <x:v>Do not copy promotion</x:v>
      </x:c>
      <x:c r="Q14" s="419" t="str">
        <x:v>Paraphrase prize relationship and event context</x:v>
      </x:c>
      <x:c r="R14" s="419" t="str">
        <x:v>INCLUDED</x:v>
      </x:c>
      <x:c r="S14" s="419" t="str">
        <x:v>2026-07-30</x:v>
      </x:c>
      <x:c r="T14" s="419" t="str">
        <x:v>Separate from the pre-registration coupon because it verifies a distinct brand-event relationship.</x:v>
      </x:c>
    </x:row>
    <x:row r="15">
      <x:c r="A15" s="419" t="str">
        <x:v>SEQ-FLY-0011</x:v>
      </x:c>
      <x:c r="B15" s="419" t="str">
        <x:v>Dealer advertisement / price-list lead</x:v>
      </x:c>
      <x:c r="C15" s="419" t="str">
        <x:v>Langsett Cycles BMX product advertisement</x:v>
      </x:c>
      <x:c r="D15" s="419" t="str">
        <x:v>December 1983 issue</x:v>
      </x:c>
      <x:c r="E15" s="419" t="str">
        <x:v>Langsett Cycles</x:v>
      </x:c>
      <x:c r="F15" s="419" t="str">
        <x:v>Complete bikes, frames/forks, wheels and components</x:v>
      </x:c>
      <x:c r="G15" s="419" t="str">
        <x:v>Not applicable</x:v>
      </x:c>
      <x:c r="H15" s="419" t="str">
        <x:v>Langsett Cycles</x:v>
      </x:c>
      <x:c r="I15" s="419" t="str">
        <x:v>Sheffield, England, United Kingdom</x:v>
      </x:c>
      <x:c r="J15" s="419" t="str">
        <x:v>Retail prices and carriage terms; broad product inventory</x:v>
      </x:c>
      <x:c r="K15" s="419" t="str">
        <x:v>Period dealer advertisement</x:v>
      </x:c>
      <x:c r="L15" s="419" t="str">
        <x:v>No exact BMXMuseum object recovered</x:v>
      </x:c>
      <x:c r="M15" s="419" t="str">
        <x:v>https://previouspage.co.uk/magazines/BMX%20Action%20Bike/issues/87-december%20%2F%20january-eighty-three</x:v>
      </x:c>
      <x:c r="N15" s="419" t="str">
        <x:v>MEDIUM-HIGH</x:v>
      </x:c>
      <x:c r="O15" s="419" t="str">
        <x:v>INDEX-ONLY</x:v>
      </x:c>
      <x:c r="P15" s="419" t="str">
        <x:v>Do not copy advertisement</x:v>
      </x:c>
      <x:c r="Q15" s="419" t="str">
        <x:v>Extract only clearly aligned line items</x:v>
      </x:c>
      <x:c r="R15" s="419" t="str">
        <x:v>INCLUDED — deeper transcription deferred</x:v>
      </x:c>
      <x:c r="S15" s="419" t="str">
        <x:v>2026-07-30</x:v>
      </x:c>
      <x:c r="T15" s="419" t="str">
        <x:v>Dealer advertisement is not a manufacturer price sheet.</x:v>
      </x:c>
    </x:row>
    <x:row r="16">
      <x:c r="A16" s="419" t="str">
        <x:v>SEQ-FLY-0012</x:v>
      </x:c>
      <x:c r="B16" s="419" t="str">
        <x:v>Dealer/shop advertisement</x:v>
      </x:c>
      <x:c r="C16" s="419" t="str">
        <x:v>SR Cycles product and team promotion</x:v>
      </x:c>
      <x:c r="D16" s="419" t="str">
        <x:v>October 1983</x:v>
      </x:c>
      <x:c r="E16" s="419" t="str">
        <x:v>SR Cycles; SR Jets</x:v>
      </x:c>
      <x:c r="F16" s="419" t="str">
        <x:v>Dealer inventory and team-linked purchase promotion</x:v>
      </x:c>
      <x:c r="G16" s="419" t="str">
        <x:v>SR Jets</x:v>
      </x:c>
      <x:c r="H16" s="419" t="str">
        <x:v>SR Cycles</x:v>
      </x:c>
      <x:c r="I16" s="419" t="str">
        <x:v>Bristol / United Kingdom</x:v>
      </x:c>
      <x:c r="J16" s="419" t="str">
        <x:v>Free SR Jets race shirt with each bike bought through end of October; money-order hold offer</x:v>
      </x:c>
      <x:c r="K16" s="419" t="str">
        <x:v>Period dealer advertisement</x:v>
      </x:c>
      <x:c r="L16" s="419" t="str">
        <x:v>No exact BMXMuseum object recovered</x:v>
      </x:c>
      <x:c r="M16" s="419" t="str">
        <x:v>https://previouspage.co.uk/magazines/BMX%20Action%20Bike/issues/85-october-nineteen-eighty-three</x:v>
      </x:c>
      <x:c r="N16" s="419" t="str">
        <x:v>MEDIUM-HIGH</x:v>
      </x:c>
      <x:c r="O16" s="419" t="str">
        <x:v>INDEX-ONLY</x:v>
      </x:c>
      <x:c r="P16" s="419" t="str">
        <x:v>Do not copy advertisement</x:v>
      </x:c>
      <x:c r="Q16" s="419" t="str">
        <x:v>Paraphrase offer and brand list</x:v>
      </x:c>
      <x:c r="R16" s="419" t="str">
        <x:v>INCLUDED</x:v>
      </x:c>
      <x:c r="S16" s="419" t="str">
        <x:v>2026-07-30</x:v>
      </x:c>
      <x:c r="T16" s="419" t="str">
        <x:v>Connects dealer, team identity, brands and timed promotion.</x:v>
      </x:c>
    </x:row>
  </x:sheetData>
  <x:mergeCells>
    <x:mergeCell ref="A1:T1"/>
    <x:mergeCell ref="A2:T2"/>
  </x:mergeCells>
  <x:dataValidations count="2">
    <x:dataValidation type="list" sqref="N5:N16">
      <x:formula1>"HIGH,MEDIUM-HIGH,MEDIUM,LOW-MEDIUM,LOW"</x:formula1>
    </x:dataValidation>
    <x:dataValidation type="list" sqref="O5:O16">
      <x:formula1>"INDEX-ONLY,INDEX-ONLY / PERMISSION REQUIRED,RESTRICTED"</x:formula1>
    </x:dataValidation>
  </x:dataValidations>
  <x:pageMargins left="0.7" right="0.7" top="0.75" bottom="0.75" header="0.3" footer="0.3"/>
  <x:tableParts count="1">
    <x:tablePart xmlns:r="http://schemas.openxmlformats.org/officeDocument/2006/relationships" r:id="Rd06bbbad98354fcd"/>
  </x:tableParts>
</x:worksheet>
</file>

<file path=xl/worksheets/sheet45.xml><?xml version="1.0" encoding="utf-8"?>
<x:worksheet xmlns:x="http://schemas.openxmlformats.org/spreadsheetml/2006/main">
  <x:sheetFormatPr defaultRowHeight="15"/>
  <x:cols>
    <x:col min="1" max="1" width="25" hidden="0" customWidth="1"/>
    <x:col min="2" max="2" width="12" hidden="0" customWidth="1"/>
    <x:col min="3" max="3" width="39" hidden="0" customWidth="1"/>
    <x:col min="4" max="4" width="31" hidden="0" customWidth="1"/>
    <x:col min="5" max="5" width="24" hidden="0" customWidth="1"/>
    <x:col min="6" max="6" width="13" hidden="0" customWidth="1"/>
    <x:col min="7" max="7" width="35" hidden="0" customWidth="1"/>
    <x:col min="8" max="8" width="12" hidden="0" customWidth="1"/>
  </x:cols>
  <x:sheetData>
    <x:row r="1" ht="30" customHeight="1">
      <x:c r="A1" s="404" t="str">
        <x:v>v0.9 — Flyer &amp; Promotional Ephemera Dashboard</x:v>
      </x:c>
    </x:row>
    <x:row r="2" ht="34" customHeight="1">
      <x:c r="A2" s="408" t="str">
        <x:v>Fourth sequence stage: event, dealer, team, contest, mailer and information-pack objects with dates, venues, offers and privacy controls.</x:v>
      </x:c>
    </x:row>
    <x:row r="4" ht="34" customHeight="1">
      <x:c r="A4" s="414" t="str">
        <x:v>Metric</x:v>
      </x:c>
      <x:c r="B4" s="414" t="str">
        <x:v>Count</x:v>
      </x:c>
      <x:c r="C4" s="414" t="str">
        <x:v>Outcome</x:v>
      </x:c>
      <x:c r="D4" s="414" t="str">
        <x:v>Determination</x:v>
      </x:c>
      <x:c r="E4" s="414" t="str">
        <x:v>Rights / privacy</x:v>
      </x:c>
      <x:c r="F4" s="414" t="str">
        <x:v>Status</x:v>
      </x:c>
      <x:c r="G4" s="414" t="str">
        <x:v>Next action</x:v>
      </x:c>
      <x:c r="H4" s="414" t="str">
        <x:v>Version</x:v>
      </x:c>
    </x:row>
    <x:row r="5">
      <x:c r="A5" s="419" t="str">
        <x:v>Flyer/promotional records</x:v>
      </x:c>
      <x:c r="B5" s="419" t="n">
        <x:f>COUNTA('v0.9 Flyer Register'!A5:A100)</x:f>
        <x:v>12</x:v>
      </x:c>
      <x:c r="C5" s="419" t="str">
        <x:v>Distinct event, mailer, contest, dealer and tour objects.</x:v>
      </x:c>
      <x:c r="D5" s="419" t="str">
        <x:v>12 records.</x:v>
      </x:c>
      <x:c r="E5" s="419" t="str">
        <x:v>No images copied.</x:v>
      </x:c>
      <x:c r="F5" s="419" t="str">
        <x:v>GREEN</x:v>
      </x:c>
      <x:c r="G5" s="419" t="str">
        <x:v>Itemize repeated placements only when materially different.</x:v>
      </x:c>
      <x:c r="H5" s="419" t="str">
        <x:v>v0.9</x:v>
      </x:c>
    </x:row>
    <x:row r="6">
      <x:c r="A6" s="419" t="str">
        <x:v>Event-related objects</x:v>
      </x:c>
      <x:c r="B6" s="419" t="n">
        <x:f>COUNTIF('v0.9 Flyer Register'!B5:B100,"*Event*")+COUNTIF('v0.9 Flyer Register'!B5:B100,"*Tour*")</x:f>
        <x:v>0</x:v>
      </x:c>
      <x:c r="C6" s="419" t="str">
        <x:v>Pontin's, Lee Cooper, AFA Austin and Ramp Jam are separately represented.</x:v>
      </x:c>
      <x:c r="D6" s="419" t="str">
        <x:v>4+ objects.</x:v>
      </x:c>
      <x:c r="E6" s="419" t="str">
        <x:v>Dates/venues graded.</x:v>
      </x:c>
      <x:c r="F6" s="419" t="str">
        <x:v>GREEN</x:v>
      </x:c>
      <x:c r="G6" s="419" t="str">
        <x:v>Resolve Lee Cooper event dates and Ramp Jam venue.</x:v>
      </x:c>
      <x:c r="H6" s="419" t="str">
        <x:v>v0.9</x:v>
      </x:c>
    </x:row>
    <x:row r="7">
      <x:c r="A7" s="419" t="str">
        <x:v>Dealer/shop objects</x:v>
      </x:c>
      <x:c r="B7" s="419" t="n">
        <x:f>COUNTIF('v0.9 Flyer Register'!B5:B100,"*Dealer*")</x:f>
        <x:v>0</x:v>
      </x:c>
      <x:c r="C7" s="419" t="str">
        <x:v>Price-list offers and shop promotions are not mislabeled as manufacturer sheets.</x:v>
      </x:c>
      <x:c r="D7" s="419" t="str">
        <x:v>3 records.</x:v>
      </x:c>
      <x:c r="E7" s="419" t="str">
        <x:v>Seller context retained.</x:v>
      </x:c>
      <x:c r="F7" s="419" t="str">
        <x:v>GREEN</x:v>
      </x:c>
      <x:c r="G7" s="419" t="str">
        <x:v>Inspect page alignment before line-item expansion.</x:v>
      </x:c>
      <x:c r="H7" s="419" t="str">
        <x:v>v0.9</x:v>
      </x:c>
    </x:row>
    <x:row r="8">
      <x:c r="A8" s="419" t="str">
        <x:v>Catalog/info-pack mailers</x:v>
      </x:c>
      <x:c r="B8" s="419" t="n">
        <x:f>COUNTIF('v0.9 Flyer Register'!B5:B100,"*mailer*")</x:f>
        <x:v>0</x:v>
      </x:c>
      <x:c r="C8" s="419" t="str">
        <x:v>Diamond Back and Haro/Fusion mailers are separately captured.</x:v>
      </x:c>
      <x:c r="D8" s="419" t="str">
        <x:v>2 records.</x:v>
      </x:c>
      <x:c r="E8" s="419" t="str">
        <x:v>Unseen contents not counted.</x:v>
      </x:c>
      <x:c r="F8" s="419" t="str">
        <x:v>GREEN</x:v>
      </x:c>
      <x:c r="G8" s="419" t="str">
        <x:v>Locate surviving packs or canonical scans lawfully.</x:v>
      </x:c>
      <x:c r="H8" s="419" t="str">
        <x:v>v0.9</x:v>
      </x:c>
    </x:row>
    <x:row r="9">
      <x:c r="A9" s="419" t="str">
        <x:v>Contest/prize objects</x:v>
      </x:c>
      <x:c r="B9" s="419" t="n">
        <x:f>COUNTIF('v0.9 Flyer Register'!B5:B100,"*Contest*")+COUNTIF('v0.9 Flyer Register'!B5:B100,"*prize*")</x:f>
        <x:v>0</x:v>
      </x:c>
      <x:c r="C9" s="419" t="str">
        <x:v>GT Hide-A-Contest and Silver Streak event draw are separate promotions.</x:v>
      </x:c>
      <x:c r="D9" s="419" t="str">
        <x:v>2 records.</x:v>
      </x:c>
      <x:c r="E9" s="419" t="str">
        <x:v>No entry-form image copied.</x:v>
      </x:c>
      <x:c r="F9" s="419" t="str">
        <x:v>GREEN</x:v>
      </x:c>
      <x:c r="G9" s="419" t="str">
        <x:v>Recover prize details where exposed.</x:v>
      </x:c>
      <x:c r="H9" s="419" t="str">
        <x:v>v0.9</x:v>
      </x:c>
    </x:row>
    <x:row r="10">
      <x:c r="A10" s="419" t="str">
        <x:v>Personal addresses stored</x:v>
      </x:c>
      <x:c r="B10" s="419" t="n">
        <x:v>0</x:v>
      </x:c>
      <x:c r="C10" s="419" t="str">
        <x:v>Period contact role retained; street address intentionally omitted.</x:v>
      </x:c>
      <x:c r="D10" s="419" t="str">
        <x:v>Zero.</x:v>
      </x:c>
      <x:c r="E10" s="419" t="str">
        <x:v>Privacy safeguard.</x:v>
      </x:c>
      <x:c r="F10" s="419" t="str">
        <x:v>GREEN</x:v>
      </x:c>
      <x:c r="G10" s="419" t="str">
        <x:v>Continue minimum-necessary personal data.</x:v>
      </x:c>
      <x:c r="H10" s="419" t="str">
        <x:v>v0.9</x:v>
      </x:c>
    </x:row>
    <x:row r="11">
      <x:c r="A11" s="419" t="str">
        <x:v>Exact new BMXMuseum IDs</x:v>
      </x:c>
      <x:c r="B11" s="419" t="n">
        <x:v>0</x:v>
      </x:c>
      <x:c r="C11" s="419" t="str">
        <x:v>Flyer objects were recovered from period publications, not canonical BMXMuseum links.</x:v>
      </x:c>
      <x:c r="D11" s="419" t="str">
        <x:v>Zero.</x:v>
      </x:c>
      <x:c r="E11" s="419" t="str">
        <x:v>No bypass.</x:v>
      </x:c>
      <x:c r="F11" s="419" t="str">
        <x:v>OPEN</x:v>
      </x:c>
      <x:c r="G11" s="419" t="str">
        <x:v>Cross-link if canonical records surface later.</x:v>
      </x:c>
      <x:c r="H11" s="419" t="str">
        <x:v>v0.9</x:v>
      </x:c>
    </x:row>
    <x:row r="12">
      <x:c r="A12" s="419" t="str">
        <x:v>Copied scans/images</x:v>
      </x:c>
      <x:c r="B12" s="419" t="n">
        <x:v>0</x:v>
      </x:c>
      <x:c r="C12" s="419" t="str">
        <x:v>No flyer, coupon or advertisement image embedded.</x:v>
      </x:c>
      <x:c r="D12" s="419" t="str">
        <x:v>Zero.</x:v>
      </x:c>
      <x:c r="E12" s="419" t="str">
        <x:v>Green boundary preserved.</x:v>
      </x:c>
      <x:c r="F12" s="419" t="str">
        <x:v>GREEN</x:v>
      </x:c>
      <x:c r="G12" s="419" t="str">
        <x:v>Consolidate into v1.0.</x:v>
      </x:c>
      <x:c r="H12" s="419" t="str">
        <x:v>v0.9</x:v>
      </x:c>
    </x:row>
    <x:row r="13">
      <x:c r="A13" s="419" t="str">
        <x:v>Stage result</x:v>
      </x:c>
      <x:c r="B13" s="419" t="n">
        <x:f>COUNTA('v0.9 Flyer Register'!A5:A100)</x:f>
        <x:v>12</x:v>
      </x:c>
      <x:c r="C13" s="419" t="str">
        <x:v>The project now covers product and price ephemera plus public-facing event and dealer material.</x:v>
      </x:c>
      <x:c r="D13" s="419" t="str">
        <x:v>Sequence data complete.</x:v>
      </x:c>
      <x:c r="E13" s="419" t="str">
        <x:v>Index broadly; republish narrowly.</x:v>
      </x:c>
      <x:c r="F13" s="419" t="str">
        <x:v>LOCKED</x:v>
      </x:c>
      <x:c r="G13" s="419" t="str">
        <x:v>Build v1.0 audit and preservation layer.</x:v>
      </x:c>
      <x:c r="H13" s="419" t="str">
        <x:v>v0.9</x:v>
      </x:c>
    </x:row>
  </x:sheetData>
  <x:mergeCells>
    <x:mergeCell ref="A1:H1"/>
    <x:mergeCell ref="A2:H2"/>
  </x:mergeCells>
  <x:conditionalFormatting sqref="F5:F13">
    <x:cfRule type="expression" dxfId="21" priority="1">
      <x:formula>F5="GREEN"</x:formula>
    </x:cfRule>
    <x:cfRule type="expression" dxfId="22" priority="2">
      <x:formula>F5="OPEN"</x:formula>
    </x:cfRule>
    <x:cfRule type="expression" dxfId="23" priority="3">
      <x:formula>F5="LOCKED"</x:formula>
    </x:cfRule>
  </x:conditionalFormatting>
  <x:pageMargins left="0.7" right="0.7" top="0.75" bottom="0.75" header="0.3" footer="0.3"/>
  <x:tableParts count="1">
    <x:tablePart xmlns:r="http://schemas.openxmlformats.org/officeDocument/2006/relationships" r:id="R7f9c410defa34ccf"/>
  </x:tableParts>
</x:worksheet>
</file>

<file path=xl/worksheets/sheet46.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25" hidden="0" customWidth="1"/>
    <x:col min="5" max="5" width="38" hidden="0" customWidth="1"/>
    <x:col min="6" max="6" width="12" hidden="0" customWidth="1"/>
    <x:col min="7" max="7" width="12" hidden="0" customWidth="1"/>
    <x:col min="8" max="8" width="21" hidden="0" customWidth="1"/>
    <x:col min="9" max="9" width="25" hidden="0" customWidth="1"/>
    <x:col min="10" max="10" width="38" hidden="0" customWidth="1"/>
    <x:col min="11" max="11" width="25" hidden="0" customWidth="1"/>
    <x:col min="12" max="12" width="30" hidden="0" customWidth="1"/>
    <x:col min="13" max="13" width="16" hidden="0" customWidth="1"/>
    <x:col min="14" max="14" width="28" hidden="0" customWidth="1"/>
    <x:col min="15" max="15" width="44" hidden="0" customWidth="1"/>
    <x:col min="16" max="16" width="17" hidden="0" customWidth="1"/>
    <x:col min="17" max="17" width="16" hidden="0" customWidth="1"/>
    <x:col min="18" max="18" width="30" hidden="0" customWidth="1"/>
    <x:col min="19" max="19" width="35" hidden="0" customWidth="1"/>
    <x:col min="20" max="20" width="35" hidden="0" customWidth="1"/>
    <x:col min="21" max="21" width="36" hidden="0" customWidth="1"/>
    <x:col min="22" max="22" width="22" hidden="0" customWidth="1"/>
    <x:col min="23" max="23" width="31" hidden="0" customWidth="1"/>
    <x:col min="24" max="24" width="42" hidden="0" customWidth="1"/>
    <x:col min="25" max="25" width="13" hidden="0" customWidth="1"/>
  </x:cols>
  <x:sheetData>
    <x:row r="1" ht="30" customHeight="1">
      <x:c r="A1" s="404" t="str">
        <x:v>v1.0 — Consolidated Ephemera Master Register</x:v>
      </x:c>
    </x:row>
    <x:row r="2" ht="34" customHeight="1">
      <x:c r="A2" s="408" t="str">
        <x:v>All inherited and sequence records remain visible. Duplicate groups merge object identity without deleting source occurrences or repeated placements.</x:v>
      </x:c>
    </x:row>
    <x:row r="4" ht="34" customHeight="1">
      <x:c r="A4" s="414" t="str">
        <x:v>Master ID</x:v>
      </x:c>
      <x:c r="B4" s="414" t="str">
        <x:v>Source Stage</x:v>
      </x:c>
      <x:c r="C4" s="414" t="str">
        <x:v>Original ID</x:v>
      </x:c>
      <x:c r="D4" s="414" t="str">
        <x:v>Object Type</x:v>
      </x:c>
      <x:c r="E4" s="414" t="str">
        <x:v>Title</x:v>
      </x:c>
      <x:c r="F4" s="414" t="str">
        <x:v>Start Year</x:v>
      </x:c>
      <x:c r="G4" s="414" t="str">
        <x:v>End Year</x:v>
      </x:c>
      <x:c r="H4" s="414" t="str">
        <x:v>Date Text</x:v>
      </x:c>
      <x:c r="I4" s="414" t="str">
        <x:v>Brand / Promoter</x:v>
      </x:c>
      <x:c r="J4" s="414" t="str">
        <x:v>Primary Subject</x:v>
      </x:c>
      <x:c r="K4" s="414" t="str">
        <x:v>Geography</x:v>
      </x:c>
      <x:c r="L4" s="414" t="str">
        <x:v>BMXMuseum Status</x:v>
      </x:c>
      <x:c r="M4" s="414" t="str">
        <x:v>Exact Reference ID</x:v>
      </x:c>
      <x:c r="N4" s="414" t="str">
        <x:v>Source Role</x:v>
      </x:c>
      <x:c r="O4" s="414" t="str">
        <x:v>Evidence / Limitation</x:v>
      </x:c>
      <x:c r="P4" s="414" t="str">
        <x:v>Confidence</x:v>
      </x:c>
      <x:c r="Q4" s="414" t="str">
        <x:v>Rights Code</x:v>
      </x:c>
      <x:c r="R4" s="414" t="str">
        <x:v>Research Status</x:v>
      </x:c>
      <x:c r="S4" s="414" t="str">
        <x:v>Primary Source URL</x:v>
      </x:c>
      <x:c r="T4" s="414" t="str">
        <x:v>Secondary Source URL</x:v>
      </x:c>
      <x:c r="U4" s="414" t="str">
        <x:v>Normalized Duplicate Key</x:v>
      </x:c>
      <x:c r="V4" s="414" t="str">
        <x:v>Duplicate Group</x:v>
      </x:c>
      <x:c r="W4" s="414" t="str">
        <x:v>Canonical Action</x:v>
      </x:c>
      <x:c r="X4" s="414" t="str">
        <x:v>Notes</x:v>
      </x:c>
      <x:c r="Y4" s="414" t="str">
        <x:v>Accessed</x:v>
      </x:c>
    </x:row>
    <x:row r="5">
      <x:c r="A5" s="419" t="str">
        <x:v>EPH-0001</x:v>
      </x:c>
      <x:c r="B5" s="419" t="str">
        <x:v>v0.5 inherited</x:v>
      </x:c>
      <x:c r="C5" s="419" t="str">
        <x:v>BM-AD-0001</x:v>
      </x:c>
      <x:c r="D5" s="419" t="str">
        <x:v>Catalog</x:v>
      </x:c>
      <x:c r="E5" s="419" t="str">
        <x:v>1996 GT/Dyno — The BMX &amp; Freestyle Catalog</x:v>
      </x:c>
      <x:c r="F5" s="421" t="n">
        <x:v>1996</x:v>
      </x:c>
      <x:c r="G5" s="421" t="n">
        <x:v>1996</x:v>
      </x:c>
      <x:c r="H5" s="419" t="str">
        <x:v>1996</x:v>
      </x:c>
      <x:c r="I5" s="419" t="str">
        <x:v>GT; Dyno</x:v>
      </x:c>
      <x:c r="J5" s="419" t="str">
        <x:v>Model lineup, colors, component specifications, team imagery and brand positioning for 1996.</x:v>
      </x:c>
      <x:c r="K5" s="419" t="str">
        <x:v>Unresolved / varies</x:v>
      </x:c>
      <x:c r="L5" s="419" t="str">
        <x:v>Reference title exposed; exact ID unresolved</x:v>
      </x:c>
      <x:c r="M5" s="419" t="str"/>
      <x:c r="N5" s="419" t="str">
        <x:v>Existing public knowledge register</x:v>
      </x:c>
      <x:c r="O5" s="419" t="str">
        <x:v>Public indexing exposes the title and BMXMuseum provenance but not a reliable reference ID or complete page set.</x:v>
      </x:c>
      <x:c r="P5" s="419" t="str">
        <x:v>MEDIUM</x:v>
      </x:c>
      <x:c r="Q5" s="419" t="str">
        <x:v>INDEX-ONLY</x:v>
      </x:c>
      <x:c r="R5" s="419" t="str">
        <x:v>Lead — locate exact reference ID and edition/page count.</x:v>
      </x:c>
      <x:c r="S5" s="419" t="str">
        <x:v>https://www.pinterest.com/pin/bmxmuseumcom-reference-1996-gtdyno-the-bmx-freestyle-catalog--491877590560035755/</x:v>
      </x:c>
      <x:c r="T5" s="419"/>
      <x:c r="U5" s="419" t="str">
        <x:v>gt dyno|1996 gt dyno the bmx freestyle catalog|1996</x:v>
      </x:c>
      <x:c r="V5" s="419" t="str">
        <x:v>DUP-GTD-1996</x:v>
      </x:c>
      <x:c r="W5" s="419" t="str">
        <x:v>MERGE identity; preserve source occurrence</x:v>
      </x:c>
      <x:c r="X5" s="419" t="str">
        <x:v>Image: Do not copy scans. Text: Paraphrase bibliographic facts only.</x:v>
      </x:c>
      <x:c r="Y5" s="419" t="str">
        <x:v>2026-07-30</x:v>
      </x:c>
    </x:row>
    <x:row r="6">
      <x:c r="A6" s="419" t="str">
        <x:v>EPH-0002</x:v>
      </x:c>
      <x:c r="B6" s="419" t="str">
        <x:v>v0.5 inherited</x:v>
      </x:c>
      <x:c r="C6" s="419" t="str">
        <x:v>BM-AD-0002</x:v>
      </x:c>
      <x:c r="D6" s="419" t="str">
        <x:v>Catalog</x:v>
      </x:c>
      <x:c r="E6" s="419" t="str">
        <x:v>1992 GT/Dyno Product Catalog</x:v>
      </x:c>
      <x:c r="F6" s="421" t="n">
        <x:v>1992</x:v>
      </x:c>
      <x:c r="G6" s="421" t="n">
        <x:v>1992</x:v>
      </x:c>
      <x:c r="H6" s="419" t="str">
        <x:v>1992</x:v>
      </x:c>
      <x:c r="I6" s="419" t="str">
        <x:v>GT; Dyno</x:v>
      </x:c>
      <x:c r="J6" s="419" t="str">
        <x:v>Model-year lineup, specifications and GT/Dyno brand relationship.</x:v>
      </x:c>
      <x:c r="K6" s="419" t="str">
        <x:v>Unresolved / varies</x:v>
      </x:c>
      <x:c r="L6" s="419" t="str">
        <x:v>Reference title exposed; exact ID unresolved</x:v>
      </x:c>
      <x:c r="M6" s="419" t="str"/>
      <x:c r="N6" s="419" t="str">
        <x:v>Existing public knowledge register</x:v>
      </x:c>
      <x:c r="O6" s="419" t="str">
        <x:v>Title is publicly indexed; exact reference ID and completeness remain unresolved.</x:v>
      </x:c>
      <x:c r="P6" s="419" t="str">
        <x:v>MEDIUM</x:v>
      </x:c>
      <x:c r="Q6" s="419" t="str">
        <x:v>INDEX-ONLY</x:v>
      </x:c>
      <x:c r="R6" s="419" t="str">
        <x:v>Lead — locate exact reference and compare with independent catalog archives.</x:v>
      </x:c>
      <x:c r="S6" s="419" t="str">
        <x:v>https://in.pinterest.com/pin/1011550766308215575/</x:v>
      </x:c>
      <x:c r="T6" s="419"/>
      <x:c r="U6" s="419" t="str">
        <x:v>gt dyno|1992 gt dyno product catalog|1992</x:v>
      </x:c>
      <x:c r="V6" s="419" t="str">
        <x:v>DUP-GTD-1992</x:v>
      </x:c>
      <x:c r="W6" s="419" t="str">
        <x:v>MERGE identity; preserve source occurrence</x:v>
      </x:c>
      <x:c r="X6" s="419" t="str">
        <x:v>Image: Do not copy scans. Text: Paraphrase bibliographic facts only.</x:v>
      </x:c>
      <x:c r="Y6" s="419" t="str">
        <x:v>2026-07-30</x:v>
      </x:c>
    </x:row>
    <x:row r="7">
      <x:c r="A7" s="419" t="str">
        <x:v>EPH-0003</x:v>
      </x:c>
      <x:c r="B7" s="419" t="str">
        <x:v>v0.5 inherited</x:v>
      </x:c>
      <x:c r="C7" s="419" t="str">
        <x:v>BM-AD-0003</x:v>
      </x:c>
      <x:c r="D7" s="419" t="str">
        <x:v>Catalog</x:v>
      </x:c>
      <x:c r="E7" s="419" t="str">
        <x:v>1999 GT/Dyno BMX/Freestyle — Part 2</x:v>
      </x:c>
      <x:c r="F7" s="421" t="n">
        <x:v>1999</x:v>
      </x:c>
      <x:c r="G7" s="421" t="n">
        <x:v>1999</x:v>
      </x:c>
      <x:c r="H7" s="419" t="str">
        <x:v>1999</x:v>
      </x:c>
      <x:c r="I7" s="419" t="str">
        <x:v>GT; Dyno</x:v>
      </x:c>
      <x:c r="J7" s="419" t="str">
        <x:v>Late-1990s model lineup, parts and visual branding.</x:v>
      </x:c>
      <x:c r="K7" s="419" t="str">
        <x:v>Unresolved / varies</x:v>
      </x:c>
      <x:c r="L7" s="419" t="str">
        <x:v>Reference title exposed; exact ID unresolved</x:v>
      </x:c>
      <x:c r="M7" s="419" t="str"/>
      <x:c r="N7" s="419" t="str">
        <x:v>Existing public knowledge register</x:v>
      </x:c>
      <x:c r="O7" s="419" t="str">
        <x:v>Only the indexed title is presently recoverable.</x:v>
      </x:c>
      <x:c r="P7" s="419" t="str">
        <x:v>LOW-MEDIUM</x:v>
      </x:c>
      <x:c r="Q7" s="419" t="str">
        <x:v>INDEX-ONLY</x:v>
      </x:c>
      <x:c r="R7" s="419" t="str">
        <x:v>Lead — locate part 1, exact reference IDs and page ranges.</x:v>
      </x:c>
      <x:c r="S7" s="419" t="str">
        <x:v>https://www.pinterest.com/pin/bmxmuseumcom-reference-1999-gtdyno-bmxfreestyle-part-2-in-2025--798192733998105769/</x:v>
      </x:c>
      <x:c r="T7" s="419"/>
      <x:c r="U7" s="419" t="str">
        <x:v>gt dyno|1999 gt dyno bmx freestyle part 2|1999</x:v>
      </x:c>
      <x:c r="V7" s="419" t="str">
        <x:v>DUP-GTD-1999-P2</x:v>
      </x:c>
      <x:c r="W7" s="419" t="str">
        <x:v>MERGE identity; preserve source occurrence</x:v>
      </x:c>
      <x:c r="X7" s="419" t="str">
        <x:v>Image: Do not copy scans. Text: Paraphrase bibliographic facts only.</x:v>
      </x:c>
      <x:c r="Y7" s="419" t="str">
        <x:v>2026-07-30</x:v>
      </x:c>
    </x:row>
    <x:row r="8">
      <x:c r="A8" s="419" t="str">
        <x:v>EPH-0004</x:v>
      </x:c>
      <x:c r="B8" s="419" t="str">
        <x:v>v0.5 inherited</x:v>
      </x:c>
      <x:c r="C8" s="419" t="str">
        <x:v>BM-AD-0004</x:v>
      </x:c>
      <x:c r="D8" s="419" t="str">
        <x:v>Catalog</x:v>
      </x:c>
      <x:c r="E8" s="419" t="str">
        <x:v>1990 Haro BMX Catalog</x:v>
      </x:c>
      <x:c r="F8" s="421" t="n">
        <x:v>1990</x:v>
      </x:c>
      <x:c r="G8" s="421" t="n">
        <x:v>1990</x:v>
      </x:c>
      <x:c r="H8" s="419" t="str">
        <x:v>1990</x:v>
      </x:c>
      <x:c r="I8" s="419" t="str">
        <x:v>Haro</x:v>
      </x:c>
      <x:c r="J8" s="419" t="str">
        <x:v>Haro's 1990 models, specifications, colors and marketing.</x:v>
      </x:c>
      <x:c r="K8" s="419" t="str">
        <x:v>Unresolved / varies</x:v>
      </x:c>
      <x:c r="L8" s="419" t="str">
        <x:v>Reference title exposed; exact ID unresolved</x:v>
      </x:c>
      <x:c r="M8" s="419" t="str"/>
      <x:c r="N8" s="419" t="str">
        <x:v>Existing public knowledge register</x:v>
      </x:c>
      <x:c r="O8" s="419" t="str">
        <x:v>Haro's official BMX archive independently lists a 1990 PDF catalog. The BMXMuseum reference ID and document completeness remain unresolved.</x:v>
      </x:c>
      <x:c r="P8" s="419" t="str">
        <x:v>LOW-MEDIUM</x:v>
      </x:c>
      <x:c r="Q8" s="419" t="str">
        <x:v>INDEX-ONLY</x:v>
      </x:c>
      <x:c r="R8" s="419" t="str">
        <x:v>Verified catalog existence — recover exact BMXMuseum ID and compare editions/pages.</x:v>
      </x:c>
      <x:c r="S8" s="419" t="str">
        <x:v>https://storage.googleapis.com/dioyjtkukhpqse/haro-bmx-catalog.html</x:v>
      </x:c>
      <x:c r="T8" s="419" t="str">
        <x:v>https://archive.harobikes.com/</x:v>
      </x:c>
      <x:c r="U8" s="419" t="str">
        <x:v>haro|1990 haro bmx catalog|1990</x:v>
      </x:c>
      <x:c r="V8" s="419" t="str">
        <x:v>DUP-HARO-1990-CAT</x:v>
      </x:c>
      <x:c r="W8" s="419" t="str">
        <x:v>MERGE identity; preserve source occurrence</x:v>
      </x:c>
      <x:c r="X8" s="419" t="str">
        <x:v>Image: Do not copy scans. Text: Paraphrase bibliographic facts only.</x:v>
      </x:c>
      <x:c r="Y8" s="419" t="str">
        <x:v>2026-07-30</x:v>
      </x:c>
    </x:row>
    <x:row r="9">
      <x:c r="A9" s="419" t="str">
        <x:v>EPH-0005</x:v>
      </x:c>
      <x:c r="B9" s="419" t="str">
        <x:v>v0.5 inherited</x:v>
      </x:c>
      <x:c r="C9" s="419" t="str">
        <x:v>BM-AD-0005</x:v>
      </x:c>
      <x:c r="D9" s="419" t="str">
        <x:v>Product literature</x:v>
      </x:c>
      <x:c r="E9" s="419" t="str">
        <x:v>1987 Dia-Compe 182 Aerial Brake Lever</x:v>
      </x:c>
      <x:c r="F9" s="421" t="n">
        <x:v>1987</x:v>
      </x:c>
      <x:c r="G9" s="421" t="n">
        <x:v>1987</x:v>
      </x:c>
      <x:c r="H9" s="419" t="str">
        <x:v>1987</x:v>
      </x:c>
      <x:c r="I9" s="419" t="str">
        <x:v>Dia-Compe</x:v>
      </x:c>
      <x:c r="J9" s="419" t="str">
        <x:v>Product name, year, design and marketing context.</x:v>
      </x:c>
      <x:c r="K9" s="419" t="str">
        <x:v>Unresolved / varies</x:v>
      </x:c>
      <x:c r="L9" s="419" t="str">
        <x:v>Reference title exposed; exact ID unresolved</x:v>
      </x:c>
      <x:c r="M9" s="419" t="str"/>
      <x:c r="N9" s="419" t="str">
        <x:v>Existing public knowledge register</x:v>
      </x:c>
      <x:c r="O9" s="419" t="str">
        <x:v>Indexed title only; the object may be a catalog page, advertisement or product reference.</x:v>
      </x:c>
      <x:c r="P9" s="419" t="str">
        <x:v>MEDIUM</x:v>
      </x:c>
      <x:c r="Q9" s="419" t="str">
        <x:v>INDEX-ONLY</x:v>
      </x:c>
      <x:c r="R9" s="419" t="str">
        <x:v>Lead — identify publication, page and exact BMXMuseum reference.</x:v>
      </x:c>
      <x:c r="S9" s="419" t="str">
        <x:v>https://www.pinterest.com/pin/bmxmuseumcom-reference-1987-diacompe-182-aerial-brake-lever--731623901972849898/</x:v>
      </x:c>
      <x:c r="T9" s="419"/>
      <x:c r="U9" s="419" t="str">
        <x:v>dia compe|1987 dia compe 182 aerial brake lever|1987</x:v>
      </x:c>
      <x:c r="V9" s="419" t="str"/>
      <x:c r="W9" s="419" t="str">
        <x:v>RETAIN — unique source record</x:v>
      </x:c>
      <x:c r="X9" s="419" t="str">
        <x:v>Image: Do not copy image. Text: Paraphrase bibliographic facts only.</x:v>
      </x:c>
      <x:c r="Y9" s="419" t="str">
        <x:v>2026-07-30</x:v>
      </x:c>
    </x:row>
    <x:row r="10">
      <x:c r="A10" s="419" t="str">
        <x:v>EPH-0006</x:v>
      </x:c>
      <x:c r="B10" s="419" t="str">
        <x:v>v0.5 inherited</x:v>
      </x:c>
      <x:c r="C10" s="419" t="str">
        <x:v>BM-AD-0006</x:v>
      </x:c>
      <x:c r="D10" s="419" t="str">
        <x:v>Catalog</x:v>
      </x:c>
      <x:c r="E10" s="419" t="str">
        <x:v>Ashtabula component catalog</x:v>
      </x:c>
      <x:c r="F10" s="421" t="n">
        <x:v>1977</x:v>
      </x:c>
      <x:c r="G10" s="421" t="n">
        <x:v>1977</x:v>
      </x:c>
      <x:c r="H10" s="419" t="str">
        <x:v>circa 1977 (unverified)</x:v>
      </x:c>
      <x:c r="I10" s="419" t="str">
        <x:v>Ashtabula</x:v>
      </x:c>
      <x:c r="J10" s="419" t="str">
        <x:v>Fork sizes, steerer dimensions and product range across wheel sizes.</x:v>
      </x:c>
      <x:c r="K10" s="419" t="str">
        <x:v>Unresolved / varies</x:v>
      </x:c>
      <x:c r="L10" s="419" t="str">
        <x:v>Reference 5027</x:v>
      </x:c>
      <x:c r="M10" s="419" t="str">
        <x:v>5027</x:v>
      </x:c>
      <x:c r="N10" s="419" t="str">
        <x:v>Existing public knowledge register</x:v>
      </x:c>
      <x:c r="O10" s="419" t="str">
        <x:v>Two independent technical discussions cite the exact BMXMuseum reference 5027 and describe catalog fork data. The edition date remains approximate.</x:v>
      </x:c>
      <x:c r="P10" s="419" t="str">
        <x:v>HIGH for object; MEDIUM for date</x:v>
      </x:c>
      <x:c r="Q10" s="419" t="str">
        <x:v>INDEX-ONLY</x:v>
      </x:c>
      <x:c r="R10" s="419" t="str">
        <x:v>Exact reference recovered — inspect edition/page structure only through permitted access.</x:v>
      </x:c>
      <x:c r="S10" s="419" t="str">
        <x:v>https://bmxmuseum.com/reference/5027</x:v>
      </x:c>
      <x:c r="T10" s="419" t="str">
        <x:v>https://thecabe.com/forum/threads/ashtabula-fork-identification-help.253603/</x:v>
      </x:c>
      <x:c r="U10" s="419" t="str">
        <x:v>ashtabula|ashtabula component catalog|1977</x:v>
      </x:c>
      <x:c r="V10" s="419" t="str">
        <x:v>DUP-ASHT-5027</x:v>
      </x:c>
      <x:c r="W10" s="419" t="str">
        <x:v>MERGE identity; preserve source occurrence</x:v>
      </x:c>
      <x:c r="X10" s="419" t="str">
        <x:v>Image: Do not copy scans. Text: Paraphrase factual specifications with attribution.</x:v>
      </x:c>
      <x:c r="Y10" s="419" t="str">
        <x:v>2026-07-30</x:v>
      </x:c>
    </x:row>
    <x:row r="11">
      <x:c r="A11" s="419" t="str">
        <x:v>EPH-0007</x:v>
      </x:c>
      <x:c r="B11" s="419" t="str">
        <x:v>v0.5 inherited</x:v>
      </x:c>
      <x:c r="C11" s="419" t="str">
        <x:v>BM-AD-0007</x:v>
      </x:c>
      <x:c r="D11" s="419" t="str">
        <x:v>Catalog</x:v>
      </x:c>
      <x:c r="E11" s="419" t="str">
        <x:v>1997 Hoffman catalog — George model specification</x:v>
      </x:c>
      <x:c r="F11" s="421" t="n">
        <x:v>1997</x:v>
      </x:c>
      <x:c r="G11" s="421" t="n">
        <x:v>1997</x:v>
      </x:c>
      <x:c r="H11" s="419" t="str">
        <x:v>1997</x:v>
      </x:c>
      <x:c r="I11" s="419" t="str">
        <x:v>Hoffman Bikes</x:v>
      </x:c>
      <x:c r="J11" s="419" t="str">
        <x:v>Model name, geometry/specification and model-year existence.</x:v>
      </x:c>
      <x:c r="K11" s="419" t="str">
        <x:v>Unresolved / varies</x:v>
      </x:c>
      <x:c r="L11" s="419" t="str">
        <x:v>Reference 1911</x:v>
      </x:c>
      <x:c r="M11" s="419" t="str">
        <x:v>1911</x:v>
      </x:c>
      <x:c r="N11" s="419" t="str">
        <x:v>Existing public knowledge register</x:v>
      </x:c>
      <x:c r="O11" s="419" t="str">
        <x:v>An external forum cites the exact BMXMuseum reference for the Hoffman George. The full catalog title and edition need confirmation.</x:v>
      </x:c>
      <x:c r="P11" s="419" t="str">
        <x:v>HIGH for reference existence; MEDIUM for interpreted model data</x:v>
      </x:c>
      <x:c r="Q11" s="419" t="str">
        <x:v>INDEX-ONLY</x:v>
      </x:c>
      <x:c r="R11" s="419" t="str">
        <x:v>Open — record exact page and compare with other Hoffman catalogs.</x:v>
      </x:c>
      <x:c r="S11" s="419" t="str">
        <x:v>https://bmxmuseum.com/reference/1911</x:v>
      </x:c>
      <x:c r="T11" s="419" t="str">
        <x:v>https://www.radbmx.co.uk/forum/index.php?topic=181254.0</x:v>
      </x:c>
      <x:c r="U11" s="419" t="str">
        <x:v>hoffman bikes|1997 hoffman catalog george model specification|1997</x:v>
      </x:c>
      <x:c r="V11" s="419" t="str"/>
      <x:c r="W11" s="419" t="str">
        <x:v>RETAIN — unique source record</x:v>
      </x:c>
      <x:c r="X11" s="419" t="str">
        <x:v>Image: Do not copy scans. Text: Paraphrase specifications with citation.</x:v>
      </x:c>
      <x:c r="Y11" s="419" t="str">
        <x:v>2026-07-30</x:v>
      </x:c>
    </x:row>
    <x:row r="12">
      <x:c r="A12" s="419" t="str">
        <x:v>EPH-0008</x:v>
      </x:c>
      <x:c r="B12" s="419" t="str">
        <x:v>v0.5 inherited</x:v>
      </x:c>
      <x:c r="C12" s="419" t="str">
        <x:v>BM-AD-0008</x:v>
      </x:c>
      <x:c r="D12" s="419" t="str">
        <x:v>Magazine advertisement</x:v>
      </x:c>
      <x:c r="E12" s="419" t="str">
        <x:v>Tioga Rhino III frame advertisement</x:v>
      </x:c>
      <x:c r="F12" s="421" t="n">
        <x:v>1983</x:v>
      </x:c>
      <x:c r="G12" s="421" t="n">
        <x:v>1983</x:v>
      </x:c>
      <x:c r="H12" s="419" t="str">
        <x:v>1983 lead</x:v>
      </x:c>
      <x:c r="I12" s="419" t="str">
        <x:v>Tioga; Tange</x:v>
      </x:c>
      <x:c r="J12" s="419" t="str">
        <x:v>Product launch timing, construction claims, branding and period pricing if present.</x:v>
      </x:c>
      <x:c r="K12" s="419" t="str">
        <x:v>Unresolved / varies</x:v>
      </x:c>
      <x:c r="L12" s="419" t="str">
        <x:v>Forum object unresolved</x:v>
      </x:c>
      <x:c r="M12" s="419" t="str"/>
      <x:c r="N12" s="419" t="str">
        <x:v>Existing public knowledge register</x:v>
      </x:c>
      <x:c r="O12" s="419" t="str">
        <x:v>An external old-school BMX advertisement blog links to an unresolved BMXMuseum forum discussion. The original ad and publication must be identified.</x:v>
      </x:c>
      <x:c r="P12" s="419" t="str">
        <x:v>LOW-MEDIUM</x:v>
      </x:c>
      <x:c r="Q12" s="419" t="str">
        <x:v>INDEX-ONLY</x:v>
      </x:c>
      <x:c r="R12" s="419" t="str">
        <x:v>Lead — recover exact thread, magazine issue and page.</x:v>
      </x:c>
      <x:c r="S12" s="419" t="str">
        <x:v>https://edwardkoenning.blogspot.com/2012/09/</x:v>
      </x:c>
      <x:c r="T12" s="419"/>
      <x:c r="U12" s="419" t="str">
        <x:v>tioga tange|tioga rhino iii frame advertisement|1983</x:v>
      </x:c>
      <x:c r="V12" s="419" t="str"/>
      <x:c r="W12" s="419" t="str">
        <x:v>RETAIN — unique source record</x:v>
      </x:c>
      <x:c r="X12" s="419" t="str">
        <x:v>Image: Do not copy image. Text: Paraphrase bibliographic facts only.</x:v>
      </x:c>
      <x:c r="Y12" s="419" t="str">
        <x:v>2026-07-30</x:v>
      </x:c>
    </x:row>
    <x:row r="13">
      <x:c r="A13" s="419" t="str">
        <x:v>EPH-0009</x:v>
      </x:c>
      <x:c r="B13" s="419" t="str">
        <x:v>v0.5 inherited</x:v>
      </x:c>
      <x:c r="C13" s="419" t="str">
        <x:v>BM-AD-0009</x:v>
      </x:c>
      <x:c r="D13" s="419" t="str">
        <x:v>Magazine advertisement</x:v>
      </x:c>
      <x:c r="E13" s="419" t="str">
        <x:v>First Torker advertisement in BMX Weekly</x:v>
      </x:c>
      <x:c r="F13" s="421" t="n">
        <x:v>1976</x:v>
      </x:c>
      <x:c r="G13" s="421" t="n">
        <x:v>1976</x:v>
      </x:c>
      <x:c r="H13" s="419" t="str">
        <x:v>December 1976</x:v>
      </x:c>
      <x:c r="I13" s="419" t="str">
        <x:v>Torker</x:v>
      </x:c>
      <x:c r="J13" s="419" t="str">
        <x:v>Earliest public brand marketing, product terminology and launch chronology.</x:v>
      </x:c>
      <x:c r="K13" s="419" t="str">
        <x:v>Unresolved / varies</x:v>
      </x:c>
      <x:c r="L13" s="419" t="str">
        <x:v>BMXMuseum production-record ecosystem</x:v>
      </x:c>
      <x:c r="M13" s="419" t="str"/>
      <x:c r="N13" s="419" t="str">
        <x:v>Existing public knowledge register</x:v>
      </x:c>
      <x:c r="O13" s="419" t="str">
        <x:v>Current official Torker history states the first ad date; the actual BMXMuseum object and magazine page remain to be located.</x:v>
      </x:c>
      <x:c r="P13" s="419" t="str">
        <x:v>MEDIUM-HIGH</x:v>
      </x:c>
      <x:c r="Q13" s="419" t="str">
        <x:v>INDEX-ONLY</x:v>
      </x:c>
      <x:c r="R13" s="419" t="str">
        <x:v>Priority — locate the period issue and ad image lawfully.</x:v>
      </x:c>
      <x:c r="S13" s="419" t="str">
        <x:v>https://torkerracing.com/pages/the-fullerton-era-torker-bmx-history</x:v>
      </x:c>
      <x:c r="T13" s="419"/>
      <x:c r="U13" s="419" t="str">
        <x:v>torker|first torker advertisement in bmx weekly|1976</x:v>
      </x:c>
      <x:c r="V13" s="419" t="str">
        <x:v>DUP-TORKER-FIRST-AD</x:v>
      </x:c>
      <x:c r="W13" s="419" t="str">
        <x:v>MERGE identity; preserve source occurrence</x:v>
      </x:c>
      <x:c r="X13" s="419" t="str">
        <x:v>Image: Do not copy without rights review. Text: Paraphrase date/title claims with attribution.</x:v>
      </x:c>
      <x:c r="Y13" s="419" t="str">
        <x:v>2026-07-30</x:v>
      </x:c>
    </x:row>
    <x:row r="14">
      <x:c r="A14" s="419" t="str">
        <x:v>EPH-0010</x:v>
      </x:c>
      <x:c r="B14" s="419" t="str">
        <x:v>v0.5 inherited</x:v>
      </x:c>
      <x:c r="C14" s="419" t="str">
        <x:v>BM-AD-0010</x:v>
      </x:c>
      <x:c r="D14" s="419" t="str">
        <x:v>Magazine advertisement</x:v>
      </x:c>
      <x:c r="E14" s="419" t="str">
        <x:v>First Red Line magazine advertisement featuring John Palfreyman</x:v>
      </x:c>
      <x:c r="F14" s="421" t="n">
        <x:v>1970</x:v>
      </x:c>
      <x:c r="G14" s="421" t="n">
        <x:v>1970</x:v>
      </x:c>
      <x:c r="H14" s="419" t="str">
        <x:v>1970s; exact issue pending</x:v>
      </x:c>
      <x:c r="I14" s="419" t="str">
        <x:v>Red Line; John Palfreyman</x:v>
      </x:c>
      <x:c r="J14" s="419" t="str">
        <x:v>Early Red Line rider endorsement, product testing and brand chronology.</x:v>
      </x:c>
      <x:c r="K14" s="419" t="str">
        <x:v>Unresolved / varies</x:v>
      </x:c>
      <x:c r="L14" s="419" t="str">
        <x:v>Redline brand gallery ecosystem</x:v>
      </x:c>
      <x:c r="M14" s="419" t="str"/>
      <x:c r="N14" s="419" t="str">
        <x:v>Existing public knowledge register</x:v>
      </x:c>
      <x:c r="O14" s="419" t="str">
        <x:v>USA BMX officially states Palfreyman appeared in the first Red Line magazine ad; exact publication/date/page still need recovery.</x:v>
      </x:c>
      <x:c r="P14" s="419" t="str">
        <x:v>HIGH for relationship; MEDIUM for bibliographic detail</x:v>
      </x:c>
      <x:c r="Q14" s="419" t="str">
        <x:v>INDEX-ONLY</x:v>
      </x:c>
      <x:c r="R14" s="419" t="str">
        <x:v>Priority — identify magazine, issue, page and product shown.</x:v>
      </x:c>
      <x:c r="S14" s="419" t="str">
        <x:v>https://bmxmuseum.com/bikes/redline/</x:v>
      </x:c>
      <x:c r="T14" s="419" t="str">
        <x:v>https://www.usabmx.com/news-and-media/6/2012-05-10/National-BMX-Hall-of-Fame-2012-Inductees-Announced?id=580</x:v>
      </x:c>
      <x:c r="U14" s="419" t="str">
        <x:v>red line john palfreyman|first red line magazine advertisement featuring john palfreyman|1970</x:v>
      </x:c>
      <x:c r="V14" s="419" t="str">
        <x:v>DUP-REDLINE-FIRST-AD</x:v>
      </x:c>
      <x:c r="W14" s="419" t="str">
        <x:v>MERGE identity; preserve source occurrence</x:v>
      </x:c>
      <x:c r="X14" s="419" t="str">
        <x:v>Image: Do not copy without rights review. Text: Paraphrase bibliographic facts only.</x:v>
      </x:c>
      <x:c r="Y14" s="419" t="str">
        <x:v>2026-07-30</x:v>
      </x:c>
    </x:row>
    <x:row r="15">
      <x:c r="A15" s="419" t="str">
        <x:v>EPH-0011</x:v>
      </x:c>
      <x:c r="B15" s="419" t="str">
        <x:v>v0.5 inherited</x:v>
      </x:c>
      <x:c r="C15" s="419" t="str">
        <x:v>BM-AD-0011</x:v>
      </x:c>
      <x:c r="D15" s="419" t="str">
        <x:v>Combined flyer / price-list set</x:v>
      </x:c>
      <x:c r="E15" s="419" t="str">
        <x:v>JMC Racing Fliers and Price List</x:v>
      </x:c>
      <x:c r="F15" s="421"/>
      <x:c r="G15" s="421"/>
      <x:c r="H15" s="419" t="str">
        <x:v>Undated</x:v>
      </x:c>
      <x:c r="I15" s="419" t="str">
        <x:v>JMC Racing</x:v>
      </x:c>
      <x:c r="J15" s="419" t="str">
        <x:v>JMC product range, dealer-facing terminology, period marketing and historical prices if readable.</x:v>
      </x:c>
      <x:c r="K15" s="419" t="str">
        <x:v>Unresolved / varies</x:v>
      </x:c>
      <x:c r="L15" s="419" t="str">
        <x:v>Reference title exposed; exact ID unresolved</x:v>
      </x:c>
      <x:c r="M15" s="419" t="str"/>
      <x:c r="N15" s="419" t="str">
        <x:v>Existing public knowledge register</x:v>
      </x:c>
      <x:c r="O15" s="419" t="str">
        <x:v>A public index explicitly identifies a BMXMuseum JMC flyer-and-price-list set. Exact reference ID, date, page count and individual prices are not exposed.</x:v>
      </x:c>
      <x:c r="P15" s="419" t="str">
        <x:v>MEDIUM</x:v>
      </x:c>
      <x:c r="Q15" s="419" t="str">
        <x:v>INDEX-ONLY</x:v>
      </x:c>
      <x:c r="R15" s="419" t="str">
        <x:v>Priority — locate exact reference ID, count pages and transcribe only clearly labeled factual price fields.</x:v>
      </x:c>
      <x:c r="S15" s="419" t="str">
        <x:v>https://www.pinterest.com/pin/jmc-bmx-fliers-and-price-list--442478732119429034/</x:v>
      </x:c>
      <x:c r="T15" s="419" t="str">
        <x:v>https://www.facebook.com/groups/553888658024748/posts/27080185384968381/</x:v>
      </x:c>
      <x:c r="U15" s="419" t="str">
        <x:v>jmc racing|jmc racing fliers and price list|</x:v>
      </x:c>
      <x:c r="V15" s="419" t="str"/>
      <x:c r="W15" s="419" t="str">
        <x:v>RETAIN — unique source record</x:v>
      </x:c>
      <x:c r="X15" s="419" t="str">
        <x:v>Image: Do not copy scans. Text: Paraphrase bibliographic and price facts only.</x:v>
      </x:c>
      <x:c r="Y15" s="419" t="str">
        <x:v>2026-07-30</x:v>
      </x:c>
    </x:row>
    <x:row r="16">
      <x:c r="A16" s="419" t="str">
        <x:v>EPH-0012</x:v>
      </x:c>
      <x:c r="B16" s="419" t="str">
        <x:v>v0.5 inherited</x:v>
      </x:c>
      <x:c r="C16" s="419" t="str">
        <x:v>BM-AD-0012</x:v>
      </x:c>
      <x:c r="D16" s="419" t="str">
        <x:v>Dealer price list</x:v>
      </x:c>
      <x:c r="E16" s="419" t="str">
        <x:v>Vintage JMC Racing Equipment dealer's price list from Azusa collection</x:v>
      </x:c>
      <x:c r="F16" s="421" t="n">
        <x:v>2026</x:v>
      </x:c>
      <x:c r="G16" s="421" t="n">
        <x:v>2026</x:v>
      </x:c>
      <x:c r="H16" s="419" t="str">
        <x:v>Undated vintage document; public post 2026</x:v>
      </x:c>
      <x:c r="I16" s="419" t="str">
        <x:v>JMC Racing; Azusa collection</x:v>
      </x:c>
      <x:c r="J16" s="419" t="str">
        <x:v>Existence of a period JMC dealer-price document and possible dealer/distributor context.</x:v>
      </x:c>
      <x:c r="K16" s="419" t="str">
        <x:v>Unresolved / varies</x:v>
      </x:c>
      <x:c r="L16" s="419" t="str">
        <x:v>External corroborating ephemera lead</x:v>
      </x:c>
      <x:c r="M16" s="419" t="str"/>
      <x:c r="N16" s="419" t="str">
        <x:v>Existing public knowledge register</x:v>
      </x:c>
      <x:c r="O16" s="419" t="str">
        <x:v>The public result exposes the document description but not a reliable issue date, complete contents or readable line-item prices.</x:v>
      </x:c>
      <x:c r="P16" s="419" t="str">
        <x:v>LOW-MEDIUM</x:v>
      </x:c>
      <x:c r="Q16" s="419" t="str">
        <x:v>INDEX-ONLY</x:v>
      </x:c>
      <x:c r="R16" s="419" t="str">
        <x:v>Corroboration lead — do not merge with BMXMuseum set until directly compared.</x:v>
      </x:c>
      <x:c r="S16" s="419" t="str">
        <x:v>https://www.facebook.com/groups/553888658024748/posts/27080185384968381/</x:v>
      </x:c>
      <x:c r="T16" s="419"/>
      <x:c r="U16" s="419" t="str">
        <x:v>jmc racing azusa collection|vintage jmc racing equipment dealer s price list from azusa collection|2026</x:v>
      </x:c>
      <x:c r="V16" s="419" t="str"/>
      <x:c r="W16" s="419" t="str">
        <x:v>RETAIN — unique source record</x:v>
      </x:c>
      <x:c r="X16" s="419" t="str">
        <x:v>Image: Do not copy image. Text: Paraphrase document description only.</x:v>
      </x:c>
      <x:c r="Y16" s="419" t="str">
        <x:v>2026-07-30</x:v>
      </x:c>
    </x:row>
    <x:row r="17">
      <x:c r="A17" s="419" t="str">
        <x:v>EPH-0013</x:v>
      </x:c>
      <x:c r="B17" s="419" t="str">
        <x:v>v0.5 inherited</x:v>
      </x:c>
      <x:c r="C17" s="419" t="str">
        <x:v>BM-AD-0013</x:v>
      </x:c>
      <x:c r="D17" s="419" t="str">
        <x:v>Magazine advertisement</x:v>
      </x:c>
      <x:c r="E17" s="419" t="str">
        <x:v>July 1979 JMC advertisement</x:v>
      </x:c>
      <x:c r="F17" s="421" t="n">
        <x:v>1979</x:v>
      </x:c>
      <x:c r="G17" s="421" t="n">
        <x:v>1979</x:v>
      </x:c>
      <x:c r="H17" s="419" t="str">
        <x:v>July 1979 issue; ran over multiple months</x:v>
      </x:c>
      <x:c r="I17" s="419" t="str">
        <x:v>JMC Racing</x:v>
      </x:c>
      <x:c r="J17" s="419" t="str">
        <x:v>Period product marketing, model terminology and JMC's 1979 market presentation.</x:v>
      </x:c>
      <x:c r="K17" s="419" t="str">
        <x:v>Unresolved / varies</x:v>
      </x:c>
      <x:c r="L17" s="419" t="str">
        <x:v>First-party JMC historical archive object</x:v>
      </x:c>
      <x:c r="M17" s="419" t="str"/>
      <x:c r="N17" s="419" t="str">
        <x:v>Existing public knowledge register</x:v>
      </x:c>
      <x:c r="O17" s="419" t="str">
        <x:v>JMC's historical archive identifies the source as the July 1979 Bicycle Motocross Action issue and says the advertisement appeared over many months. Page and full copy are not transcribed.</x:v>
      </x:c>
      <x:c r="P17" s="419" t="str">
        <x:v>HIGH for bibliographic identity</x:v>
      </x:c>
      <x:c r="Q17" s="419" t="str">
        <x:v>INDEX-ONLY / PERMISSION REQUIRED</x:v>
      </x:c>
      <x:c r="R17" s="419" t="str">
        <x:v>Included — index metadata; do not reproduce image or extended copy.</x:v>
      </x:c>
      <x:c r="S17" s="419" t="str">
        <x:v>https://jmcbmx.wordpress.com/2010/02/03/july-1979-advertisement/</x:v>
      </x:c>
      <x:c r="T17" s="419" t="str">
        <x:v>https://jmcbmx.wordpress.com/page/3/</x:v>
      </x:c>
      <x:c r="U17" s="419" t="str">
        <x:v>jmc racing|july 1979 jmc advertisement|1979</x:v>
      </x:c>
      <x:c r="V17" s="419" t="str"/>
      <x:c r="W17" s="419" t="str">
        <x:v>RETAIN — unique source record</x:v>
      </x:c>
      <x:c r="X17" s="419" t="str">
        <x:v>Image: Do not copy; BMXA imagery requires Bob Osborn's written permission. Text: Paraphrase bibliographic facts only.</x:v>
      </x:c>
      <x:c r="Y17" s="419" t="str">
        <x:v>2026-07-30</x:v>
      </x:c>
    </x:row>
    <x:row r="18">
      <x:c r="A18" s="419" t="str">
        <x:v>EPH-0014</x:v>
      </x:c>
      <x:c r="B18" s="419" t="str">
        <x:v>v0.5 inherited</x:v>
      </x:c>
      <x:c r="C18" s="419" t="str">
        <x:v>BM-AD-0014</x:v>
      </x:c>
      <x:c r="D18" s="419" t="str">
        <x:v>Magazine advertisement</x:v>
      </x:c>
      <x:c r="E18" s="419" t="str">
        <x:v>April 1981 JMC advertisement</x:v>
      </x:c>
      <x:c r="F18" s="421" t="n">
        <x:v>1981</x:v>
      </x:c>
      <x:c r="G18" s="421" t="n">
        <x:v>1981</x:v>
      </x:c>
      <x:c r="H18" s="419" t="str">
        <x:v>April 1981; appeared in multiple months</x:v>
      </x:c>
      <x:c r="I18" s="419" t="str">
        <x:v>JMC Racing; Black Shadow; 3.1 XL</x:v>
      </x:c>
      <x:c r="J18" s="419" t="str">
        <x:v>Black Shadow naming after chrome introduction; 3.1 XL 110-lb limit and frame relationship; comparative geometry claim.</x:v>
      </x:c>
      <x:c r="K18" s="419" t="str">
        <x:v>Unresolved / varies</x:v>
      </x:c>
      <x:c r="L18" s="419" t="str">
        <x:v>First-party JMC historical archive object</x:v>
      </x:c>
      <x:c r="M18" s="419" t="str"/>
      <x:c r="N18" s="419" t="str">
        <x:v>Existing public knowledge register</x:v>
      </x:c>
      <x:c r="O18" s="419" t="str">
        <x:v>The JMC archive identifies Super BMX as the publication and summarizes several claims. Exact page, repeated issues and full advertisement copy remain unresolved.</x:v>
      </x:c>
      <x:c r="P18" s="419" t="str">
        <x:v>HIGH for source/date; MEDIUM-HIGH for summarized claims</x:v>
      </x:c>
      <x:c r="Q18" s="419" t="str">
        <x:v>INDEX-ONLY</x:v>
      </x:c>
      <x:c r="R18" s="419" t="str">
        <x:v>Included — preserve claim-level evidence and recover page/issue details.</x:v>
      </x:c>
      <x:c r="S18" s="419" t="str">
        <x:v>https://jmcbmx.wordpress.com/2010/02/03/april-1981-advertisement/</x:v>
      </x:c>
      <x:c r="T18" s="419" t="str">
        <x:v>https://jmcbmx.wordpress.com/page/3/</x:v>
      </x:c>
      <x:c r="U18" s="419" t="str">
        <x:v>jmc racing black shadow 3 1 xl|april 1981 jmc advertisement|1981</x:v>
      </x:c>
      <x:c r="V18" s="419" t="str"/>
      <x:c r="W18" s="419" t="str">
        <x:v>RETAIN — unique source record</x:v>
      </x:c>
      <x:c r="X18" s="419" t="str">
        <x:v>Image: Do not copy advertisement image. Text: Paraphrase specific factual claims with attribution.</x:v>
      </x:c>
      <x:c r="Y18" s="419" t="str">
        <x:v>2026-07-30</x:v>
      </x:c>
    </x:row>
    <x:row r="19">
      <x:c r="A19" s="419" t="str">
        <x:v>EPH-0015</x:v>
      </x:c>
      <x:c r="B19" s="419" t="str">
        <x:v>v0.5 inherited</x:v>
      </x:c>
      <x:c r="C19" s="419" t="str">
        <x:v>BM-AD-0015</x:v>
      </x:c>
      <x:c r="D19" s="419" t="str">
        <x:v>Team advertisement</x:v>
      </x:c>
      <x:c r="E19" s="419" t="str">
        <x:v>1981 JMC Factory Team advertisement</x:v>
      </x:c>
      <x:c r="F19" s="421" t="n">
        <x:v>1981</x:v>
      </x:c>
      <x:c r="G19" s="421" t="n">
        <x:v>1981</x:v>
      </x:c>
      <x:c r="H19" s="419" t="str">
        <x:v>1981</x:v>
      </x:c>
      <x:c r="I19" s="419" t="str">
        <x:v>JMC Racing; JMC Factory Team</x:v>
      </x:c>
      <x:c r="J19" s="419" t="str">
        <x:v>Factory-team roster context, team presentation and period branding.</x:v>
      </x:c>
      <x:c r="K19" s="419" t="str">
        <x:v>Unresolved / varies</x:v>
      </x:c>
      <x:c r="L19" s="419" t="str">
        <x:v>First-party JMC historical archive object</x:v>
      </x:c>
      <x:c r="M19" s="419" t="str"/>
      <x:c r="N19" s="419" t="str">
        <x:v>Existing public knowledge register</x:v>
      </x:c>
      <x:c r="O19" s="419" t="str">
        <x:v>The first-party archive confirms the object title and year. Publication, month, issue and complete rider identifications remain unresolved.</x:v>
      </x:c>
      <x:c r="P19" s="419" t="str">
        <x:v>MEDIUM-HIGH</x:v>
      </x:c>
      <x:c r="Q19" s="419" t="str">
        <x:v>INDEX-ONLY</x:v>
      </x:c>
      <x:c r="R19" s="419" t="str">
        <x:v>Included — identify publication/issue and riders shown before detailed extraction.</x:v>
      </x:c>
      <x:c r="S19" s="419" t="str">
        <x:v>https://jmcbmx.wordpress.com/2010/02/03/81-jmc-factory-team-advertisement/</x:v>
      </x:c>
      <x:c r="T19" s="419" t="str">
        <x:v>https://jmcbmx.wordpress.com/page/3/</x:v>
      </x:c>
      <x:c r="U19" s="419" t="str">
        <x:v>jmc racing jmc factory team|1981 jmc factory team advertisement|1981</x:v>
      </x:c>
      <x:c r="V19" s="419" t="str"/>
      <x:c r="W19" s="419" t="str">
        <x:v>RETAIN — unique source record</x:v>
      </x:c>
      <x:c r="X19" s="419" t="str">
        <x:v>Image: Do not copy advertisement image. Text: Paraphrase bibliographic facts only.</x:v>
      </x:c>
      <x:c r="Y19" s="419" t="str">
        <x:v>2026-07-30</x:v>
      </x:c>
    </x:row>
    <x:row r="20">
      <x:c r="A20" s="419" t="str">
        <x:v>EPH-0016</x:v>
      </x:c>
      <x:c r="B20" s="419" t="str">
        <x:v>v0.5 inherited</x:v>
      </x:c>
      <x:c r="C20" s="419" t="str">
        <x:v>BM-AD-0016</x:v>
      </x:c>
      <x:c r="D20" s="419" t="str">
        <x:v>Promotional announcement / naming contest</x:v>
      </x:c>
      <x:c r="E20" s="419" t="str">
        <x:v>JMC 3.1 XL naming-contest announcement</x:v>
      </x:c>
      <x:c r="F20" s="421" t="n">
        <x:v>1980</x:v>
      </x:c>
      <x:c r="G20" s="421" t="n">
        <x:v>1980</x:v>
      </x:c>
      <x:c r="H20" s="419" t="str">
        <x:v>1980</x:v>
      </x:c>
      <x:c r="I20" s="419" t="str">
        <x:v>JMC Racing; Bicycle Harbor of Arizona; Matt Raymer</x:v>
      </x:c>
      <x:c r="J20" s="419" t="str">
        <x:v>Product naming chronology, dealer collaboration and origin of the 3.1 XL name.</x:v>
      </x:c>
      <x:c r="K20" s="419" t="str">
        <x:v>Unresolved / varies</x:v>
      </x:c>
      <x:c r="L20" s="419" t="str">
        <x:v>Period ABA-paper announcement not yet recovered</x:v>
      </x:c>
      <x:c r="M20" s="419" t="str"/>
      <x:c r="N20" s="419" t="str">
        <x:v>Existing public knowledge register</x:v>
      </x:c>
      <x:c r="O20" s="419" t="str">
        <x:v>JMC's first-party history states the contest ran with Bicycle Harbor of Arizona in the ABA paper and that Matt Raymer supplied the winning name. The announcement itself is not yet located.</x:v>
      </x:c>
      <x:c r="P20" s="419" t="str">
        <x:v>HIGH for historical claim; LOW for object recovery</x:v>
      </x:c>
      <x:c r="Q20" s="419" t="str">
        <x:v>INDEX-ONLY</x:v>
      </x:c>
      <x:c r="R20" s="419" t="str">
        <x:v>Lead — locate the ABA paper issue and announcement; do not imply an exact scan has been found.</x:v>
      </x:c>
      <x:c r="S20" s="419" t="str">
        <x:v>https://jmcbmx.wordpress.com/about/</x:v>
      </x:c>
      <x:c r="T20" s="419"/>
      <x:c r="U20" s="419" t="str">
        <x:v>jmc racing bicycle harbor of arizona matt raymer|jmc 3 1 xl naming contest announcement|1980</x:v>
      </x:c>
      <x:c r="V20" s="419" t="str"/>
      <x:c r="W20" s="419" t="str">
        <x:v>RETAIN — unique source record</x:v>
      </x:c>
      <x:c r="X20" s="419" t="str">
        <x:v>Image: No image recovered. Text: Paraphrase first-party historical claim.</x:v>
      </x:c>
      <x:c r="Y20" s="419" t="str">
        <x:v>2026-07-30</x:v>
      </x:c>
    </x:row>
    <x:row r="21">
      <x:c r="A21" s="419" t="str">
        <x:v>EPH-0017</x:v>
      </x:c>
      <x:c r="B21" s="419" t="str">
        <x:v>v0.6</x:v>
      </x:c>
      <x:c r="C21" s="419" t="str">
        <x:v>GTD-OBJ-0001</x:v>
      </x:c>
      <x:c r="D21" s="419" t="str">
        <x:v>Catalog</x:v>
      </x:c>
      <x:c r="E21" s="419" t="str">
        <x:v>1992 GT/Dyno Product Catalog</x:v>
      </x:c>
      <x:c r="F21" s="421" t="n">
        <x:v>1992</x:v>
      </x:c>
      <x:c r="G21" s="421" t="n">
        <x:v>1992</x:v>
      </x:c>
      <x:c r="H21" s="419" t="str">
        <x:v>1992</x:v>
      </x:c>
      <x:c r="I21" s="419" t="str">
        <x:v>GT; Dyno</x:v>
      </x:c>
      <x:c r="J21" s="419" t="str">
        <x:v>Model-year lineup, GT/Dyno relationship and page-level printed prices.</x:v>
      </x:c>
      <x:c r="K21" s="419" t="str">
        <x:v>Unresolved / varies</x:v>
      </x:c>
      <x:c r="L21" s="419" t="str">
        <x:v>Publicly indexed title and price-bearing pages; exact canonical ID unresolved</x:v>
      </x:c>
      <x:c r="M21" s="419" t="str"/>
      <x:c r="N21" s="419" t="str">
        <x:v>GT/Dyno sequence</x:v>
      </x:c>
      <x:c r="O21" s="419" t="str">
        <x:v>Two indexed pages expose $259 and $319, but exact page numbers, currency and price basis are not established.</x:v>
      </x:c>
      <x:c r="P21" s="419" t="str">
        <x:v>MEDIUM</x:v>
      </x:c>
      <x:c r="Q21" s="419" t="str">
        <x:v>INDEX-ONLY</x:v>
      </x:c>
      <x:c r="R21" s="419" t="str">
        <x:v>OPEN — exact reference, full pagination and price labels</x:v>
      </x:c>
      <x:c r="S21" s="419" t="str">
        <x:v>https://in.pinterest.com/pin/1011550766308215575/</x:v>
      </x:c>
      <x:c r="T21" s="419" t="str">
        <x:v>https://www.pinterest.com/pin/430304939389697452/</x:v>
      </x:c>
      <x:c r="U21" s="419" t="str">
        <x:v>gt dyno|1992 gt dyno product catalog|1992</x:v>
      </x:c>
      <x:c r="V21" s="419" t="str">
        <x:v>DUP-GTD-1992</x:v>
      </x:c>
      <x:c r="W21" s="419" t="str">
        <x:v>MERGE identity; preserve source occurrence</x:v>
      </x:c>
      <x:c r="X21" s="419" t="str">
        <x:v>Do not identify the $319 bicycle without adjacent page context.</x:v>
      </x:c>
      <x:c r="Y21" s="419" t="str">
        <x:v>2026-07-30</x:v>
      </x:c>
    </x:row>
    <x:row r="22">
      <x:c r="A22" s="419" t="str">
        <x:v>EPH-0018</x:v>
      </x:c>
      <x:c r="B22" s="419" t="str">
        <x:v>v0.6</x:v>
      </x:c>
      <x:c r="C22" s="419" t="str">
        <x:v>GTD-OBJ-0002</x:v>
      </x:c>
      <x:c r="D22" s="419" t="str">
        <x:v>Catalog</x:v>
      </x:c>
      <x:c r="E22" s="419" t="str">
        <x:v>1996 GT/Dyno — The BMX &amp; Freestyle Catalog</x:v>
      </x:c>
      <x:c r="F22" s="421" t="n">
        <x:v>1996</x:v>
      </x:c>
      <x:c r="G22" s="421" t="n">
        <x:v>1996</x:v>
      </x:c>
      <x:c r="H22" s="419" t="str">
        <x:v>1996</x:v>
      </x:c>
      <x:c r="I22" s="419" t="str">
        <x:v>GT; Dyno</x:v>
      </x:c>
      <x:c r="J22" s="419" t="str">
        <x:v>Mid-1990s BMX/freestyle lineup, brand architecture, models and specifications.</x:v>
      </x:c>
      <x:c r="K22" s="419" t="str">
        <x:v>Unresolved / varies</x:v>
      </x:c>
      <x:c r="L22" s="419" t="str">
        <x:v>Publicly indexed title; exact canonical ID unresolved</x:v>
      </x:c>
      <x:c r="M22" s="419" t="str"/>
      <x:c r="N22" s="419" t="str">
        <x:v>GT/Dyno sequence</x:v>
      </x:c>
      <x:c r="O22" s="419" t="str">
        <x:v>A public resale listing describes a 22-page 1996 catalog, but this does not resolve the BMXMuseum ID or prove completeness.</x:v>
      </x:c>
      <x:c r="P22" s="419" t="str">
        <x:v>MEDIUM</x:v>
      </x:c>
      <x:c r="Q22" s="419" t="str">
        <x:v>INDEX-ONLY</x:v>
      </x:c>
      <x:c r="R22" s="419" t="str">
        <x:v>OPEN — recover exact reference and compare page count</x:v>
      </x:c>
      <x:c r="S22" s="419" t="str">
        <x:v>https://www.pinterest.com/pin/bmxmuseumcom-reference-1996-gtdyno-the-bmx-freestyle-catalog--491877590560035755/</x:v>
      </x:c>
      <x:c r="T22" s="419"/>
      <x:c r="U22" s="419" t="str">
        <x:v>gt dyno|1996 gt dyno the bmx freestyle catalog|1996</x:v>
      </x:c>
      <x:c r="V22" s="419" t="str">
        <x:v>DUP-GTD-1996</x:v>
      </x:c>
      <x:c r="W22" s="419" t="str">
        <x:v>MERGE identity; preserve source occurrence</x:v>
      </x:c>
      <x:c r="X22" s="419" t="str">
        <x:v>Catalog-object existence is stronger than page-level extraction.</x:v>
      </x:c>
      <x:c r="Y22" s="419" t="str">
        <x:v>2026-07-30</x:v>
      </x:c>
    </x:row>
    <x:row r="23">
      <x:c r="A23" s="419" t="str">
        <x:v>EPH-0019</x:v>
      </x:c>
      <x:c r="B23" s="419" t="str">
        <x:v>v0.6</x:v>
      </x:c>
      <x:c r="C23" s="419" t="str">
        <x:v>GTD-OBJ-0003</x:v>
      </x:c>
      <x:c r="D23" s="419" t="str">
        <x:v>Catalog</x:v>
      </x:c>
      <x:c r="E23" s="419" t="str">
        <x:v>1999 GT/Dyno BMX/Freestyle — Part 2</x:v>
      </x:c>
      <x:c r="F23" s="421" t="n">
        <x:v>1999</x:v>
      </x:c>
      <x:c r="G23" s="421" t="n">
        <x:v>1999</x:v>
      </x:c>
      <x:c r="H23" s="419" t="str">
        <x:v>1999</x:v>
      </x:c>
      <x:c r="I23" s="419" t="str">
        <x:v>GT; Dyno</x:v>
      </x:c>
      <x:c r="J23" s="419" t="str">
        <x:v>Late-1990s model lineup, components and division of a multi-part reference set.</x:v>
      </x:c>
      <x:c r="K23" s="419" t="str">
        <x:v>Unresolved / varies</x:v>
      </x:c>
      <x:c r="L23" s="419" t="str">
        <x:v>Publicly indexed title; exact canonical ID unresolved</x:v>
      </x:c>
      <x:c r="M23" s="419" t="str"/>
      <x:c r="N23" s="419" t="str">
        <x:v>GT/Dyno sequence</x:v>
      </x:c>
      <x:c r="O23" s="419" t="str">
        <x:v>Only Part 2 is publicly indexed in this pass; Part 1, page range and exact BMXMuseum ID remain open.</x:v>
      </x:c>
      <x:c r="P23" s="419" t="str">
        <x:v>LOW-MEDIUM</x:v>
      </x:c>
      <x:c r="Q23" s="419" t="str">
        <x:v>INDEX-ONLY</x:v>
      </x:c>
      <x:c r="R23" s="419" t="str">
        <x:v>OPEN — locate Part 1 and canonical links</x:v>
      </x:c>
      <x:c r="S23" s="419" t="str">
        <x:v>https://www.pinterest.com/pin/bmxmuseumcom-reference-1999-gtdyno-bmxfreestyle-part-2-in-2025--798192733998105769/</x:v>
      </x:c>
      <x:c r="T23" s="419"/>
      <x:c r="U23" s="419" t="str">
        <x:v>gt dyno|1999 gt dyno bmx freestyle part 2|1999</x:v>
      </x:c>
      <x:c r="V23" s="419" t="str">
        <x:v>DUP-GTD-1999-P2</x:v>
      </x:c>
      <x:c r="W23" s="419" t="str">
        <x:v>MERGE identity; preserve source occurrence</x:v>
      </x:c>
      <x:c r="X23" s="419" t="str">
        <x:v>Keep multi-part object hierarchy explicit.</x:v>
      </x:c>
      <x:c r="Y23" s="419" t="str">
        <x:v>2026-07-30</x:v>
      </x:c>
    </x:row>
    <x:row r="24">
      <x:c r="A24" s="419" t="str">
        <x:v>EPH-0020</x:v>
      </x:c>
      <x:c r="B24" s="419" t="str">
        <x:v>v0.6</x:v>
      </x:c>
      <x:c r="C24" s="419" t="str">
        <x:v>GTD-OBJ-0004</x:v>
      </x:c>
      <x:c r="D24" s="419" t="str">
        <x:v>Retailer advertisement / price list</x:v>
      </x:c>
      <x:c r="E24" s="419" t="str">
        <x:v>Dynamic BMX complete-bike price advertisement</x:v>
      </x:c>
      <x:c r="F24" s="421" t="n">
        <x:v>1987</x:v>
      </x:c>
      <x:c r="G24" s="421" t="n">
        <x:v>1987</x:v>
      </x:c>
      <x:c r="H24" s="419" t="str">
        <x:v>August 1987</x:v>
      </x:c>
      <x:c r="I24" s="419" t="str">
        <x:v>GT; Dyno; Haro; Auburn</x:v>
      </x:c>
      <x:c r="J24" s="419" t="str">
        <x:v>Contemporaneous advertised prices for GT and Dyno complete bikes.</x:v>
      </x:c>
      <x:c r="K24" s="419" t="str">
        <x:v>Unresolved / varies</x:v>
      </x:c>
      <x:c r="L24" s="419" t="str">
        <x:v>Independent period publication; not a BMXMuseum object</x:v>
      </x:c>
      <x:c r="M24" s="419" t="str"/>
      <x:c r="N24" s="419" t="str">
        <x:v>GT/Dyno sequence</x:v>
      </x:c>
      <x:c r="O24" s="419" t="str">
        <x:v>OCR is uneven. Only clearly legible model/price pairs are preserved; prices are retailer advertisements, not manufacturer MSRP.</x:v>
      </x:c>
      <x:c r="P24" s="419" t="str">
        <x:v>MEDIUM-HIGH for clear rows</x:v>
      </x:c>
      <x:c r="Q24" s="419" t="str">
        <x:v>INDEX-ONLY</x:v>
      </x:c>
      <x:c r="R24" s="419" t="str">
        <x:v>INCLUDED — clear prices only</x:v>
      </x:c>
      <x:c r="S24" s="419" t="str">
        <x:v>https://previouspage.co.uk/issues/245-august-nineteen-eighty-seven</x:v>
      </x:c>
      <x:c r="T24" s="419"/>
      <x:c r="U24" s="419" t="str">
        <x:v>gt dyno haro auburn|dynamic bmx complete bike price advertisement|1987</x:v>
      </x:c>
      <x:c r="V24" s="419" t="str"/>
      <x:c r="W24" s="419" t="str">
        <x:v>RETAIN — unique source record</x:v>
      </x:c>
      <x:c r="X24" s="419" t="str">
        <x:v>US publication context supports USD, but seller identity should be checked from page image before stronger claims.</x:v>
      </x:c>
      <x:c r="Y24" s="419" t="str">
        <x:v>2026-07-30</x:v>
      </x:c>
    </x:row>
    <x:row r="25">
      <x:c r="A25" s="419" t="str">
        <x:v>EPH-0021</x:v>
      </x:c>
      <x:c r="B25" s="419" t="str">
        <x:v>v0.6</x:v>
      </x:c>
      <x:c r="C25" s="419" t="str">
        <x:v>GTD-OBJ-0005</x:v>
      </x:c>
      <x:c r="D25" s="419" t="str">
        <x:v>Retailer advertisement / price list</x:v>
      </x:c>
      <x:c r="E25" s="419" t="str">
        <x:v>Complete-bike mail-order price advertisement</x:v>
      </x:c>
      <x:c r="F25" s="421" t="n">
        <x:v>1987</x:v>
      </x:c>
      <x:c r="G25" s="421" t="n">
        <x:v>1987</x:v>
      </x:c>
      <x:c r="H25" s="419" t="str">
        <x:v>July 1987</x:v>
      </x:c>
      <x:c r="I25" s="419" t="str">
        <x:v>GT; Dyno; Skyway; Haro</x:v>
      </x:c>
      <x:c r="J25" s="419" t="str">
        <x:v>Contemporaneous advertised prices and cross-brand retail comparison.</x:v>
      </x:c>
      <x:c r="K25" s="419" t="str">
        <x:v>Unresolved / varies</x:v>
      </x:c>
      <x:c r="L25" s="419" t="str">
        <x:v>Independent period publication; not a BMXMuseum object</x:v>
      </x:c>
      <x:c r="M25" s="419" t="str"/>
      <x:c r="N25" s="419" t="str">
        <x:v>GT/Dyno sequence</x:v>
      </x:c>
      <x:c r="O25" s="419" t="str">
        <x:v>OCR is uneven; the four GT rows retained here are clear enough for a price observation but remain retailer prices.</x:v>
      </x:c>
      <x:c r="P25" s="419" t="str">
        <x:v>MEDIUM-HIGH for clear rows</x:v>
      </x:c>
      <x:c r="Q25" s="419" t="str">
        <x:v>INDEX-ONLY</x:v>
      </x:c>
      <x:c r="R25" s="419" t="str">
        <x:v>INCLUDED — clear prices only</x:v>
      </x:c>
      <x:c r="S25" s="419" t="str">
        <x:v>https://previouspage.co.uk/magazines/BMX%20Plus/issues/244-july-nineteen-eighty-seven</x:v>
      </x:c>
      <x:c r="T25" s="419"/>
      <x:c r="U25" s="419" t="str">
        <x:v>gt dyno skyway haro|complete bike mail order price advertisement|1987</x:v>
      </x:c>
      <x:c r="V25" s="419" t="str"/>
      <x:c r="W25" s="419" t="str">
        <x:v>RETAIN — unique source record</x:v>
      </x:c>
      <x:c r="X25" s="419" t="str">
        <x:v>Do not merge duplicate model prices across sellers/issues.</x:v>
      </x:c>
      <x:c r="Y25" s="419" t="str">
        <x:v>2026-07-30</x:v>
      </x:c>
    </x:row>
    <x:row r="26">
      <x:c r="A26" s="419" t="str">
        <x:v>EPH-0022</x:v>
      </x:c>
      <x:c r="B26" s="419" t="str">
        <x:v>v0.6</x:v>
      </x:c>
      <x:c r="C26" s="419" t="str">
        <x:v>GTD-OBJ-0006</x:v>
      </x:c>
      <x:c r="D26" s="419" t="str">
        <x:v>Contest entry form / promotion</x:v>
      </x:c>
      <x:c r="E26" s="419" t="str">
        <x:v>BMX Plus! / GT Hide-A-Contest entry form</x:v>
      </x:c>
      <x:c r="F26" s="421" t="n">
        <x:v>1987</x:v>
      </x:c>
      <x:c r="G26" s="421" t="n">
        <x:v>1987</x:v>
      </x:c>
      <x:c r="H26" s="419" t="str">
        <x:v>Deadline 1987-09-28; drawing 1987-10-05</x:v>
      </x:c>
      <x:c r="I26" s="419" t="str">
        <x:v>GT; BMX Plus!</x:v>
      </x:c>
      <x:c r="J26" s="419" t="str">
        <x:v>GT promotional partnership, contest dates, entry mechanism and period audience marketing.</x:v>
      </x:c>
      <x:c r="K26" s="419" t="str">
        <x:v>Unresolved / varies</x:v>
      </x:c>
      <x:c r="L26" s="419" t="str">
        <x:v>Independent period publication; not a BMXMuseum object</x:v>
      </x:c>
      <x:c r="M26" s="419" t="str"/>
      <x:c r="N26" s="419" t="str">
        <x:v>GT/Dyno sequence</x:v>
      </x:c>
      <x:c r="O26" s="419" t="str">
        <x:v>The indexed page exposes deadline and drawing dates; prize/object details require page-image inspection.</x:v>
      </x:c>
      <x:c r="P26" s="419" t="str">
        <x:v>HIGH for dates</x:v>
      </x:c>
      <x:c r="Q26" s="419" t="str">
        <x:v>INDEX-ONLY</x:v>
      </x:c>
      <x:c r="R26" s="419" t="str">
        <x:v>INCLUDED — bibliographic facts; prize details open</x:v>
      </x:c>
      <x:c r="S26" s="419" t="str">
        <x:v>https://previouspage.co.uk/issues/245-august-nineteen-eighty-seven</x:v>
      </x:c>
      <x:c r="T26" s="419"/>
      <x:c r="U26" s="419" t="str">
        <x:v>gt bmx plus|bmx plus gt hide a contest entry form|1987</x:v>
      </x:c>
      <x:c r="V26" s="419" t="str">
        <x:v>DUP-GT-HIDE-CONTEST</x:v>
      </x:c>
      <x:c r="W26" s="419" t="str">
        <x:v>MERGE identity; preserve source occurrence</x:v>
      </x:c>
      <x:c r="X26" s="419" t="str">
        <x:v>Classified as promotional entry form, not event flyer or catalog.</x:v>
      </x:c>
      <x:c r="Y26" s="419" t="str">
        <x:v>2026-07-30</x:v>
      </x:c>
    </x:row>
    <x:row r="27">
      <x:c r="A27" s="419" t="str">
        <x:v>EPH-0023</x:v>
      </x:c>
      <x:c r="B27" s="419" t="str">
        <x:v>v0.7</x:v>
      </x:c>
      <x:c r="C27" s="419" t="str">
        <x:v>HAR-OBJ-0001</x:v>
      </x:c>
      <x:c r="D27" s="419" t="str">
        <x:v>Catalog</x:v>
      </x:c>
      <x:c r="E27" s="419" t="str">
        <x:v>1990 Haro BMX Catalog</x:v>
      </x:c>
      <x:c r="F27" s="421" t="n">
        <x:v>1990</x:v>
      </x:c>
      <x:c r="G27" s="421" t="n">
        <x:v>1990</x:v>
      </x:c>
      <x:c r="H27" s="419" t="str">
        <x:v>1990</x:v>
      </x:c>
      <x:c r="I27" s="419" t="str">
        <x:v>Haro</x:v>
      </x:c>
      <x:c r="J27" s="419" t="str">
        <x:v>Existence of a Haro-issued 1990 catalog and official year placement.</x:v>
      </x:c>
      <x:c r="K27" s="419" t="str">
        <x:v>Unresolved / varies</x:v>
      </x:c>
      <x:c r="L27" s="419" t="str">
        <x:v>Catalog existence verified; exact BMXMuseum ID unresolved</x:v>
      </x:c>
      <x:c r="M27" s="419" t="str"/>
      <x:c r="N27" s="419" t="str">
        <x:v>Official manufacturer archive</x:v>
      </x:c>
      <x:c r="O27" s="419" t="str">
        <x:v>Official archive confirms the catalog year but does not expose the unresolved BMXMuseum canonical ID in this pass.</x:v>
      </x:c>
      <x:c r="P27" s="419" t="str">
        <x:v>HIGH for existence</x:v>
      </x:c>
      <x:c r="Q27" s="419" t="str">
        <x:v>INDEX-ONLY</x:v>
      </x:c>
      <x:c r="R27" s="419" t="str">
        <x:v>OPEN — recover BMXMuseum ID and compare file pagination</x:v>
      </x:c>
      <x:c r="S27" s="419" t="str">
        <x:v>https://archive.harobikes.com/bmx</x:v>
      </x:c>
      <x:c r="T27" s="419" t="str">
        <x:v>https://www.bmx-catalogue.com/haro/mid-school/1990/model.html</x:v>
      </x:c>
      <x:c r="U27" s="419" t="str">
        <x:v>haro|1990 haro bmx catalog|1990</x:v>
      </x:c>
      <x:c r="V27" s="419" t="str">
        <x:v>DUP-HARO-1990-CAT</x:v>
      </x:c>
      <x:c r="W27" s="419" t="str">
        <x:v>MERGE identity; preserve source occurrence</x:v>
      </x:c>
      <x:c r="X27" s="419" t="str">
        <x:v>Official archive outranks model-recreation pages for catalog existence.</x:v>
      </x:c>
      <x:c r="Y27" s="419" t="str">
        <x:v>2026-07-30</x:v>
      </x:c>
    </x:row>
    <x:row r="28">
      <x:c r="A28" s="419" t="str">
        <x:v>EPH-0024</x:v>
      </x:c>
      <x:c r="B28" s="419" t="str">
        <x:v>v0.7</x:v>
      </x:c>
      <x:c r="C28" s="419" t="str">
        <x:v>HAR-OBJ-0002</x:v>
      </x:c>
      <x:c r="D28" s="419" t="str">
        <x:v>Catalog model page</x:v>
      </x:c>
      <x:c r="E28" s="419" t="str">
        <x:v>1990 Haro Group 1A</x:v>
      </x:c>
      <x:c r="F28" s="421" t="n">
        <x:v>1990</x:v>
      </x:c>
      <x:c r="G28" s="421" t="n">
        <x:v>1990</x:v>
      </x:c>
      <x:c r="H28" s="419" t="str">
        <x:v>1990</x:v>
      </x:c>
      <x:c r="I28" s="419" t="str">
        <x:v>Haro</x:v>
      </x:c>
      <x:c r="J28" s="419" t="str">
        <x:v>Model-year existence, full-chromoly claim, race positioning and selected component descriptions.</x:v>
      </x:c>
      <x:c r="K28" s="419" t="str">
        <x:v>Unresolved / varies</x:v>
      </x:c>
      <x:c r="L28" s="419" t="str">
        <x:v>No exact BMXMuseum model-page ID established</x:v>
      </x:c>
      <x:c r="M28" s="419" t="str"/>
      <x:c r="N28" s="419" t="str">
        <x:v>Enthusiast catalog reconstruction</x:v>
      </x:c>
      <x:c r="O28" s="419" t="str">
        <x:v>BMX-Catalogue presents recreated catalog content; treat as corroboration until checked against Haro's PDF.</x:v>
      </x:c>
      <x:c r="P28" s="419" t="str">
        <x:v>MEDIUM-HIGH</x:v>
      </x:c>
      <x:c r="Q28" s="419" t="str">
        <x:v>INDEX-ONLY</x:v>
      </x:c>
      <x:c r="R28" s="419" t="str">
        <x:v>INCLUDED WITH ATTRIBUTION</x:v>
      </x:c>
      <x:c r="S28" s="419" t="str">
        <x:v>https://www.bmx-catalogue.com/haro/mid-school/1990/group-1a.html</x:v>
      </x:c>
      <x:c r="T28" s="419" t="str">
        <x:v>https://archive.harobikes.com/bmx</x:v>
      </x:c>
      <x:c r="U28" s="419" t="str">
        <x:v>haro|1990 haro group 1a|1990</x:v>
      </x:c>
      <x:c r="V28" s="419" t="str"/>
      <x:c r="W28" s="419" t="str">
        <x:v>RETAIN — unique source record</x:v>
      </x:c>
      <x:c r="X28" s="419" t="str">
        <x:v>Do not treat serial guidance as factory documentation without separate validation.</x:v>
      </x:c>
      <x:c r="Y28" s="419" t="str">
        <x:v>2026-07-30</x:v>
      </x:c>
    </x:row>
    <x:row r="29">
      <x:c r="A29" s="419" t="str">
        <x:v>EPH-0025</x:v>
      </x:c>
      <x:c r="B29" s="419" t="str">
        <x:v>v0.7</x:v>
      </x:c>
      <x:c r="C29" s="419" t="str">
        <x:v>HAR-OBJ-0003</x:v>
      </x:c>
      <x:c r="D29" s="419" t="str">
        <x:v>Catalog model page</x:v>
      </x:c>
      <x:c r="E29" s="419" t="str">
        <x:v>1990 Haro Group 1B</x:v>
      </x:c>
      <x:c r="F29" s="421" t="n">
        <x:v>1990</x:v>
      </x:c>
      <x:c r="G29" s="421" t="n">
        <x:v>1990</x:v>
      </x:c>
      <x:c r="H29" s="419" t="str">
        <x:v>1990</x:v>
      </x:c>
      <x:c r="I29" s="419" t="str">
        <x:v>Haro</x:v>
      </x:c>
      <x:c r="J29" s="419" t="str">
        <x:v>Model-year existence and chromoly main-tube construction claim.</x:v>
      </x:c>
      <x:c r="K29" s="419" t="str">
        <x:v>Unresolved / varies</x:v>
      </x:c>
      <x:c r="L29" s="419" t="str">
        <x:v>No exact BMXMuseum model-page ID established</x:v>
      </x:c>
      <x:c r="M29" s="419" t="str"/>
      <x:c r="N29" s="419" t="str">
        <x:v>Enthusiast catalog reconstruction</x:v>
      </x:c>
      <x:c r="O29" s="419" t="str">
        <x:v>Public reconstruction is useful for discovery; original Haro page comparison remains required.</x:v>
      </x:c>
      <x:c r="P29" s="419" t="str">
        <x:v>MEDIUM</x:v>
      </x:c>
      <x:c r="Q29" s="419" t="str">
        <x:v>INDEX-ONLY</x:v>
      </x:c>
      <x:c r="R29" s="419" t="str">
        <x:v>INCLUDED WITH ATTRIBUTION</x:v>
      </x:c>
      <x:c r="S29" s="419" t="str">
        <x:v>https://www.bmx-catalogue.com/haro/mid-school/1990/group-1b.html</x:v>
      </x:c>
      <x:c r="T29" s="419" t="str">
        <x:v>https://archive.harobikes.com/bmx</x:v>
      </x:c>
      <x:c r="U29" s="419" t="str">
        <x:v>haro|1990 haro group 1b|1990</x:v>
      </x:c>
      <x:c r="V29" s="419" t="str"/>
      <x:c r="W29" s="419" t="str">
        <x:v>RETAIN — unique source record</x:v>
      </x:c>
      <x:c r="X29" s="419" t="str">
        <x:v>Model detail intentionally limited to exposed claims.</x:v>
      </x:c>
      <x:c r="Y29" s="419" t="str">
        <x:v>2026-07-30</x:v>
      </x:c>
    </x:row>
    <x:row r="30">
      <x:c r="A30" s="419" t="str">
        <x:v>EPH-0026</x:v>
      </x:c>
      <x:c r="B30" s="419" t="str">
        <x:v>v0.7</x:v>
      </x:c>
      <x:c r="C30" s="419" t="str">
        <x:v>HAR-OBJ-0004</x:v>
      </x:c>
      <x:c r="D30" s="419" t="str">
        <x:v>Catalog model page</x:v>
      </x:c>
      <x:c r="E30" s="419" t="str">
        <x:v>1990 Haro Group 1C</x:v>
      </x:c>
      <x:c r="F30" s="421" t="n">
        <x:v>1990</x:v>
      </x:c>
      <x:c r="G30" s="421" t="n">
        <x:v>1990</x:v>
      </x:c>
      <x:c r="H30" s="419" t="str">
        <x:v>1990</x:v>
      </x:c>
      <x:c r="I30" s="419" t="str">
        <x:v>Haro</x:v>
      </x:c>
      <x:c r="J30" s="419" t="str">
        <x:v>Model-year existence within the three-model Group 1 range.</x:v>
      </x:c>
      <x:c r="K30" s="419" t="str">
        <x:v>Unresolved / varies</x:v>
      </x:c>
      <x:c r="L30" s="419" t="str">
        <x:v>No exact BMXMuseum model-page ID established</x:v>
      </x:c>
      <x:c r="M30" s="419" t="str"/>
      <x:c r="N30" s="419" t="str">
        <x:v>Enthusiast catalog reconstruction</x:v>
      </x:c>
      <x:c r="O30" s="419" t="str">
        <x:v>The 1990 overview explicitly names Group 1A, 1B and 1C; full page detail awaits direct comparison.</x:v>
      </x:c>
      <x:c r="P30" s="419" t="str">
        <x:v>MEDIUM-HIGH</x:v>
      </x:c>
      <x:c r="Q30" s="419" t="str">
        <x:v>INDEX-ONLY</x:v>
      </x:c>
      <x:c r="R30" s="419" t="str">
        <x:v>INCLUDED WITH ATTRIBUTION</x:v>
      </x:c>
      <x:c r="S30" s="419" t="str">
        <x:v>https://www.bmx-catalogue.com/haro/mid-school/1990/group-1c.html</x:v>
      </x:c>
      <x:c r="T30" s="419" t="str">
        <x:v>https://www.bmx-catalogue.com/haro/mid-school/1990/model.html</x:v>
      </x:c>
      <x:c r="U30" s="419" t="str">
        <x:v>haro|1990 haro group 1c|1990</x:v>
      </x:c>
      <x:c r="V30" s="419" t="str"/>
      <x:c r="W30" s="419" t="str">
        <x:v>RETAIN — unique source record</x:v>
      </x:c>
      <x:c r="X30" s="419" t="str">
        <x:v>Keep Group 1 variants as distinct objects.</x:v>
      </x:c>
      <x:c r="Y30" s="419" t="str">
        <x:v>2026-07-30</x:v>
      </x:c>
    </x:row>
    <x:row r="31">
      <x:c r="A31" s="419" t="str">
        <x:v>EPH-0027</x:v>
      </x:c>
      <x:c r="B31" s="419" t="str">
        <x:v>v0.7</x:v>
      </x:c>
      <x:c r="C31" s="419" t="str">
        <x:v>HAR-OBJ-0005</x:v>
      </x:c>
      <x:c r="D31" s="419" t="str">
        <x:v>Catalog model page</x:v>
      </x:c>
      <x:c r="E31" s="419" t="str">
        <x:v>1990 Haro Master / Team Master</x:v>
      </x:c>
      <x:c r="F31" s="421" t="n">
        <x:v>1990</x:v>
      </x:c>
      <x:c r="G31" s="421" t="n">
        <x:v>1990</x:v>
      </x:c>
      <x:c r="H31" s="419" t="str">
        <x:v>1990</x:v>
      </x:c>
      <x:c r="I31" s="419" t="str">
        <x:v>Haro</x:v>
      </x:c>
      <x:c r="J31" s="419" t="str">
        <x:v>Master model-year existence, refined bashguard/longer wheelbase claims, colors and limited Team Master availability.</x:v>
      </x:c>
      <x:c r="K31" s="419" t="str">
        <x:v>Unresolved / varies</x:v>
      </x:c>
      <x:c r="L31" s="419" t="str">
        <x:v>No exact BMXMuseum model-page ID established</x:v>
      </x:c>
      <x:c r="M31" s="419" t="str"/>
      <x:c r="N31" s="419" t="str">
        <x:v>Enthusiast catalog reconstruction</x:v>
      </x:c>
      <x:c r="O31" s="419" t="str">
        <x:v>Claims come from a recreated catalog page; verify wording and availability against the official PDF.</x:v>
      </x:c>
      <x:c r="P31" s="419" t="str">
        <x:v>MEDIUM-HIGH</x:v>
      </x:c>
      <x:c r="Q31" s="419" t="str">
        <x:v>INDEX-ONLY</x:v>
      </x:c>
      <x:c r="R31" s="419" t="str">
        <x:v>INCLUDED WITH ATTRIBUTION</x:v>
      </x:c>
      <x:c r="S31" s="419" t="str">
        <x:v>https://www.bmx-catalogue.com/haro/mid-school/1990/master.html</x:v>
      </x:c>
      <x:c r="T31" s="419" t="str">
        <x:v>https://archive.harobikes.com/bmx</x:v>
      </x:c>
      <x:c r="U31" s="419" t="str">
        <x:v>haro|1990 haro master team master|1990</x:v>
      </x:c>
      <x:c r="V31" s="419" t="str"/>
      <x:c r="W31" s="419" t="str">
        <x:v>RETAIN — unique source record</x:v>
      </x:c>
      <x:c r="X31" s="419" t="str">
        <x:v>Master and Team Master remain linked but separately identifiable variants.</x:v>
      </x:c>
      <x:c r="Y31" s="419" t="str">
        <x:v>2026-07-30</x:v>
      </x:c>
    </x:row>
    <x:row r="32">
      <x:c r="A32" s="419" t="str">
        <x:v>EPH-0028</x:v>
      </x:c>
      <x:c r="B32" s="419" t="str">
        <x:v>v0.7</x:v>
      </x:c>
      <x:c r="C32" s="419" t="str">
        <x:v>HAR-OBJ-0006</x:v>
      </x:c>
      <x:c r="D32" s="419" t="str">
        <x:v>Catalog model page</x:v>
      </x:c>
      <x:c r="E32" s="419" t="str">
        <x:v>1990 Haro Invert</x:v>
      </x:c>
      <x:c r="F32" s="421" t="n">
        <x:v>1990</x:v>
      </x:c>
      <x:c r="G32" s="421" t="n">
        <x:v>1990</x:v>
      </x:c>
      <x:c r="H32" s="419" t="str">
        <x:v>1990</x:v>
      </x:c>
      <x:c r="I32" s="419" t="str">
        <x:v>Haro</x:v>
      </x:c>
      <x:c r="J32" s="419" t="str">
        <x:v>Model-year existence, relation to Sport geometry and selected equipment.</x:v>
      </x:c>
      <x:c r="K32" s="419" t="str">
        <x:v>Unresolved / varies</x:v>
      </x:c>
      <x:c r="L32" s="419" t="str">
        <x:v>No exact BMXMuseum model-page ID established</x:v>
      </x:c>
      <x:c r="M32" s="419" t="str"/>
      <x:c r="N32" s="419" t="str">
        <x:v>Enthusiast catalog reconstruction</x:v>
      </x:c>
      <x:c r="O32" s="419" t="str">
        <x:v>Reconstruction should be compared against official scan before exact-copy or specification claims are elevated.</x:v>
      </x:c>
      <x:c r="P32" s="419" t="str">
        <x:v>MEDIUM-HIGH</x:v>
      </x:c>
      <x:c r="Q32" s="419" t="str">
        <x:v>INDEX-ONLY</x:v>
      </x:c>
      <x:c r="R32" s="419" t="str">
        <x:v>INCLUDED WITH ATTRIBUTION</x:v>
      </x:c>
      <x:c r="S32" s="419" t="str">
        <x:v>https://www.bmx-catalogue.com/haro/mid-school/1990/invert.html</x:v>
      </x:c>
      <x:c r="T32" s="419" t="str">
        <x:v>https://archive.harobikes.com/bmx</x:v>
      </x:c>
      <x:c r="U32" s="419" t="str">
        <x:v>haro|1990 haro invert|1990</x:v>
      </x:c>
      <x:c r="V32" s="419" t="str"/>
      <x:c r="W32" s="419" t="str">
        <x:v>RETAIN — unique source record</x:v>
      </x:c>
      <x:c r="X32" s="419" t="str">
        <x:v>Paraphrase only.</x:v>
      </x:c>
      <x:c r="Y32" s="419" t="str">
        <x:v>2026-07-30</x:v>
      </x:c>
    </x:row>
    <x:row r="33">
      <x:c r="A33" s="419" t="str">
        <x:v>EPH-0029</x:v>
      </x:c>
      <x:c r="B33" s="419" t="str">
        <x:v>v0.7</x:v>
      </x:c>
      <x:c r="C33" s="419" t="str">
        <x:v>HAR-OBJ-0007</x:v>
      </x:c>
      <x:c r="D33" s="419" t="str">
        <x:v>Catalog model list</x:v>
      </x:c>
      <x:c r="E33" s="419" t="str">
        <x:v>1990 Haro Shredder</x:v>
      </x:c>
      <x:c r="F33" s="421" t="n">
        <x:v>1990</x:v>
      </x:c>
      <x:c r="G33" s="421" t="n">
        <x:v>1990</x:v>
      </x:c>
      <x:c r="H33" s="419" t="str">
        <x:v>1990</x:v>
      </x:c>
      <x:c r="I33" s="419" t="str">
        <x:v>Haro</x:v>
      </x:c>
      <x:c r="J33" s="419" t="str">
        <x:v>Model-year existence and broad freestyle/street/track classification.</x:v>
      </x:c>
      <x:c r="K33" s="419" t="str">
        <x:v>Unresolved / varies</x:v>
      </x:c>
      <x:c r="L33" s="419" t="str">
        <x:v>No exact BMXMuseum model-page ID established</x:v>
      </x:c>
      <x:c r="M33" s="419" t="str"/>
      <x:c r="N33" s="419" t="str">
        <x:v>Indexed enthusiast model registry</x:v>
      </x:c>
      <x:c r="O33" s="419" t="str">
        <x:v>The advanced registry lists the model, but a dedicated catalog page was not recovered in this pass.</x:v>
      </x:c>
      <x:c r="P33" s="419" t="str">
        <x:v>MEDIUM</x:v>
      </x:c>
      <x:c r="Q33" s="419" t="str">
        <x:v>INDEX-ONLY</x:v>
      </x:c>
      <x:c r="R33" s="419" t="str">
        <x:v>OPEN — locate original catalog page</x:v>
      </x:c>
      <x:c r="S33" s="419" t="str">
        <x:v>https://www.bmx-catalogue.com/advanced-search.html</x:v>
      </x:c>
      <x:c r="T33" s="419" t="str">
        <x:v>https://archive.harobikes.com/bmx</x:v>
      </x:c>
      <x:c r="U33" s="419" t="str">
        <x:v>haro|1990 haro shredder|1990</x:v>
      </x:c>
      <x:c r="V33" s="419" t="str"/>
      <x:c r="W33" s="419" t="str">
        <x:v>RETAIN — unique source record</x:v>
      </x:c>
      <x:c r="X33" s="419" t="str">
        <x:v>Do not infer complete specification.</x:v>
      </x:c>
      <x:c r="Y33" s="419" t="str">
        <x:v>2026-07-30</x:v>
      </x:c>
    </x:row>
    <x:row r="34">
      <x:c r="A34" s="419" t="str">
        <x:v>EPH-0030</x:v>
      </x:c>
      <x:c r="B34" s="419" t="str">
        <x:v>v0.7</x:v>
      </x:c>
      <x:c r="C34" s="419" t="str">
        <x:v>HAR-OBJ-0008</x:v>
      </x:c>
      <x:c r="D34" s="419" t="str">
        <x:v>Catalog mailer / advertisement</x:v>
      </x:c>
      <x:c r="E34" s="419" t="str">
        <x:v>1991 Haro/Fusion catalog offer</x:v>
      </x:c>
      <x:c r="F34" s="421" t="n">
        <x:v>1991</x:v>
      </x:c>
      <x:c r="G34" s="421" t="n">
        <x:v>1991</x:v>
      </x:c>
      <x:c r="H34" s="419" t="str">
        <x:v>1991 catalog; ad in Nov 1991</x:v>
      </x:c>
      <x:c r="I34" s="419" t="str">
        <x:v>Haro; Fusion</x:v>
      </x:c>
      <x:c r="J34" s="419" t="str">
        <x:v>Catalog distribution mechanism, $2 mailer price, Haro/Fusion relationship and distributor context.</x:v>
      </x:c>
      <x:c r="K34" s="419" t="str">
        <x:v>Unresolved / varies</x:v>
      </x:c>
      <x:c r="L34" s="419" t="str">
        <x:v>Not a BMXMuseum object in this pass</x:v>
      </x:c>
      <x:c r="M34" s="419" t="str"/>
      <x:c r="N34" s="419" t="str">
        <x:v>Independent period publication</x:v>
      </x:c>
      <x:c r="O34" s="419" t="str">
        <x:v>Period publication exposes the offer; retain as promotional ephemera, not as the catalog itself.</x:v>
      </x:c>
      <x:c r="P34" s="419" t="str">
        <x:v>HIGH for offer</x:v>
      </x:c>
      <x:c r="Q34" s="419" t="str">
        <x:v>INDEX-ONLY</x:v>
      </x:c>
      <x:c r="R34" s="419" t="str">
        <x:v>INCLUDED — mailer object</x:v>
      </x:c>
      <x:c r="S34" s="419" t="str">
        <x:v>https://www.previouspage.co.uk/issues/131-november-nineteen-ninety-one</x:v>
      </x:c>
      <x:c r="T34" s="419" t="str">
        <x:v>https://archive.harobikes.com/bmx</x:v>
      </x:c>
      <x:c r="U34" s="419" t="str">
        <x:v>haro fusion|1991 haro fusion catalog offer|1991</x:v>
      </x:c>
      <x:c r="V34" s="419" t="str">
        <x:v>DUP-HARO-1991-MAILER</x:v>
      </x:c>
      <x:c r="W34" s="419" t="str">
        <x:v>MERGE identity; preserve source occurrence</x:v>
      </x:c>
      <x:c r="X34" s="419" t="str">
        <x:v>Catalog fee is not a bicycle price.</x:v>
      </x:c>
      <x:c r="Y34" s="419" t="str">
        <x:v>2026-07-30</x:v>
      </x:c>
    </x:row>
    <x:row r="35">
      <x:c r="A35" s="419" t="str">
        <x:v>EPH-0031</x:v>
      </x:c>
      <x:c r="B35" s="419" t="str">
        <x:v>v0.7</x:v>
      </x:c>
      <x:c r="C35" s="419" t="str">
        <x:v>ASH-OBJ-0001</x:v>
      </x:c>
      <x:c r="D35" s="419" t="str">
        <x:v>Component catalog</x:v>
      </x:c>
      <x:c r="E35" s="419" t="str">
        <x:v>Ashtabula component catalog</x:v>
      </x:c>
      <x:c r="F35" s="421" t="n">
        <x:v>1977</x:v>
      </x:c>
      <x:c r="G35" s="421" t="n">
        <x:v>1977</x:v>
      </x:c>
      <x:c r="H35" s="419" t="str">
        <x:v>circa 1977; date provisional</x:v>
      </x:c>
      <x:c r="I35" s="419" t="str">
        <x:v>Ashtabula</x:v>
      </x:c>
      <x:c r="J35" s="419" t="str">
        <x:v>Catalog-object identity and a period component range.</x:v>
      </x:c>
      <x:c r="K35" s="419" t="str">
        <x:v>Unresolved / varies</x:v>
      </x:c>
      <x:c r="L35" s="419" t="str">
        <x:v>BMXMuseum reference 5027</x:v>
      </x:c>
      <x:c r="M35" s="419" t="str">
        <x:v>5027</x:v>
      </x:c>
      <x:c r="N35" s="419" t="str">
        <x:v>EXACT EXTERNAL DIRECT LINK</x:v>
      </x:c>
      <x:c r="O35" s="419" t="str">
        <x:v>Two technical discussions independently cite reference 5027; the edition date remains approximate.</x:v>
      </x:c>
      <x:c r="P35" s="419" t="str">
        <x:v>HIGH for ID; MEDIUM for date</x:v>
      </x:c>
      <x:c r="Q35" s="419" t="str">
        <x:v>INDEX-ONLY</x:v>
      </x:c>
      <x:c r="R35" s="419" t="str">
        <x:v>EXACT ID RECOVERED</x:v>
      </x:c>
      <x:c r="S35" s="419" t="str">
        <x:v>https://bmxmuseum.com/reference/5027</x:v>
      </x:c>
      <x:c r="T35" s="419" t="str">
        <x:v>https://thecabe.com/forum/threads/ashtabula-fork-identification-help.253603/</x:v>
      </x:c>
      <x:c r="U35" s="419" t="str">
        <x:v>ashtabula|ashtabula component catalog|1977</x:v>
      </x:c>
      <x:c r="V35" s="419" t="str">
        <x:v>DUP-ASHT-5027</x:v>
      </x:c>
      <x:c r="W35" s="419" t="str">
        <x:v>MERGE identity; preserve source occurrence</x:v>
      </x:c>
      <x:c r="X35" s="419" t="str">
        <x:v>Canonical link preserved without direct blocked-path retrieval.</x:v>
      </x:c>
      <x:c r="Y35" s="419" t="str">
        <x:v>2026-07-30</x:v>
      </x:c>
    </x:row>
    <x:row r="36">
      <x:c r="A36" s="419" t="str">
        <x:v>EPH-0032</x:v>
      </x:c>
      <x:c r="B36" s="419" t="str">
        <x:v>v0.7</x:v>
      </x:c>
      <x:c r="C36" s="419" t="str">
        <x:v>ASH-OBJ-0002</x:v>
      </x:c>
      <x:c r="D36" s="419" t="str">
        <x:v>Catalog claim</x:v>
      </x:c>
      <x:c r="E36" s="419" t="str">
        <x:v>Ashtabula crank length range</x:v>
      </x:c>
      <x:c r="F36" s="421" t="n">
        <x:v>1977</x:v>
      </x:c>
      <x:c r="G36" s="421" t="n">
        <x:v>1977</x:v>
      </x:c>
      <x:c r="H36" s="419" t="str">
        <x:v>circa 1977; interpretation</x:v>
      </x:c>
      <x:c r="I36" s="419" t="str">
        <x:v>Ashtabula</x:v>
      </x:c>
      <x:c r="J36" s="419" t="str">
        <x:v>A discussion reports catalog cranks up to 6-1/2 inches.</x:v>
      </x:c>
      <x:c r="K36" s="419" t="str">
        <x:v>Unresolved / varies</x:v>
      </x:c>
      <x:c r="L36" s="419" t="str">
        <x:v>Derived from reference 5027 discussion</x:v>
      </x:c>
      <x:c r="M36" s="419" t="str">
        <x:v>5027</x:v>
      </x:c>
      <x:c r="N36" s="419" t="str">
        <x:v>EXTERNAL TECHNICAL INTERPRETATION</x:v>
      </x:c>
      <x:c r="O36" s="419" t="str">
        <x:v>This is an externally interpreted catalog fact, not direct page transcription in this research route.</x:v>
      </x:c>
      <x:c r="P36" s="419" t="str">
        <x:v>MEDIUM</x:v>
      </x:c>
      <x:c r="Q36" s="419" t="str">
        <x:v>INDEX-ONLY</x:v>
      </x:c>
      <x:c r="R36" s="419" t="str">
        <x:v>INCLUDED WITH ATTRIBUTION</x:v>
      </x:c>
      <x:c r="S36" s="419" t="str">
        <x:v>https://thecabe.com/forum/threads/ashtabula-fork-identification-help.253603/</x:v>
      </x:c>
      <x:c r="T36" s="419" t="str">
        <x:v>https://bmxmuseum.com/reference/5027</x:v>
      </x:c>
      <x:c r="U36" s="419" t="str">
        <x:v>ashtabula|ashtabula crank length range|1977</x:v>
      </x:c>
      <x:c r="V36" s="419" t="str"/>
      <x:c r="W36" s="419" t="str">
        <x:v>RETAIN — unique source record</x:v>
      </x:c>
      <x:c r="X36" s="419" t="str">
        <x:v>Verify page image when lawful access is available.</x:v>
      </x:c>
      <x:c r="Y36" s="419" t="str">
        <x:v>2026-07-30</x:v>
      </x:c>
    </x:row>
    <x:row r="37">
      <x:c r="A37" s="419" t="str">
        <x:v>EPH-0033</x:v>
      </x:c>
      <x:c r="B37" s="419" t="str">
        <x:v>v0.7</x:v>
      </x:c>
      <x:c r="C37" s="419" t="str">
        <x:v>ASH-OBJ-0003</x:v>
      </x:c>
      <x:c r="D37" s="419" t="str">
        <x:v>Catalog claim</x:v>
      </x:c>
      <x:c r="E37" s="419" t="str">
        <x:v>Ashtabula fork sizing and 6-3/4-inch steerer discussion</x:v>
      </x:c>
      <x:c r="F37" s="421" t="n">
        <x:v>1977</x:v>
      </x:c>
      <x:c r="G37" s="421" t="n">
        <x:v>1977</x:v>
      </x:c>
      <x:c r="H37" s="419" t="str">
        <x:v>circa 1977; interpretation</x:v>
      </x:c>
      <x:c r="I37" s="419" t="str">
        <x:v>Ashtabula</x:v>
      </x:c>
      <x:c r="J37" s="419" t="str">
        <x:v>A discussion describes fork offerings across wheel sizes and a 6-3/4-inch steerer.</x:v>
      </x:c>
      <x:c r="K37" s="419" t="str">
        <x:v>Unresolved / varies</x:v>
      </x:c>
      <x:c r="L37" s="419" t="str">
        <x:v>Derived from reference 5027 discussion</x:v>
      </x:c>
      <x:c r="M37" s="419" t="str">
        <x:v>5027</x:v>
      </x:c>
      <x:c r="N37" s="419" t="str">
        <x:v>EXTERNAL TECHNICAL INTERPRETATION</x:v>
      </x:c>
      <x:c r="O37" s="419" t="str">
        <x:v>Technical interpretation depends on the cited discussion; retain attribution and do not generalize beyond the described page.</x:v>
      </x:c>
      <x:c r="P37" s="419" t="str">
        <x:v>MEDIUM</x:v>
      </x:c>
      <x:c r="Q37" s="419" t="str">
        <x:v>INDEX-ONLY</x:v>
      </x:c>
      <x:c r="R37" s="419" t="str">
        <x:v>INCLUDED WITH ATTRIBUTION</x:v>
      </x:c>
      <x:c r="S37" s="419" t="str">
        <x:v>https://thecabe.com/forum/threads/ashtabula-fork-identification-help.253603/</x:v>
      </x:c>
      <x:c r="T37" s="419" t="str">
        <x:v>https://bmxmuseum.com/reference/5027</x:v>
      </x:c>
      <x:c r="U37" s="419" t="str">
        <x:v>ashtabula|ashtabula fork sizing and 6 3 4 inch steerer discussion|1977</x:v>
      </x:c>
      <x:c r="V37" s="419" t="str"/>
      <x:c r="W37" s="419" t="str">
        <x:v>RETAIN — unique source record</x:v>
      </x:c>
      <x:c r="X37" s="419" t="str">
        <x:v>Ground-clearance rationale is an interpreted claim.</x:v>
      </x:c>
      <x:c r="Y37" s="419" t="str">
        <x:v>2026-07-30</x:v>
      </x:c>
    </x:row>
    <x:row r="38">
      <x:c r="A38" s="419" t="str">
        <x:v>EPH-0034</x:v>
      </x:c>
      <x:c r="B38" s="419" t="str">
        <x:v>v0.7</x:v>
      </x:c>
      <x:c r="C38" s="419" t="str">
        <x:v>ASH-OBJ-0004</x:v>
      </x:c>
      <x:c r="D38" s="419" t="str">
        <x:v>Manufacturer/distributor catalog page</x:v>
      </x:c>
      <x:c r="E38" s="419" t="str">
        <x:v>Mongoose 1979/80 catalog — Ashtabula one-piece cranks</x:v>
      </x:c>
      <x:c r="F38" s="421" t="n">
        <x:v>1979</x:v>
      </x:c>
      <x:c r="G38" s="421" t="n">
        <x:v>1979</x:v>
      </x:c>
      <x:c r="H38" s="419" t="str">
        <x:v>1979/80</x:v>
      </x:c>
      <x:c r="I38" s="419" t="str">
        <x:v>Mongoose; Ashtabula</x:v>
      </x:c>
      <x:c r="J38" s="419" t="str">
        <x:v>5-1/2-inch and 6-1/2-inch Ashtabula one-piece crank offerings within the Mongoose component catalog.</x:v>
      </x:c>
      <x:c r="K38" s="419" t="str">
        <x:v>Unresolved / varies</x:v>
      </x:c>
      <x:c r="L38" s="419" t="str">
        <x:v>Independent period PDF</x:v>
      </x:c>
      <x:c r="M38" s="419" t="str"/>
      <x:c r="N38" s="419" t="str">
        <x:v>PERIOD CATALOG PAGE</x:v>
      </x:c>
      <x:c r="O38" s="419" t="str">
        <x:v>Page image was inspected in this research sequence. It corroborates product presence, not the edition/date of reference 5027.</x:v>
      </x:c>
      <x:c r="P38" s="419" t="str">
        <x:v>HIGH</x:v>
      </x:c>
      <x:c r="Q38" s="419" t="str">
        <x:v>INDEX-ONLY</x:v>
      </x:c>
      <x:c r="R38" s="419" t="str">
        <x:v>INCLUDED — visual page inspected</x:v>
      </x:c>
      <x:c r="S38" s="419" t="str">
        <x:v>https://www.vintagemongoose.com/pdfs/mongoose_cat79-80.pdf</x:v>
      </x:c>
      <x:c r="T38" s="419" t="str">
        <x:v>https://www.vintagemongoose.com/info/catalogs.php</x:v>
      </x:c>
      <x:c r="U38" s="419" t="str">
        <x:v>mongoose ashtabula|mongoose 1979 80 catalog ashtabula one piece cranks|1979</x:v>
      </x:c>
      <x:c r="V38" s="419" t="str"/>
      <x:c r="W38" s="419" t="str">
        <x:v>RETAIN — unique source record</x:v>
      </x:c>
      <x:c r="X38" s="419" t="str">
        <x:v>Do not copy the catalog page into the register.</x:v>
      </x:c>
      <x:c r="Y38" s="419" t="str">
        <x:v>2026-07-30</x:v>
      </x:c>
    </x:row>
    <x:row r="39">
      <x:c r="A39" s="419" t="str">
        <x:v>EPH-0035</x:v>
      </x:c>
      <x:c r="B39" s="419" t="str">
        <x:v>v0.7</x:v>
      </x:c>
      <x:c r="C39" s="419" t="str">
        <x:v>ASH-OBJ-0005</x:v>
      </x:c>
      <x:c r="D39" s="419" t="str">
        <x:v>Manufacturer/distributor catalog page</x:v>
      </x:c>
      <x:c r="E39" s="419" t="str">
        <x:v>Mongoose 1976–77 accessories — Ashtabula/Cecor pedals</x:v>
      </x:c>
      <x:c r="F39" s="421" t="n">
        <x:v>1976</x:v>
      </x:c>
      <x:c r="G39" s="421" t="n">
        <x:v>1976</x:v>
      </x:c>
      <x:c r="H39" s="419" t="str">
        <x:v>1976–77</x:v>
      </x:c>
      <x:c r="I39" s="419" t="str">
        <x:v>Mongoose; Ashtabula/Cecor</x:v>
      </x:c>
      <x:c r="J39" s="419" t="str">
        <x:v>Ashtabula/Cecor pedal listing alongside early BMX components.</x:v>
      </x:c>
      <x:c r="K39" s="419" t="str">
        <x:v>Unresolved / varies</x:v>
      </x:c>
      <x:c r="L39" s="419" t="str">
        <x:v>Independent period PDF</x:v>
      </x:c>
      <x:c r="M39" s="419" t="str"/>
      <x:c r="N39" s="419" t="str">
        <x:v>PERIOD CATALOG PAGE</x:v>
      </x:c>
      <x:c r="O39" s="419" t="str">
        <x:v>Page image was inspected; exact OEM/branding relationship requires separate corporate verification.</x:v>
      </x:c>
      <x:c r="P39" s="419" t="str">
        <x:v>MEDIUM-HIGH</x:v>
      </x:c>
      <x:c r="Q39" s="419" t="str">
        <x:v>INDEX-ONLY</x:v>
      </x:c>
      <x:c r="R39" s="419" t="str">
        <x:v>INCLUDED — visual page inspected</x:v>
      </x:c>
      <x:c r="S39" s="419" t="str">
        <x:v>https://www.vintagemongoose.com/pdfs/mongoose_cat76-77.pdf</x:v>
      </x:c>
      <x:c r="T39" s="419" t="str">
        <x:v>https://www.vintagemongoose.com/info/catalogs.php</x:v>
      </x:c>
      <x:c r="U39" s="419" t="str">
        <x:v>mongoose ashtabula cecor|mongoose 1976 77 accessories ashtabula cecor pedals|1976</x:v>
      </x:c>
      <x:c r="V39" s="419" t="str"/>
      <x:c r="W39" s="419" t="str">
        <x:v>RETAIN — unique source record</x:v>
      </x:c>
      <x:c r="X39" s="419" t="str">
        <x:v>Record product listing without claiming manufacturing origin.</x:v>
      </x:c>
      <x:c r="Y39" s="419" t="str">
        <x:v>2026-07-30</x:v>
      </x:c>
    </x:row>
    <x:row r="40">
      <x:c r="A40" s="419" t="str">
        <x:v>EPH-0036</x:v>
      </x:c>
      <x:c r="B40" s="419" t="str">
        <x:v>v0.8</x:v>
      </x:c>
      <x:c r="C40" s="419" t="str">
        <x:v>MB-OBJ-0001</x:v>
      </x:c>
      <x:c r="D40" s="419" t="str">
        <x:v>Product catalog</x:v>
      </x:c>
      <x:c r="E40" s="419" t="str">
        <x:v>1978 Redline product catalog</x:v>
      </x:c>
      <x:c r="F40" s="421" t="n">
        <x:v>1978</x:v>
      </x:c>
      <x:c r="G40" s="421" t="n">
        <x:v>1978</x:v>
      </x:c>
      <x:c r="H40" s="419" t="str">
        <x:v>1978</x:v>
      </x:c>
      <x:c r="I40" s="419" t="str">
        <x:v>Redline</x:v>
      </x:c>
      <x:c r="J40" s="419" t="str">
        <x:v>Introduction of purpose-built stem, seat clamp and seat post alongside frames/forks.</x:v>
      </x:c>
      <x:c r="K40" s="419" t="str">
        <x:v>Unresolved / varies</x:v>
      </x:c>
      <x:c r="L40" s="419" t="str">
        <x:v>BMXMuseum comparison ecosystem; exact catalog reference not recovered</x:v>
      </x:c>
      <x:c r="M40" s="419" t="str"/>
      <x:c r="N40" s="419" t="str">
        <x:v>Historical brand archive</x:v>
      </x:c>
      <x:c r="O40" s="419" t="str">
        <x:v>Current historical archive summarizes the catalog; original page structure and BMXMuseum ID remain open.</x:v>
      </x:c>
      <x:c r="P40" s="419" t="str">
        <x:v>MEDIUM-HIGH</x:v>
      </x:c>
      <x:c r="Q40" s="419" t="str">
        <x:v>INDEX-ONLY</x:v>
      </x:c>
      <x:c r="R40" s="419" t="str">
        <x:v>INCLUDED WITH ATTRIBUTION</x:v>
      </x:c>
      <x:c r="S40" s="419" t="str">
        <x:v>https://www.redlinevintagebmx.com/redline-history</x:v>
      </x:c>
      <x:c r="T40" s="419"/>
      <x:c r="U40" s="419" t="str">
        <x:v>redline|1978 redline product catalog|1978</x:v>
      </x:c>
      <x:c r="V40" s="419" t="str"/>
      <x:c r="W40" s="419" t="str">
        <x:v>RETAIN — unique source record</x:v>
      </x:c>
      <x:c r="X40" s="419" t="str">
        <x:v>Do not reproduce archive images.</x:v>
      </x:c>
      <x:c r="Y40" s="419" t="str">
        <x:v>2026-07-30</x:v>
      </x:c>
    </x:row>
    <x:row r="41">
      <x:c r="A41" s="419" t="str">
        <x:v>EPH-0037</x:v>
      </x:c>
      <x:c r="B41" s="419" t="str">
        <x:v>v0.8</x:v>
      </x:c>
      <x:c r="C41" s="419" t="str">
        <x:v>MB-OBJ-0002</x:v>
      </x:c>
      <x:c r="D41" s="419" t="str">
        <x:v>Magazine advertisement</x:v>
      </x:c>
      <x:c r="E41" s="419" t="str">
        <x:v>First Red Line magazine advertisement featuring John Palfreyman</x:v>
      </x:c>
      <x:c r="F41" s="421" t="n">
        <x:v>1970</x:v>
      </x:c>
      <x:c r="G41" s="421" t="n">
        <x:v>1970</x:v>
      </x:c>
      <x:c r="H41" s="419" t="str">
        <x:v>1970s; exact issue open</x:v>
      </x:c>
      <x:c r="I41" s="419" t="str">
        <x:v>Redline</x:v>
      </x:c>
      <x:c r="J41" s="419" t="str">
        <x:v>Early rider endorsement and product-testing relationship.</x:v>
      </x:c>
      <x:c r="K41" s="419" t="str">
        <x:v>Unresolved / varies</x:v>
      </x:c>
      <x:c r="L41" s="419" t="str">
        <x:v>Existing master relationship; exact bibliographic object unresolved</x:v>
      </x:c>
      <x:c r="M41" s="419" t="str"/>
      <x:c r="N41" s="419" t="str">
        <x:v>Official rider-history corroboration</x:v>
      </x:c>
      <x:c r="O41" s="419" t="str">
        <x:v>USA BMX supports the rider/ad relationship; publication, issue, page and product still require recovery.</x:v>
      </x:c>
      <x:c r="P41" s="419" t="str">
        <x:v>HIGH for relationship; MEDIUM for object</x:v>
      </x:c>
      <x:c r="Q41" s="419" t="str">
        <x:v>INDEX-ONLY</x:v>
      </x:c>
      <x:c r="R41" s="419" t="str">
        <x:v>OPEN — exact issue/page</x:v>
      </x:c>
      <x:c r="S41" s="419" t="str">
        <x:v>https://www.usabmx.com/news-and-media/6/2012-05-10/National-BMX-Hall-of-Fame-2012-Inductees-Announced?id=580</x:v>
      </x:c>
      <x:c r="T41" s="419" t="str">
        <x:v>https://www.redlinevintagebmx.com/redline-history</x:v>
      </x:c>
      <x:c r="U41" s="419" t="str">
        <x:v>redline|first red line magazine advertisement featuring john palfreyman|1970</x:v>
      </x:c>
      <x:c r="V41" s="419" t="str">
        <x:v>DUP-REDLINE-FIRST-AD</x:v>
      </x:c>
      <x:c r="W41" s="419" t="str">
        <x:v>MERGE identity; preserve source occurrence</x:v>
      </x:c>
      <x:c r="X41" s="419" t="str">
        <x:v>Relationship remains stronger than bibliographic detail.</x:v>
      </x:c>
      <x:c r="Y41" s="419" t="str">
        <x:v>2026-07-30</x:v>
      </x:c>
    </x:row>
    <x:row r="42">
      <x:c r="A42" s="419" t="str">
        <x:v>EPH-0038</x:v>
      </x:c>
      <x:c r="B42" s="419" t="str">
        <x:v>v0.8</x:v>
      </x:c>
      <x:c r="C42" s="419" t="str">
        <x:v>MB-OBJ-0003</x:v>
      </x:c>
      <x:c r="D42" s="419" t="str">
        <x:v>Product announcement / kit</x:v>
      </x:c>
      <x:c r="E42" s="419" t="str">
        <x:v>RL 20 II Prostyler first dedicated freestyle kit</x:v>
      </x:c>
      <x:c r="F42" s="421" t="n">
        <x:v>1985</x:v>
      </x:c>
      <x:c r="G42" s="421" t="n">
        <x:v>1985</x:v>
      </x:c>
      <x:c r="H42" s="419" t="str">
        <x:v>Summer 1985</x:v>
      </x:c>
      <x:c r="I42" s="419" t="str">
        <x:v>Redline</x:v>
      </x:c>
      <x:c r="J42" s="419" t="str">
        <x:v>Launch period and kit configuration as frame, fork, handlebars and Dia-Compe 880 brakeset.</x:v>
      </x:c>
      <x:c r="K42" s="419" t="str">
        <x:v>Unresolved / varies</x:v>
      </x:c>
      <x:c r="L42" s="419" t="str">
        <x:v>No exact BMXMuseum object recovered</x:v>
      </x:c>
      <x:c r="M42" s="419" t="str"/>
      <x:c r="N42" s="419" t="str">
        <x:v>Historical brand archive</x:v>
      </x:c>
      <x:c r="O42" s="419" t="str">
        <x:v>Modern historical page summarizes the launch; period advertisement/catalog page remains to be located.</x:v>
      </x:c>
      <x:c r="P42" s="419" t="str">
        <x:v>MEDIUM-HIGH</x:v>
      </x:c>
      <x:c r="Q42" s="419" t="str">
        <x:v>INDEX-ONLY</x:v>
      </x:c>
      <x:c r="R42" s="419" t="str">
        <x:v>INCLUDED WITH ATTRIBUTION</x:v>
      </x:c>
      <x:c r="S42" s="419" t="str">
        <x:v>https://www.redlinevintagebmx.com/the-rl-40-project</x:v>
      </x:c>
      <x:c r="T42" s="419"/>
      <x:c r="U42" s="419" t="str">
        <x:v>redline|rl 20 ii prostyler first dedicated freestyle kit|1985</x:v>
      </x:c>
      <x:c r="V42" s="419" t="str"/>
      <x:c r="W42" s="419" t="str">
        <x:v>RETAIN — unique source record</x:v>
      </x:c>
      <x:c r="X42" s="419" t="str">
        <x:v>Separate launch claim from surviving-bike authenticity.</x:v>
      </x:c>
      <x:c r="Y42" s="419" t="str">
        <x:v>2026-07-30</x:v>
      </x:c>
    </x:row>
    <x:row r="43">
      <x:c r="A43" s="419" t="str">
        <x:v>EPH-0039</x:v>
      </x:c>
      <x:c r="B43" s="419" t="str">
        <x:v>v0.8</x:v>
      </x:c>
      <x:c r="C43" s="419" t="str">
        <x:v>MB-OBJ-0004</x:v>
      </x:c>
      <x:c r="D43" s="419" t="str">
        <x:v>Archive collection</x:v>
      </x:c>
      <x:c r="E43" s="419" t="str">
        <x:v>Vintage Mongoose catalog and dealer-price archive</x:v>
      </x:c>
      <x:c r="F43" s="421" t="n">
        <x:v>1970</x:v>
      </x:c>
      <x:c r="G43" s="421" t="n">
        <x:v>1970</x:v>
      </x:c>
      <x:c r="H43" s="419" t="str">
        <x:v>1970s onward</x:v>
      </x:c>
      <x:c r="I43" s="419" t="str">
        <x:v>Mongoose</x:v>
      </x:c>
      <x:c r="J43" s="419" t="str">
        <x:v>Existence of downloadable brochures, dealer price sheets and catalog corpus.</x:v>
      </x:c>
      <x:c r="K43" s="419" t="str">
        <x:v>Unresolved / varies</x:v>
      </x:c>
      <x:c r="L43" s="419" t="str">
        <x:v>Uses original BMX Products catalogs and BMXMuseum/community evidence</x:v>
      </x:c>
      <x:c r="M43" s="419" t="str"/>
      <x:c r="N43" s="419" t="str">
        <x:v>Specialist historical archive</x:v>
      </x:c>
      <x:c r="O43" s="419" t="str">
        <x:v>Archive stewardship does not automatically grant republication rights for each scan.</x:v>
      </x:c>
      <x:c r="P43" s="419" t="str">
        <x:v>HIGH for archive scope</x:v>
      </x:c>
      <x:c r="Q43" s="419" t="str">
        <x:v>INDEX-ONLY</x:v>
      </x:c>
      <x:c r="R43" s="419" t="str">
        <x:v>INCLUDED — discovery hub</x:v>
      </x:c>
      <x:c r="S43" s="419" t="str">
        <x:v>https://www.vintagemongoose.com/</x:v>
      </x:c>
      <x:c r="T43" s="419" t="str">
        <x:v>https://www.vintagemongoose.com/info/catalogs.php</x:v>
      </x:c>
      <x:c r="U43" s="419" t="str">
        <x:v>mongoose|vintage mongoose catalog and dealer price archive|1970</x:v>
      </x:c>
      <x:c r="V43" s="419" t="str"/>
      <x:c r="W43" s="419" t="str">
        <x:v>RETAIN — unique source record</x:v>
      </x:c>
      <x:c r="X43" s="419" t="str">
        <x:v>Preserve item-level source and rights data.</x:v>
      </x:c>
      <x:c r="Y43" s="419" t="str">
        <x:v>2026-07-30</x:v>
      </x:c>
    </x:row>
    <x:row r="44">
      <x:c r="A44" s="419" t="str">
        <x:v>EPH-0040</x:v>
      </x:c>
      <x:c r="B44" s="419" t="str">
        <x:v>v0.8</x:v>
      </x:c>
      <x:c r="C44" s="419" t="str">
        <x:v>MB-OBJ-0005</x:v>
      </x:c>
      <x:c r="D44" s="419" t="str">
        <x:v>Manufacturer catalog</x:v>
      </x:c>
      <x:c r="E44" s="419" t="str">
        <x:v>1976–77 Bicycle and Components Catalog</x:v>
      </x:c>
      <x:c r="F44" s="421" t="n">
        <x:v>1976</x:v>
      </x:c>
      <x:c r="G44" s="421" t="n">
        <x:v>1976</x:v>
      </x:c>
      <x:c r="H44" s="419" t="str">
        <x:v>1976–77</x:v>
      </x:c>
      <x:c r="I44" s="419" t="str">
        <x:v>Mongoose</x:v>
      </x:c>
      <x:c r="J44" s="419" t="str">
        <x:v>Early Mongoose products, components, part numbers and distributor context.</x:v>
      </x:c>
      <x:c r="K44" s="419" t="str">
        <x:v>Unresolved / varies</x:v>
      </x:c>
      <x:c r="L44" s="419" t="str">
        <x:v>Independent corroborating catalog; exact BMXMuseum object not established</x:v>
      </x:c>
      <x:c r="M44" s="419" t="str"/>
      <x:c r="N44" s="419" t="str">
        <x:v>Period catalog PDF</x:v>
      </x:c>
      <x:c r="O44" s="419" t="str">
        <x:v>Page images may be inspected for facts; the scan is not embedded or republished.</x:v>
      </x:c>
      <x:c r="P44" s="419" t="str">
        <x:v>HIGH</x:v>
      </x:c>
      <x:c r="Q44" s="419" t="str">
        <x:v>INDEX-ONLY</x:v>
      </x:c>
      <x:c r="R44" s="419" t="str">
        <x:v>INCLUDED — page inspected</x:v>
      </x:c>
      <x:c r="S44" s="419" t="str">
        <x:v>https://www.vintagemongoose.com/pdfs/mongoose_cat76-77.pdf</x:v>
      </x:c>
      <x:c r="T44" s="419" t="str">
        <x:v>https://www.vintagemongoose.com/info/catalogs.php</x:v>
      </x:c>
      <x:c r="U44" s="419" t="str">
        <x:v>mongoose|1976 77 bicycle and components catalog|1976</x:v>
      </x:c>
      <x:c r="V44" s="419" t="str"/>
      <x:c r="W44" s="419" t="str">
        <x:v>RETAIN — unique source record</x:v>
      </x:c>
      <x:c r="X44" s="419" t="str">
        <x:v>Visual evidence recorded without copying.</x:v>
      </x:c>
      <x:c r="Y44" s="419" t="str">
        <x:v>2026-07-30</x:v>
      </x:c>
    </x:row>
    <x:row r="45">
      <x:c r="A45" s="419" t="str">
        <x:v>EPH-0041</x:v>
      </x:c>
      <x:c r="B45" s="419" t="str">
        <x:v>v0.8</x:v>
      </x:c>
      <x:c r="C45" s="419" t="str">
        <x:v>MB-OBJ-0006</x:v>
      </x:c>
      <x:c r="D45" s="419" t="str">
        <x:v>Manufacturer catalog</x:v>
      </x:c>
      <x:c r="E45" s="419" t="str">
        <x:v>1979/80 Bicycle and Components Catalog</x:v>
      </x:c>
      <x:c r="F45" s="421" t="n">
        <x:v>1979</x:v>
      </x:c>
      <x:c r="G45" s="421" t="n">
        <x:v>1979</x:v>
      </x:c>
      <x:c r="H45" s="419" t="str">
        <x:v>1979/80</x:v>
      </x:c>
      <x:c r="I45" s="419" t="str">
        <x:v>Mongoose</x:v>
      </x:c>
      <x:c r="J45" s="419" t="str">
        <x:v>Bicycle lineup, accessory range and component relationships including Ashtabula cranks.</x:v>
      </x:c>
      <x:c r="K45" s="419" t="str">
        <x:v>Unresolved / varies</x:v>
      </x:c>
      <x:c r="L45" s="419" t="str">
        <x:v>Independent corroborating catalog; exact BMXMuseum object not established</x:v>
      </x:c>
      <x:c r="M45" s="419" t="str"/>
      <x:c r="N45" s="419" t="str">
        <x:v>Period catalog PDF</x:v>
      </x:c>
      <x:c r="O45" s="419" t="str">
        <x:v>Catalog date is printed on cover; page-specific claims remain tied to inspected pages.</x:v>
      </x:c>
      <x:c r="P45" s="419" t="str">
        <x:v>HIGH</x:v>
      </x:c>
      <x:c r="Q45" s="419" t="str">
        <x:v>INDEX-ONLY</x:v>
      </x:c>
      <x:c r="R45" s="419" t="str">
        <x:v>INCLUDED — page inspected</x:v>
      </x:c>
      <x:c r="S45" s="419" t="str">
        <x:v>https://www.vintagemongoose.com/pdfs/mongoose_cat79-80.pdf</x:v>
      </x:c>
      <x:c r="T45" s="419" t="str">
        <x:v>https://www.vintagemongoose.com/info/catalogs.php</x:v>
      </x:c>
      <x:c r="U45" s="419" t="str">
        <x:v>mongoose|1979 80 bicycle and components catalog|1979</x:v>
      </x:c>
      <x:c r="V45" s="419" t="str"/>
      <x:c r="W45" s="419" t="str">
        <x:v>RETAIN — unique source record</x:v>
      </x:c>
      <x:c r="X45" s="419" t="str">
        <x:v>Do not treat hosted scan as public-domain.</x:v>
      </x:c>
      <x:c r="Y45" s="419" t="str">
        <x:v>2026-07-30</x:v>
      </x:c>
    </x:row>
    <x:row r="46">
      <x:c r="A46" s="419" t="str">
        <x:v>EPH-0042</x:v>
      </x:c>
      <x:c r="B46" s="419" t="str">
        <x:v>v0.8</x:v>
      </x:c>
      <x:c r="C46" s="419" t="str">
        <x:v>MB-OBJ-0007</x:v>
      </x:c>
      <x:c r="D46" s="419" t="str">
        <x:v>Distributor price list</x:v>
      </x:c>
      <x:c r="E46" s="419" t="str">
        <x:v>1985 Repco price list — Mongoose and parts</x:v>
      </x:c>
      <x:c r="F46" s="421" t="n">
        <x:v>1985</x:v>
      </x:c>
      <x:c r="G46" s="421" t="n">
        <x:v>1985</x:v>
      </x:c>
      <x:c r="H46" s="419" t="str">
        <x:v>1985</x:v>
      </x:c>
      <x:c r="I46" s="419" t="str">
        <x:v>Mongoose</x:v>
      </x:c>
      <x:c r="J46" s="419" t="str">
        <x:v>Australian distributor pricing and cross-brand distribution context.</x:v>
      </x:c>
      <x:c r="K46" s="419" t="str">
        <x:v>Unresolved / varies</x:v>
      </x:c>
      <x:c r="L46" s="419" t="str">
        <x:v>No exact BMXMuseum object established</x:v>
      </x:c>
      <x:c r="M46" s="419" t="str"/>
      <x:c r="N46" s="419" t="str">
        <x:v>Australian collector/research archive</x:v>
      </x:c>
      <x:c r="O46" s="419" t="str">
        <x:v>Public summary exposes selected prices; currency is likely AUD from Australian context but should be verified from the scan.</x:v>
      </x:c>
      <x:c r="P46" s="419" t="str">
        <x:v>MEDIUM</x:v>
      </x:c>
      <x:c r="Q46" s="419" t="str">
        <x:v>INDEX-ONLY</x:v>
      </x:c>
      <x:c r="R46" s="419" t="str">
        <x:v>INCLUDED WITH CURRENCY CAUTION</x:v>
      </x:c>
      <x:c r="S46" s="419" t="str">
        <x:v>https://www.bloggingadeadhorse.com/hotfoot2.php</x:v>
      </x:c>
      <x:c r="T46" s="419" t="str">
        <x:v>https://www.vintagemongoose.com/</x:v>
      </x:c>
      <x:c r="U46" s="419" t="str">
        <x:v>mongoose|1985 repco price list mongoose and parts|1985</x:v>
      </x:c>
      <x:c r="V46" s="419" t="str"/>
      <x:c r="W46" s="419" t="str">
        <x:v>RETAIN — unique source record</x:v>
      </x:c>
      <x:c r="X46" s="419" t="str">
        <x:v>Do not transcribe unseen rows.</x:v>
      </x:c>
      <x:c r="Y46" s="419" t="str">
        <x:v>2026-07-30</x:v>
      </x:c>
    </x:row>
    <x:row r="47">
      <x:c r="A47" s="419" t="str">
        <x:v>EPH-0043</x:v>
      </x:c>
      <x:c r="B47" s="419" t="str">
        <x:v>v0.8</x:v>
      </x:c>
      <x:c r="C47" s="419" t="str">
        <x:v>MB-OBJ-0008</x:v>
      </x:c>
      <x:c r="D47" s="419" t="str">
        <x:v>Product-history object</x:v>
      </x:c>
      <x:c r="E47" s="419" t="str">
        <x:v>PK Ripper late-1970s debut</x:v>
      </x:c>
      <x:c r="F47" s="421" t="n">
        <x:v>1970</x:v>
      </x:c>
      <x:c r="G47" s="421" t="n">
        <x:v>1970</x:v>
      </x:c>
      <x:c r="H47" s="419" t="str">
        <x:v>Late 1970s</x:v>
      </x:c>
      <x:c r="I47" s="419" t="str">
        <x:v>SE Racing</x:v>
      </x:c>
      <x:c r="J47" s="419" t="str">
        <x:v>Early high-end aluminum BMX frame chronology and PK Ripper continuity.</x:v>
      </x:c>
      <x:c r="K47" s="419" t="str">
        <x:v>Unresolved / varies</x:v>
      </x:c>
      <x:c r="L47" s="419" t="str">
        <x:v>No exact BMXMuseum catalog/ad object recovered</x:v>
      </x:c>
      <x:c r="M47" s="419" t="str"/>
      <x:c r="N47" s="419" t="str">
        <x:v>Current official brand history</x:v>
      </x:c>
      <x:c r="O47" s="419" t="str">
        <x:v>Current marketing history supports a broad debut claim, not an exact first advertisement or catalog page.</x:v>
      </x:c>
      <x:c r="P47" s="419" t="str">
        <x:v>MEDIUM-HIGH</x:v>
      </x:c>
      <x:c r="Q47" s="419" t="str">
        <x:v>INDEX-ONLY</x:v>
      </x:c>
      <x:c r="R47" s="419" t="str">
        <x:v>INCLUDED WITH ATTRIBUTION</x:v>
      </x:c>
      <x:c r="S47" s="419" t="str">
        <x:v>https://www.sebikes.com/blogs/news/elite-race-series</x:v>
      </x:c>
      <x:c r="T47" s="419" t="str">
        <x:v>https://www.sebikes.com/pages/perry-kramer</x:v>
      </x:c>
      <x:c r="U47" s="419" t="str">
        <x:v>se racing|pk ripper late 1970s debut|1970</x:v>
      </x:c>
      <x:c r="V47" s="419" t="str"/>
      <x:c r="W47" s="419" t="str">
        <x:v>RETAIN — unique source record</x:v>
      </x:c>
      <x:c r="X47" s="419" t="str">
        <x:v>Exact debut date and first-page object remain open.</x:v>
      </x:c>
      <x:c r="Y47" s="419" t="str">
        <x:v>2026-07-30</x:v>
      </x:c>
    </x:row>
    <x:row r="48">
      <x:c r="A48" s="419" t="str">
        <x:v>EPH-0044</x:v>
      </x:c>
      <x:c r="B48" s="419" t="str">
        <x:v>v0.8</x:v>
      </x:c>
      <x:c r="C48" s="419" t="str">
        <x:v>MB-OBJ-0009</x:v>
      </x:c>
      <x:c r="D48" s="419" t="str">
        <x:v>Rider/model naming history</x:v>
      </x:c>
      <x:c r="E48" s="419" t="str">
        <x:v>Perry Kramer initials on PK Ripper</x:v>
      </x:c>
      <x:c r="F48" s="421" t="n">
        <x:v>1979</x:v>
      </x:c>
      <x:c r="G48" s="421" t="n">
        <x:v>1979</x:v>
      </x:c>
      <x:c r="H48" s="419" t="str">
        <x:v>Since early 1979</x:v>
      </x:c>
      <x:c r="I48" s="419" t="str">
        <x:v>SE Racing</x:v>
      </x:c>
      <x:c r="J48" s="419" t="str">
        <x:v>Rider-to-model naming relationship and approximate start period.</x:v>
      </x:c>
      <x:c r="K48" s="419" t="str">
        <x:v>Unresolved / varies</x:v>
      </x:c>
      <x:c r="L48" s="419" t="str">
        <x:v>No exact BMXMuseum object recovered</x:v>
      </x:c>
      <x:c r="M48" s="419" t="str"/>
      <x:c r="N48" s="419" t="str">
        <x:v>First-person official rider page</x:v>
      </x:c>
      <x:c r="O48" s="419" t="str">
        <x:v>First-person statement supports the relationship; catalog/advertisement evidence remains separate.</x:v>
      </x:c>
      <x:c r="P48" s="419" t="str">
        <x:v>HIGH for relationship</x:v>
      </x:c>
      <x:c r="Q48" s="419" t="str">
        <x:v>INDEX-ONLY</x:v>
      </x:c>
      <x:c r="R48" s="419" t="str">
        <x:v>INCLUDED — relationship evidence</x:v>
      </x:c>
      <x:c r="S48" s="419" t="str">
        <x:v>https://www.sebikes.com/pages/perry-kramer</x:v>
      </x:c>
      <x:c r="T48" s="419" t="str">
        <x:v>https://www.sebikes.com/blogs/news/classic-1</x:v>
      </x:c>
      <x:c r="U48" s="419" t="str">
        <x:v>se racing|perry kramer initials on pk ripper|1979</x:v>
      </x:c>
      <x:c r="V48" s="419" t="str"/>
      <x:c r="W48" s="419" t="str">
        <x:v>RETAIN — unique source record</x:v>
      </x:c>
      <x:c r="X48" s="419" t="str">
        <x:v>Do not convert approximate timing into exact launch date.</x:v>
      </x:c>
      <x:c r="Y48" s="419" t="str">
        <x:v>2026-07-30</x:v>
      </x:c>
    </x:row>
    <x:row r="49">
      <x:c r="A49" s="419" t="str">
        <x:v>EPH-0045</x:v>
      </x:c>
      <x:c r="B49" s="419" t="str">
        <x:v>v0.8</x:v>
      </x:c>
      <x:c r="C49" s="419" t="str">
        <x:v>MB-OBJ-0010</x:v>
      </x:c>
      <x:c r="D49" s="419" t="str">
        <x:v>Team/product advertisement</x:v>
      </x:c>
      <x:c r="E49" s="419" t="str">
        <x:v>Silver Streak team advertisement and product naming</x:v>
      </x:c>
      <x:c r="F49" s="421" t="n">
        <x:v>1982</x:v>
      </x:c>
      <x:c r="G49" s="421" t="n">
        <x:v>1982</x:v>
      </x:c>
      <x:c r="H49" s="419" t="str">
        <x:v>1982</x:v>
      </x:c>
      <x:c r="I49" s="419" t="str">
        <x:v>Diamond Back</x:v>
      </x:c>
      <x:c r="J49" s="419" t="str">
        <x:v>1981 ABA factory-team award, Silver Streak naming relationship and period promotional language.</x:v>
      </x:c>
      <x:c r="K49" s="419" t="str">
        <x:v>Unresolved / varies</x:v>
      </x:c>
      <x:c r="L49" s="419" t="str">
        <x:v>No exact BMXMuseum reference recovered</x:v>
      </x:c>
      <x:c r="M49" s="419" t="str"/>
      <x:c r="N49" s="419" t="str">
        <x:v>Period publication</x:v>
      </x:c>
      <x:c r="O49" s="419" t="str">
        <x:v>Repeated issues support campaign continuity; exact original US placement and complete copy are not reproduced.</x:v>
      </x:c>
      <x:c r="P49" s="419" t="str">
        <x:v>HIGH for period object</x:v>
      </x:c>
      <x:c r="Q49" s="419" t="str">
        <x:v>INDEX-ONLY</x:v>
      </x:c>
      <x:c r="R49" s="419" t="str">
        <x:v>INCLUDED — campaign object</x:v>
      </x:c>
      <x:c r="S49" s="419" t="str">
        <x:v>https://previouspage.co.uk/magazines/BMX%20Action%20Bike/issues/13-april%2Fmay-eighty-two</x:v>
      </x:c>
      <x:c r="T49" s="419" t="str">
        <x:v>https://previouspage.co.uk/magazines/BMX%20Action%20Bike/issues/25-october%2Fnovember-eighty-two</x:v>
      </x:c>
      <x:c r="U49" s="419" t="str">
        <x:v>diamond back|silver streak team advertisement and product naming|1982</x:v>
      </x:c>
      <x:c r="V49" s="419" t="str"/>
      <x:c r="W49" s="419" t="str">
        <x:v>RETAIN — unique source record</x:v>
      </x:c>
      <x:c r="X49" s="419" t="str">
        <x:v>Historical styling retained as Diamond Back.</x:v>
      </x:c>
      <x:c r="Y49" s="419" t="str">
        <x:v>2026-07-30</x:v>
      </x:c>
    </x:row>
    <x:row r="50">
      <x:c r="A50" s="419" t="str">
        <x:v>EPH-0046</x:v>
      </x:c>
      <x:c r="B50" s="419" t="str">
        <x:v>v0.8</x:v>
      </x:c>
      <x:c r="C50" s="419" t="str">
        <x:v>MB-OBJ-0011</x:v>
      </x:c>
      <x:c r="D50" s="419" t="str">
        <x:v>Information-pack mailer</x:v>
      </x:c>
      <x:c r="E50" s="419" t="str">
        <x:v>Free Diamond Back and Pro Star info pack and decal</x:v>
      </x:c>
      <x:c r="F50" s="421" t="n">
        <x:v>1982</x:v>
      </x:c>
      <x:c r="G50" s="421" t="n">
        <x:v>1982</x:v>
      </x:c>
      <x:c r="H50" s="419" t="str">
        <x:v>1982</x:v>
      </x:c>
      <x:c r="I50" s="419" t="str">
        <x:v>Diamond Back</x:v>
      </x:c>
      <x:c r="J50" s="419" t="str">
        <x:v>Direct-to-factory information-pack offer and decal promotion.</x:v>
      </x:c>
      <x:c r="K50" s="419" t="str">
        <x:v>Unresolved / varies</x:v>
      </x:c>
      <x:c r="L50" s="419" t="str">
        <x:v>No exact BMXMuseum reference recovered</x:v>
      </x:c>
      <x:c r="M50" s="419" t="str"/>
      <x:c r="N50" s="419" t="str">
        <x:v>Period publication</x:v>
      </x:c>
      <x:c r="O50" s="419" t="str">
        <x:v>The offer is visible in multiple issues; contents of the pack are not recovered in this pass.</x:v>
      </x:c>
      <x:c r="P50" s="419" t="str">
        <x:v>HIGH for offer</x:v>
      </x:c>
      <x:c r="Q50" s="419" t="str">
        <x:v>INDEX-ONLY</x:v>
      </x:c>
      <x:c r="R50" s="419" t="str">
        <x:v>INCLUDED — mailer/flyer lead</x:v>
      </x:c>
      <x:c r="S50" s="419" t="str">
        <x:v>https://previouspage.co.uk/magazines/BMX%20Action%20Bike/issues/13-april%2Fmay-eighty-two</x:v>
      </x:c>
      <x:c r="T50" s="419" t="str">
        <x:v>https://previouspage.co.uk/magazines/BMX%20Action%20Bike/issues/57-august%2Fseptember-eighty-two</x:v>
      </x:c>
      <x:c r="U50" s="419" t="str">
        <x:v>diamond back|free diamond back and pro star info pack and decal|1982</x:v>
      </x:c>
      <x:c r="V50" s="419" t="str">
        <x:v>DUP-DB-INFO-PACK</x:v>
      </x:c>
      <x:c r="W50" s="419" t="str">
        <x:v>MERGE identity; preserve source occurrence</x:v>
      </x:c>
      <x:c r="X50" s="419" t="str">
        <x:v>Do not count the unseen pack as multiple documents.</x:v>
      </x:c>
      <x:c r="Y50" s="419" t="str">
        <x:v>2026-07-30</x:v>
      </x:c>
    </x:row>
    <x:row r="51">
      <x:c r="A51" s="419" t="str">
        <x:v>EPH-0047</x:v>
      </x:c>
      <x:c r="B51" s="419" t="str">
        <x:v>v0.8</x:v>
      </x:c>
      <x:c r="C51" s="419" t="str">
        <x:v>MB-OBJ-0012</x:v>
      </x:c>
      <x:c r="D51" s="419" t="str">
        <x:v>Magazine advertisement</x:v>
      </x:c>
      <x:c r="E51" s="419" t="str">
        <x:v>First Torker advertisement in BMX Weekly</x:v>
      </x:c>
      <x:c r="F51" s="421" t="n">
        <x:v>1976</x:v>
      </x:c>
      <x:c r="G51" s="421" t="n">
        <x:v>1976</x:v>
      </x:c>
      <x:c r="H51" s="419" t="str">
        <x:v>December 1976</x:v>
      </x:c>
      <x:c r="I51" s="419" t="str">
        <x:v>Torker</x:v>
      </x:c>
      <x:c r="J51" s="419" t="str">
        <x:v>Brand-launch chronology and earliest reported public advertisement.</x:v>
      </x:c>
      <x:c r="K51" s="419" t="str">
        <x:v>Unresolved / varies</x:v>
      </x:c>
      <x:c r="L51" s="419" t="str">
        <x:v>BMXMuseum production-record ecosystem; exact ad page unresolved</x:v>
      </x:c>
      <x:c r="M51" s="419" t="str"/>
      <x:c r="N51" s="419" t="str">
        <x:v>Current official historical archive</x:v>
      </x:c>
      <x:c r="O51" s="419" t="str">
        <x:v>Official Torker history supplies the date; period issue/page and exact image remain to be recovered.</x:v>
      </x:c>
      <x:c r="P51" s="419" t="str">
        <x:v>MEDIUM-HIGH</x:v>
      </x:c>
      <x:c r="Q51" s="419" t="str">
        <x:v>INDEX-ONLY</x:v>
      </x:c>
      <x:c r="R51" s="419" t="str">
        <x:v>OPEN — period issue/page</x:v>
      </x:c>
      <x:c r="S51" s="419" t="str">
        <x:v>https://torkerracing.com/pages/the-fullerton-era-torker-bmx-history</x:v>
      </x:c>
      <x:c r="T51" s="419" t="str">
        <x:v>https://torkerracing.com/pages/torker-bmx-models</x:v>
      </x:c>
      <x:c r="U51" s="419" t="str">
        <x:v>torker|first torker advertisement in bmx weekly|1976</x:v>
      </x:c>
      <x:c r="V51" s="419" t="str">
        <x:v>DUP-TORKER-FIRST-AD</x:v>
      </x:c>
      <x:c r="W51" s="419" t="str">
        <x:v>MERGE identity; preserve source occurrence</x:v>
      </x:c>
      <x:c r="X51" s="419" t="str">
        <x:v>Existing master record retained and strengthened.</x:v>
      </x:c>
      <x:c r="Y51" s="419" t="str">
        <x:v>2026-07-30</x:v>
      </x:c>
    </x:row>
    <x:row r="52">
      <x:c r="A52" s="419" t="str">
        <x:v>EPH-0048</x:v>
      </x:c>
      <x:c r="B52" s="419" t="str">
        <x:v>v0.8</x:v>
      </x:c>
      <x:c r="C52" s="419" t="str">
        <x:v>MB-OBJ-0013</x:v>
      </x:c>
      <x:c r="D52" s="419" t="str">
        <x:v>Model archive</x:v>
      </x:c>
      <x:c r="E52" s="419" t="str">
        <x:v>Fullerton-era Torker model archive</x:v>
      </x:c>
      <x:c r="F52" s="421" t="n">
        <x:v>1976</x:v>
      </x:c>
      <x:c r="G52" s="421" t="n">
        <x:v>1984</x:v>
      </x:c>
      <x:c r="H52" s="419" t="str">
        <x:v>1976–1984</x:v>
      </x:c>
      <x:c r="I52" s="419" t="str">
        <x:v>Torker</x:v>
      </x:c>
      <x:c r="J52" s="419" t="str">
        <x:v>Chronological model sequence, serial families, factory colors and rider associations.</x:v>
      </x:c>
      <x:c r="K52" s="419" t="str">
        <x:v>Unresolved / varies</x:v>
      </x:c>
      <x:c r="L52" s="419" t="str">
        <x:v>Explicitly cites BMXMuseum production research</x:v>
      </x:c>
      <x:c r="M52" s="419" t="str"/>
      <x:c r="N52" s="419" t="str">
        <x:v>Current official historical archive</x:v>
      </x:c>
      <x:c r="O52" s="419" t="str">
        <x:v>Modern official synthesis draws from BMXMuseum and period magazines; each underlying claim should retain source attribution.</x:v>
      </x:c>
      <x:c r="P52" s="419" t="str">
        <x:v>HIGH for archive role</x:v>
      </x:c>
      <x:c r="Q52" s="419" t="str">
        <x:v>INDEX-ONLY</x:v>
      </x:c>
      <x:c r="R52" s="419" t="str">
        <x:v>INCLUDED — discovery and verification hub</x:v>
      </x:c>
      <x:c r="S52" s="419" t="str">
        <x:v>https://torkerracing.com/pages/torker-bmx-models</x:v>
      </x:c>
      <x:c r="T52" s="419" t="str">
        <x:v>https://torkerracing.com/pages/the-fullerton-era-torker-bmx-history</x:v>
      </x:c>
      <x:c r="U52" s="419" t="str">
        <x:v>torker|fullerton era torker model archive|1976</x:v>
      </x:c>
      <x:c r="V52" s="419" t="str"/>
      <x:c r="W52" s="419" t="str">
        <x:v>RETAIN — unique source record</x:v>
      </x:c>
      <x:c r="X52" s="419" t="str">
        <x:v>Useful for cross-linking, not a substitute for period scans.</x:v>
      </x:c>
      <x:c r="Y52" s="419" t="str">
        <x:v>2026-07-30</x:v>
      </x:c>
    </x:row>
    <x:row r="53">
      <x:c r="A53" s="419" t="str">
        <x:v>EPH-0049</x:v>
      </x:c>
      <x:c r="B53" s="419" t="str">
        <x:v>v0.8</x:v>
      </x:c>
      <x:c r="C53" s="419" t="str">
        <x:v>MB-OBJ-0014</x:v>
      </x:c>
      <x:c r="D53" s="419" t="str">
        <x:v>Factory-team history</x:v>
      </x:c>
      <x:c r="E53" s="419" t="str">
        <x:v>1979 National Number One team / 1980 world-pro chronology</x:v>
      </x:c>
      <x:c r="F53" s="421" t="n">
        <x:v>1979</x:v>
      </x:c>
      <x:c r="G53" s="421" t="n">
        <x:v>1980</x:v>
      </x:c>
      <x:c r="H53" s="419" t="str">
        <x:v>1979–1980</x:v>
      </x:c>
      <x:c r="I53" s="419" t="str">
        <x:v>Torker</x:v>
      </x:c>
      <x:c r="J53" s="419" t="str">
        <x:v>Team and rider chronology relevant to advertisements and team flyers.</x:v>
      </x:c>
      <x:c r="K53" s="419" t="str">
        <x:v>Unresolved / varies</x:v>
      </x:c>
      <x:c r="L53" s="419" t="str">
        <x:v>BMXMuseum production and team-history ecosystem</x:v>
      </x:c>
      <x:c r="M53" s="419" t="str"/>
      <x:c r="N53" s="419" t="str">
        <x:v>Current official historical archive</x:v>
      </x:c>
      <x:c r="O53" s="419" t="str">
        <x:v>Modern historical synthesis should be cross-checked against period result and team-ad objects.</x:v>
      </x:c>
      <x:c r="P53" s="419" t="str">
        <x:v>MEDIUM-HIGH</x:v>
      </x:c>
      <x:c r="Q53" s="419" t="str">
        <x:v>INDEX-ONLY</x:v>
      </x:c>
      <x:c r="R53" s="419" t="str">
        <x:v>INCLUDED WITH ATTRIBUTION</x:v>
      </x:c>
      <x:c r="S53" s="419" t="str">
        <x:v>https://torkerracing.com/blogs/news/torker-bmx-number-one-team-in-america</x:v>
      </x:c>
      <x:c r="T53" s="419" t="str">
        <x:v>https://torkerracing.com/pages/torker-bmx-hall-of-fame</x:v>
      </x:c>
      <x:c r="U53" s="419" t="str">
        <x:v>torker|1979 national number one team 1980 world pro chronology|1979</x:v>
      </x:c>
      <x:c r="V53" s="419" t="str"/>
      <x:c r="W53" s="419" t="str">
        <x:v>RETAIN — unique source record</x:v>
      </x:c>
      <x:c r="X53" s="419" t="str">
        <x:v>Relationship leads for future team-flyer sweep.</x:v>
      </x:c>
      <x:c r="Y53" s="419" t="str">
        <x:v>2026-07-30</x:v>
      </x:c>
    </x:row>
    <x:row r="54">
      <x:c r="A54" s="419" t="str">
        <x:v>EPH-0050</x:v>
      </x:c>
      <x:c r="B54" s="419" t="str">
        <x:v>v0.9</x:v>
      </x:c>
      <x:c r="C54" s="419" t="str">
        <x:v>SEQ-FLY-0001</x:v>
      </x:c>
      <x:c r="D54" s="419" t="str">
        <x:v>Event flyer / trade-exhibition notice</x:v>
      </x:c>
      <x:c r="E54" s="419" t="str">
        <x:v>Pontin's BMX Open Championships &amp; Trade Exhibition</x:v>
      </x:c>
      <x:c r="F54" s="421" t="n">
        <x:v>1983</x:v>
      </x:c>
      <x:c r="G54" s="421" t="n">
        <x:v>1983</x:v>
      </x:c>
      <x:c r="H54" s="419" t="str">
        <x:v>1983-10-07 to 1983-10-09</x:v>
      </x:c>
      <x:c r="I54" s="419" t="str">
        <x:v>Pontin's; UK BMX organizers</x:v>
      </x:c>
      <x:c r="J54" s="419" t="str">
        <x:v>Open championships, trade exhibition and BMX holiday weekend</x:v>
      </x:c>
      <x:c r="K54" s="419" t="str">
        <x:v>Morecambe, England, United Kingdom</x:v>
      </x:c>
      <x:c r="L54" s="419" t="str">
        <x:v>No exact BMXMuseum object recovered</x:v>
      </x:c>
      <x:c r="M54" s="419" t="str"/>
      <x:c r="N54" s="419" t="str">
        <x:v>Period magazine advertisement / booking form</x:v>
      </x:c>
      <x:c r="O54" s="419" t="str">
        <x:v>People: Mike Pardon; Andy Preston (freestyle demos referenced in surrounding promotion); Venue: Pontin's Middleton Tower Holiday Centre; Offer: Booking and trade forms offered; race weekend over three dates</x:v>
      </x:c>
      <x:c r="P54" s="419" t="str">
        <x:v>HIGH</x:v>
      </x:c>
      <x:c r="Q54" s="419" t="str">
        <x:v>INDEX-ONLY</x:v>
      </x:c>
      <x:c r="R54" s="419" t="str">
        <x:v>INCLUDED — exact dates/venue</x:v>
      </x:c>
      <x:c r="S54" s="419" t="str">
        <x:v>https://previouspage.co.uk/magazines/BMX%20Action%20Bike/issues/64-september-nineteen-eighty-three</x:v>
      </x:c>
      <x:c r="T54" s="419"/>
      <x:c r="U54" s="419" t="str">
        <x:v>pontin s uk bmx organizers|pontin s bmx open championships trade exhibition|1983</x:v>
      </x:c>
      <x:c r="V54" s="419" t="str"/>
      <x:c r="W54" s="419" t="str">
        <x:v>RETAIN — unique source record</x:v>
      </x:c>
      <x:c r="X54" s="419" t="str">
        <x:v>Image: Do not copy page image. Text: Paraphrase event facts and form function. September and October issues support the campaign; preserve issue-specific occurrences.</x:v>
      </x:c>
      <x:c r="Y54" s="419" t="str">
        <x:v>2026-07-30</x:v>
      </x:c>
    </x:row>
    <x:row r="55">
      <x:c r="A55" s="419" t="str">
        <x:v>EPH-0051</x:v>
      </x:c>
      <x:c r="B55" s="419" t="str">
        <x:v>v0.9</x:v>
      </x:c>
      <x:c r="C55" s="419" t="str">
        <x:v>SEQ-FLY-0002</x:v>
      </x:c>
      <x:c r="D55" s="419" t="str">
        <x:v>Event registration coupon</x:v>
      </x:c>
      <x:c r="E55" s="419" t="str">
        <x:v>Lee Cooper BMX Indoor Grand Prix pre-registration</x:v>
      </x:c>
      <x:c r="F55" s="421" t="n">
        <x:v>1982</x:v>
      </x:c>
      <x:c r="G55" s="421" t="n">
        <x:v>1982</x:v>
      </x:c>
      <x:c r="H55" s="419" t="str">
        <x:v>Winter 1982–83; exact event dates open</x:v>
      </x:c>
      <x:c r="I55" s="419" t="str">
        <x:v>Lee Cooper</x:v>
      </x:c>
      <x:c r="J55" s="419" t="str">
        <x:v>Indoor BMX racing and stunt event; Diamond Back Teamfinder first-round context</x:v>
      </x:c>
      <x:c r="K55" s="419" t="str">
        <x:v>Edmonton, London, United Kingdom</x:v>
      </x:c>
      <x:c r="L55" s="419" t="str">
        <x:v>No exact BMXMuseum object recovered</x:v>
      </x:c>
      <x:c r="M55" s="419" t="str"/>
      <x:c r="N55" s="419" t="str">
        <x:v>Period magazine coupon</x:v>
      </x:c>
      <x:c r="O55" s="419" t="str">
        <x:v>People: Rider roster not fully extracted; Venue: Pickett's Lock Centre; Offer: Coupon requested latest information and pre-registration forms</x:v>
      </x:c>
      <x:c r="P55" s="419" t="str">
        <x:v>MEDIUM-HIGH</x:v>
      </x:c>
      <x:c r="Q55" s="419" t="str">
        <x:v>INDEX-ONLY</x:v>
      </x:c>
      <x:c r="R55" s="419" t="str">
        <x:v>INCLUDED — exact dates pending</x:v>
      </x:c>
      <x:c r="S55" s="419" t="str">
        <x:v>https://previouspage.co.uk/magazines/BMX%20Action%20Bike/issues/58-december%2Fjanuary-eighty-two</x:v>
      </x:c>
      <x:c r="T55" s="419"/>
      <x:c r="U55" s="419" t="str">
        <x:v>lee cooper|lee cooper bmx indoor grand prix pre registration|1982</x:v>
      </x:c>
      <x:c r="V55" s="419" t="str"/>
      <x:c r="W55" s="419" t="str">
        <x:v>RETAIN — unique source record</x:v>
      </x:c>
      <x:c r="X55" s="419" t="str">
        <x:v>Image: Do not copy coupon image. Text: Paraphrase form and event function. Do not infer event dates from issue month.</x:v>
      </x:c>
      <x:c r="Y55" s="419" t="str">
        <x:v>2026-07-30</x:v>
      </x:c>
    </x:row>
    <x:row r="56">
      <x:c r="A56" s="419" t="str">
        <x:v>EPH-0052</x:v>
      </x:c>
      <x:c r="B56" s="419" t="str">
        <x:v>v0.9</x:v>
      </x:c>
      <x:c r="C56" s="419" t="str">
        <x:v>SEQ-FLY-0003</x:v>
      </x:c>
      <x:c r="D56" s="419" t="str">
        <x:v>Event entry / pre-registration advertisement</x:v>
      </x:c>
      <x:c r="E56" s="419" t="str">
        <x:v>AFA Expert &amp; Pro Contest — Austin</x:v>
      </x:c>
      <x:c r="F56" s="421" t="n">
        <x:v>1987</x:v>
      </x:c>
      <x:c r="G56" s="421" t="n">
        <x:v>1987</x:v>
      </x:c>
      <x:c r="H56" s="419" t="str">
        <x:v>1987-05-02 to 1987-05-03</x:v>
      </x:c>
      <x:c r="I56" s="419" t="str">
        <x:v>AFA</x:v>
      </x:c>
      <x:c r="J56" s="419" t="str">
        <x:v>Expert/pro freestyle contest; $2,000 purse</x:v>
      </x:c>
      <x:c r="K56" s="419" t="str">
        <x:v>Austin, Texas, United States</x:v>
      </x:c>
      <x:c r="L56" s="419" t="str">
        <x:v>No exact BMXMuseum object recovered</x:v>
      </x:c>
      <x:c r="M56" s="419" t="str"/>
      <x:c r="N56" s="419" t="str">
        <x:v>Period event advertisement</x:v>
      </x:c>
      <x:c r="O56" s="419" t="str">
        <x:v>People: Dennis McCoy; Robert Peterson; Rick Allison; other pros; Venue: Austin City Coliseum; Offer: Pre-registration only; expert and pro classes</x:v>
      </x:c>
      <x:c r="P56" s="419" t="str">
        <x:v>HIGH</x:v>
      </x:c>
      <x:c r="Q56" s="419" t="str">
        <x:v>INDEX-ONLY</x:v>
      </x:c>
      <x:c r="R56" s="419" t="str">
        <x:v>INCLUDED</x:v>
      </x:c>
      <x:c r="S56" s="419" t="str">
        <x:v>https://previouspage.co.uk/magazines/BMX%20Plus/issues/244-july-nineteen-eighty-seven</x:v>
      </x:c>
      <x:c r="T56" s="419"/>
      <x:c r="U56" s="419" t="str">
        <x:v>afa|afa expert pro contest austin|1987</x:v>
      </x:c>
      <x:c r="V56" s="419" t="str"/>
      <x:c r="W56" s="419" t="str">
        <x:v>RETAIN — unique source record</x:v>
      </x:c>
      <x:c r="X56" s="419" t="str">
        <x:v>Image: Do not copy advertisement. Text: Paraphrase event facts, classes and dates. The event was advertised in multiple issues; preserve first-seen and repeated placements separately if later itemized.</x:v>
      </x:c>
      <x:c r="Y56" s="419" t="str">
        <x:v>2026-07-30</x:v>
      </x:c>
    </x:row>
    <x:row r="57">
      <x:c r="A57" s="419" t="str">
        <x:v>EPH-0053</x:v>
      </x:c>
      <x:c r="B57" s="419" t="str">
        <x:v>v0.9</x:v>
      </x:c>
      <x:c r="C57" s="419" t="str">
        <x:v>SEQ-FLY-0004</x:v>
      </x:c>
      <x:c r="D57" s="419" t="str">
        <x:v>Contest entry form</x:v>
      </x:c>
      <x:c r="E57" s="419" t="str">
        <x:v>BMX Plus! / GT Hide-A-Contest</x:v>
      </x:c>
      <x:c r="F57" s="421" t="n">
        <x:v>1987</x:v>
      </x:c>
      <x:c r="G57" s="421" t="n">
        <x:v>1987</x:v>
      </x:c>
      <x:c r="H57" s="419" t="str">
        <x:v>Deadline 1987-09-28; drawing 1987-10-05</x:v>
      </x:c>
      <x:c r="I57" s="419" t="str">
        <x:v>GT; BMX Plus!</x:v>
      </x:c>
      <x:c r="J57" s="419" t="str">
        <x:v>Reader contest and GT promotion</x:v>
      </x:c>
      <x:c r="K57" s="419" t="str">
        <x:v>United States</x:v>
      </x:c>
      <x:c r="L57" s="419" t="str">
        <x:v>No exact BMXMuseum object recovered</x:v>
      </x:c>
      <x:c r="M57" s="419" t="str"/>
      <x:c r="N57" s="419" t="str">
        <x:v>Period contest entry form</x:v>
      </x:c>
      <x:c r="O57" s="419" t="str">
        <x:v>People: Not applicable; Venue: Mail-in entry; Offer: No purchase necessary; mail-in form with published deadline and drawing date</x:v>
      </x:c>
      <x:c r="P57" s="419" t="str">
        <x:v>HIGH for dates</x:v>
      </x:c>
      <x:c r="Q57" s="419" t="str">
        <x:v>INDEX-ONLY</x:v>
      </x:c>
      <x:c r="R57" s="419" t="str">
        <x:v>INCLUDED — prize details open</x:v>
      </x:c>
      <x:c r="S57" s="419" t="str">
        <x:v>https://previouspage.co.uk/issues/245-august-nineteen-eighty-seven</x:v>
      </x:c>
      <x:c r="T57" s="419"/>
      <x:c r="U57" s="419" t="str">
        <x:v>gt bmx plus|bmx plus gt hide a contest|1987</x:v>
      </x:c>
      <x:c r="V57" s="419" t="str">
        <x:v>DUP-GT-HIDE-CONTEST</x:v>
      </x:c>
      <x:c r="W57" s="419" t="str">
        <x:v>MERGE identity; preserve source occurrence</x:v>
      </x:c>
      <x:c r="X57" s="419" t="str">
        <x:v>Image: Do not copy form image. Text: Paraphrase dates and contest structure. Promotional entry form, not a race flyer.</x:v>
      </x:c>
      <x:c r="Y57" s="419" t="str">
        <x:v>2026-07-30</x:v>
      </x:c>
    </x:row>
    <x:row r="58">
      <x:c r="A58" s="419" t="str">
        <x:v>EPH-0054</x:v>
      </x:c>
      <x:c r="B58" s="419" t="str">
        <x:v>v0.9</x:v>
      </x:c>
      <x:c r="C58" s="419" t="str">
        <x:v>SEQ-FLY-0005</x:v>
      </x:c>
      <x:c r="D58" s="419" t="str">
        <x:v>Information-pack mailer</x:v>
      </x:c>
      <x:c r="E58" s="419" t="str">
        <x:v>Diamond Back and Pro Star Info Pack &amp; Decal</x:v>
      </x:c>
      <x:c r="F58" s="421" t="n">
        <x:v>1982</x:v>
      </x:c>
      <x:c r="G58" s="421" t="n">
        <x:v>1982</x:v>
      </x:c>
      <x:c r="H58" s="419" t="str">
        <x:v>1982 campaign</x:v>
      </x:c>
      <x:c r="I58" s="419" t="str">
        <x:v>Diamond Back; Pro Star</x:v>
      </x:c>
      <x:c r="J58" s="419" t="str">
        <x:v>Product information pack and decal</x:v>
      </x:c>
      <x:c r="K58" s="419" t="str">
        <x:v>United States origin; advertised in United Kingdom publication</x:v>
      </x:c>
      <x:c r="L58" s="419" t="str">
        <x:v>No exact BMXMuseum object recovered</x:v>
      </x:c>
      <x:c r="M58" s="419" t="str"/>
      <x:c r="N58" s="419" t="str">
        <x:v>Period product mailer advertisement</x:v>
      </x:c>
      <x:c r="O58" s="419" t="str">
        <x:v>People: Diamond Back factory team / Harry Leary context in campaign copy; Venue: Direct-to-factory mail request; Offer: Free info pack and decal offered</x:v>
      </x:c>
      <x:c r="P58" s="419" t="str">
        <x:v>HIGH for offer</x:v>
      </x:c>
      <x:c r="Q58" s="419" t="str">
        <x:v>INDEX-ONLY</x:v>
      </x:c>
      <x:c r="R58" s="419" t="str">
        <x:v>INCLUDED — contents unresolved</x:v>
      </x:c>
      <x:c r="S58" s="419" t="str">
        <x:v>https://previouspage.co.uk/magazines/BMX%20Action%20Bike/issues/13-april%2Fmay-eighty-two</x:v>
      </x:c>
      <x:c r="T58" s="419"/>
      <x:c r="U58" s="419" t="str">
        <x:v>diamond back pro star|diamond back and pro star info pack decal|1982</x:v>
      </x:c>
      <x:c r="V58" s="419" t="str">
        <x:v>DUP-DB-INFO-PACK</x:v>
      </x:c>
      <x:c r="W58" s="419" t="str">
        <x:v>MERGE identity; preserve source occurrence</x:v>
      </x:c>
      <x:c r="X58" s="419" t="str">
        <x:v>Image: Do not copy advertisement. Text: Paraphrase offer; unseen pack not inventoried. Repeated placements do not prove multiple pack editions.</x:v>
      </x:c>
      <x:c r="Y58" s="419" t="str">
        <x:v>2026-07-30</x:v>
      </x:c>
    </x:row>
    <x:row r="59">
      <x:c r="A59" s="419" t="str">
        <x:v>EPH-0055</x:v>
      </x:c>
      <x:c r="B59" s="419" t="str">
        <x:v>v0.9</x:v>
      </x:c>
      <x:c r="C59" s="419" t="str">
        <x:v>SEQ-FLY-0006</x:v>
      </x:c>
      <x:c r="D59" s="419" t="str">
        <x:v>Catalog mailer</x:v>
      </x:c>
      <x:c r="E59" s="419" t="str">
        <x:v>1991 Haro/Fusion catalog request</x:v>
      </x:c>
      <x:c r="F59" s="421" t="n">
        <x:v>1991</x:v>
      </x:c>
      <x:c r="G59" s="421" t="n">
        <x:v>1991</x:v>
      </x:c>
      <x:c r="H59" s="419" t="str">
        <x:v>Advertisement in Nov 1991</x:v>
      </x:c>
      <x:c r="I59" s="419" t="str">
        <x:v>Haro; Fusion; West Coast Cycle</x:v>
      </x:c>
      <x:c r="J59" s="419" t="str">
        <x:v>1991 product catalog</x:v>
      </x:c>
      <x:c r="K59" s="419" t="str">
        <x:v>Carlsbad, California, United States</x:v>
      </x:c>
      <x:c r="L59" s="419" t="str">
        <x:v>Haro 1990 BMXMuseum reference ID remains unresolved; mailer is independent</x:v>
      </x:c>
      <x:c r="M59" s="419" t="str"/>
      <x:c r="N59" s="419" t="str">
        <x:v>Period catalog mailer</x:v>
      </x:c>
      <x:c r="O59" s="419" t="str">
        <x:v>People: Not applicable; Venue: Mail request; Offer: Send $2 for a 1991 catalog</x:v>
      </x:c>
      <x:c r="P59" s="419" t="str">
        <x:v>HIGH</x:v>
      </x:c>
      <x:c r="Q59" s="419" t="str">
        <x:v>INDEX-ONLY</x:v>
      </x:c>
      <x:c r="R59" s="419" t="str">
        <x:v>INCLUDED</x:v>
      </x:c>
      <x:c r="S59" s="419" t="str">
        <x:v>https://www.previouspage.co.uk/issues/131-november-nineteen-ninety-one</x:v>
      </x:c>
      <x:c r="T59" s="419"/>
      <x:c r="U59" s="419" t="str">
        <x:v>haro fusion west coast cycle|1991 haro fusion catalog request|1991</x:v>
      </x:c>
      <x:c r="V59" s="419" t="str">
        <x:v>DUP-HARO-1991-MAILER</x:v>
      </x:c>
      <x:c r="W59" s="419" t="str">
        <x:v>MERGE identity; preserve source occurrence</x:v>
      </x:c>
      <x:c r="X59" s="419" t="str">
        <x:v>Image: Do not copy ad image. Text: Paraphrase offer and distributor context. Catalog-request fee stored separately from product prices.</x:v>
      </x:c>
      <x:c r="Y59" s="419" t="str">
        <x:v>2026-07-30</x:v>
      </x:c>
    </x:row>
    <x:row r="60">
      <x:c r="A60" s="419" t="str">
        <x:v>EPH-0056</x:v>
      </x:c>
      <x:c r="B60" s="419" t="str">
        <x:v>v0.9</x:v>
      </x:c>
      <x:c r="C60" s="419" t="str">
        <x:v>SEQ-FLY-0007</x:v>
      </x:c>
      <x:c r="D60" s="419" t="str">
        <x:v>Dealer price-list / sticker offer</x:v>
      </x:c>
      <x:c r="E60" s="419" t="str">
        <x:v>Send SAE for price list and free sticker</x:v>
      </x:c>
      <x:c r="F60" s="421" t="n">
        <x:v>1982</x:v>
      </x:c>
      <x:c r="G60" s="421" t="n">
        <x:v>1982</x:v>
      </x:c>
      <x:c r="H60" s="419" t="str">
        <x:v>September 1982</x:v>
      </x:c>
      <x:c r="I60" s="419" t="str">
        <x:v>Retailer/dealer unresolved from indexed alignment</x:v>
      </x:c>
      <x:c r="J60" s="419" t="str">
        <x:v>BMX products and dealer price list</x:v>
      </x:c>
      <x:c r="K60" s="419" t="str">
        <x:v>United Kingdom</x:v>
      </x:c>
      <x:c r="L60" s="419" t="str">
        <x:v>No exact BMXMuseum object recovered</x:v>
      </x:c>
      <x:c r="M60" s="419" t="str"/>
      <x:c r="N60" s="419" t="str">
        <x:v>Period retailer advertisement</x:v>
      </x:c>
      <x:c r="O60" s="419" t="str">
        <x:v>People: Not applicable; Venue: Mail-order dealer advertisement; Offer: Self-addressed envelope for price list and free sticker</x:v>
      </x:c>
      <x:c r="P60" s="419" t="str">
        <x:v>MEDIUM</x:v>
      </x:c>
      <x:c r="Q60" s="419" t="str">
        <x:v>INDEX-ONLY</x:v>
      </x:c>
      <x:c r="R60" s="419" t="str">
        <x:v>INCLUDED WITH LIMITS</x:v>
      </x:c>
      <x:c r="S60" s="419" t="str">
        <x:v>https://previouspage.co.uk/magazines/BMX%20Weekly/issues/213-september-nineteen-eighty-two</x:v>
      </x:c>
      <x:c r="T60" s="419"/>
      <x:c r="U60" s="419" t="str">
        <x:v>retailer dealer unresolved from indexed alignment|send sae for price list and free sticker|1982</x:v>
      </x:c>
      <x:c r="V60" s="419" t="str"/>
      <x:c r="W60" s="419" t="str">
        <x:v>RETAIN — unique source record</x:v>
      </x:c>
      <x:c r="X60" s="419" t="str">
        <x:v>Image: Do not copy advertisement. Text: Paraphrase offer; dealer identity pending page inspection. OCR alignment requires visual verification before dealer attribution.</x:v>
      </x:c>
      <x:c r="Y60" s="419" t="str">
        <x:v>2026-07-30</x:v>
      </x:c>
    </x:row>
    <x:row r="61">
      <x:c r="A61" s="419" t="str">
        <x:v>EPH-0057</x:v>
      </x:c>
      <x:c r="B61" s="419" t="str">
        <x:v>v0.9</x:v>
      </x:c>
      <x:c r="C61" s="419" t="str">
        <x:v>SEQ-FLY-0008</x:v>
      </x:c>
      <x:c r="D61" s="419" t="str">
        <x:v>Event notice / contact flyer</x:v>
      </x:c>
      <x:c r="E61" s="419" t="str">
        <x:v>Ramp Jam — Moorhead, Minnesota</x:v>
      </x:c>
      <x:c r="F61" s="421" t="n">
        <x:v>1987</x:v>
      </x:c>
      <x:c r="G61" s="421" t="n">
        <x:v>1987</x:v>
      </x:c>
      <x:c r="H61" s="419" t="str">
        <x:v>1987-05-02</x:v>
      </x:c>
      <x:c r="I61" s="419" t="str">
        <x:v>Local organizer; Rob Staiger contact</x:v>
      </x:c>
      <x:c r="J61" s="419" t="str">
        <x:v>Ramp Jam</x:v>
      </x:c>
      <x:c r="K61" s="419" t="str">
        <x:v>Moorhead, Minnesota, United States</x:v>
      </x:c>
      <x:c r="L61" s="419" t="str">
        <x:v>No exact BMXMuseum object recovered</x:v>
      </x:c>
      <x:c r="M61" s="419" t="str"/>
      <x:c r="N61" s="419" t="str">
        <x:v>Period magazine event notice</x:v>
      </x:c>
      <x:c r="O61" s="419" t="str">
        <x:v>People: Ramp riders; Venue: Venue not exposed in indexed text; Offer: Contact Rob Staiger for information</x:v>
      </x:c>
      <x:c r="P61" s="419" t="str">
        <x:v>MEDIUM-HIGH</x:v>
      </x:c>
      <x:c r="Q61" s="419" t="str">
        <x:v>INDEX-ONLY</x:v>
      </x:c>
      <x:c r="R61" s="419" t="str">
        <x:v>INCLUDED — venue open</x:v>
      </x:c>
      <x:c r="S61" s="419" t="str">
        <x:v>https://previouspage.co.uk/magazines/BMX%20Plus/issues/243-may-nineteen-eighty-seven</x:v>
      </x:c>
      <x:c r="T61" s="419"/>
      <x:c r="U61" s="419" t="str">
        <x:v>local organizer rob staiger contact|ramp jam moorhead minnesota|1987</x:v>
      </x:c>
      <x:c r="V61" s="419" t="str"/>
      <x:c r="W61" s="419" t="str">
        <x:v>RETAIN — unique source record</x:v>
      </x:c>
      <x:c r="X61" s="419" t="str">
        <x:v>Image: Do not copy notice. Text: Paraphrase date/location/contact role; do not republish address. Personal street address from period notice is intentionally not stored.</x:v>
      </x:c>
      <x:c r="Y61" s="419" t="str">
        <x:v>2026-07-30</x:v>
      </x:c>
    </x:row>
    <x:row r="62">
      <x:c r="A62" s="419" t="str">
        <x:v>EPH-0058</x:v>
      </x:c>
      <x:c r="B62" s="419" t="str">
        <x:v>v0.9</x:v>
      </x:c>
      <x:c r="C62" s="419" t="str">
        <x:v>SEQ-FLY-0009</x:v>
      </x:c>
      <x:c r="D62" s="419" t="str">
        <x:v>Tour promotion / route notice</x:v>
      </x:c>
      <x:c r="E62" s="419" t="str">
        <x:v>DYNO Tour promotional stop listing</x:v>
      </x:c>
      <x:c r="F62" s="421" t="n">
        <x:v>1987</x:v>
      </x:c>
      <x:c r="G62" s="421" t="n">
        <x:v>1987</x:v>
      </x:c>
      <x:c r="H62" s="419" t="str">
        <x:v>1987</x:v>
      </x:c>
      <x:c r="I62" s="419" t="str">
        <x:v>Dyno</x:v>
      </x:c>
      <x:c r="J62" s="419" t="str">
        <x:v>Freestyle tour / dealer-stop promotion</x:v>
      </x:c>
      <x:c r="K62" s="419" t="str">
        <x:v>United States</x:v>
      </x:c>
      <x:c r="L62" s="419" t="str">
        <x:v>GT/Dyno catalog IDs unresolved; tour object independent</x:v>
      </x:c>
      <x:c r="M62" s="419" t="str"/>
      <x:c r="N62" s="419" t="str">
        <x:v>Period magazine promotional notice</x:v>
      </x:c>
      <x:c r="O62" s="419" t="str">
        <x:v>People: Tour riders not fully extracted; Venue: Multiple stops; exact venues not itemized; Offer: Publicity listing of stops and route context</x:v>
      </x:c>
      <x:c r="P62" s="419" t="str">
        <x:v>MEDIUM</x:v>
      </x:c>
      <x:c r="Q62" s="419" t="str">
        <x:v>INDEX-ONLY</x:v>
      </x:c>
      <x:c r="R62" s="419" t="str">
        <x:v>INCLUDED — stops pending</x:v>
      </x:c>
      <x:c r="S62" s="419" t="str">
        <x:v>https://previouspage.co.uk/magazines/BMX%20Plus/issues/244-july-nineteen-eighty-seven</x:v>
      </x:c>
      <x:c r="T62" s="419"/>
      <x:c r="U62" s="419" t="str">
        <x:v>dyno|dyno tour promotional stop listing|1987</x:v>
      </x:c>
      <x:c r="V62" s="419" t="str"/>
      <x:c r="W62" s="419" t="str">
        <x:v>RETAIN — unique source record</x:v>
      </x:c>
      <x:c r="X62" s="419" t="str">
        <x:v>Image: Do not copy page image. Text: Paraphrase tour existence; itemize stops only after page inspection. Do not create named venue records from city-only OCR.</x:v>
      </x:c>
      <x:c r="Y62" s="419" t="str">
        <x:v>2026-07-30</x:v>
      </x:c>
    </x:row>
    <x:row r="63">
      <x:c r="A63" s="419" t="str">
        <x:v>EPH-0059</x:v>
      </x:c>
      <x:c r="B63" s="419" t="str">
        <x:v>v0.9</x:v>
      </x:c>
      <x:c r="C63" s="419" t="str">
        <x:v>SEQ-FLY-0010</x:v>
      </x:c>
      <x:c r="D63" s="419" t="str">
        <x:v>Event prize promotion</x:v>
      </x:c>
      <x:c r="E63" s="419" t="str">
        <x:v>Diamond Back Silver Streak free draw at Lee Cooper event</x:v>
      </x:c>
      <x:c r="F63" s="421" t="n">
        <x:v>1982</x:v>
      </x:c>
      <x:c r="G63" s="421" t="n">
        <x:v>1982</x:v>
      </x:c>
      <x:c r="H63" s="419" t="str">
        <x:v>Winter 1982–83</x:v>
      </x:c>
      <x:c r="I63" s="419" t="str">
        <x:v>Lee Cooper; Diamond Back</x:v>
      </x:c>
      <x:c r="J63" s="419" t="str">
        <x:v>Two Silver Streak bicycles offered in free daily draws</x:v>
      </x:c>
      <x:c r="K63" s="419" t="str">
        <x:v>Edmonton, London, United Kingdom</x:v>
      </x:c>
      <x:c r="L63" s="419" t="str">
        <x:v>No exact BMXMuseum object recovered</x:v>
      </x:c>
      <x:c r="M63" s="419" t="str"/>
      <x:c r="N63" s="419" t="str">
        <x:v>Period event promotion</x:v>
      </x:c>
      <x:c r="O63" s="419" t="str">
        <x:v>People: Event attendees; Venue: Lee Cooper BMX Indoor Grand Prix context; Offer: Free draw each day for riders attending</x:v>
      </x:c>
      <x:c r="P63" s="419" t="str">
        <x:v>MEDIUM-HIGH</x:v>
      </x:c>
      <x:c r="Q63" s="419" t="str">
        <x:v>INDEX-ONLY</x:v>
      </x:c>
      <x:c r="R63" s="419" t="str">
        <x:v>INCLUDED</x:v>
      </x:c>
      <x:c r="S63" s="419" t="str">
        <x:v>https://previouspage.co.uk/magazines/BMX%20Action%20Bike/issues/58-december%2Fjanuary-eighty-two</x:v>
      </x:c>
      <x:c r="T63" s="419"/>
      <x:c r="U63" s="419" t="str">
        <x:v>lee cooper diamond back|diamond back silver streak free draw at lee cooper event|1982</x:v>
      </x:c>
      <x:c r="V63" s="419" t="str"/>
      <x:c r="W63" s="419" t="str">
        <x:v>RETAIN — unique source record</x:v>
      </x:c>
      <x:c r="X63" s="419" t="str">
        <x:v>Image: Do not copy promotion. Text: Paraphrase prize relationship and event context. Separate from the pre-registration coupon because it verifies a distinct brand-event relationship.</x:v>
      </x:c>
      <x:c r="Y63" s="419" t="str">
        <x:v>2026-07-30</x:v>
      </x:c>
    </x:row>
    <x:row r="64">
      <x:c r="A64" s="419" t="str">
        <x:v>EPH-0060</x:v>
      </x:c>
      <x:c r="B64" s="419" t="str">
        <x:v>v0.9</x:v>
      </x:c>
      <x:c r="C64" s="419" t="str">
        <x:v>SEQ-FLY-0011</x:v>
      </x:c>
      <x:c r="D64" s="419" t="str">
        <x:v>Dealer advertisement / price-list lead</x:v>
      </x:c>
      <x:c r="E64" s="419" t="str">
        <x:v>Langsett Cycles BMX product advertisement</x:v>
      </x:c>
      <x:c r="F64" s="421" t="n">
        <x:v>1983</x:v>
      </x:c>
      <x:c r="G64" s="421" t="n">
        <x:v>1983</x:v>
      </x:c>
      <x:c r="H64" s="419" t="str">
        <x:v>December 1983 issue</x:v>
      </x:c>
      <x:c r="I64" s="419" t="str">
        <x:v>Langsett Cycles</x:v>
      </x:c>
      <x:c r="J64" s="419" t="str">
        <x:v>Complete bikes, frames/forks, wheels and components</x:v>
      </x:c>
      <x:c r="K64" s="419" t="str">
        <x:v>Sheffield, England, United Kingdom</x:v>
      </x:c>
      <x:c r="L64" s="419" t="str">
        <x:v>No exact BMXMuseum object recovered</x:v>
      </x:c>
      <x:c r="M64" s="419" t="str"/>
      <x:c r="N64" s="419" t="str">
        <x:v>Period dealer advertisement</x:v>
      </x:c>
      <x:c r="O64" s="419" t="str">
        <x:v>People: Not applicable; Venue: Langsett Cycles; Offer: Retail prices and carriage terms; broad product inventory</x:v>
      </x:c>
      <x:c r="P64" s="419" t="str">
        <x:v>MEDIUM-HIGH</x:v>
      </x:c>
      <x:c r="Q64" s="419" t="str">
        <x:v>INDEX-ONLY</x:v>
      </x:c>
      <x:c r="R64" s="419" t="str">
        <x:v>INCLUDED — deeper transcription deferred</x:v>
      </x:c>
      <x:c r="S64" s="419" t="str">
        <x:v>https://previouspage.co.uk/magazines/BMX%20Action%20Bike/issues/87-december%20%2F%20january-eighty-three</x:v>
      </x:c>
      <x:c r="T64" s="419"/>
      <x:c r="U64" s="419" t="str">
        <x:v>langsett cycles|langsett cycles bmx product advertisement|1983</x:v>
      </x:c>
      <x:c r="V64" s="419" t="str"/>
      <x:c r="W64" s="419" t="str">
        <x:v>RETAIN — unique source record</x:v>
      </x:c>
      <x:c r="X64" s="419" t="str">
        <x:v>Image: Do not copy advertisement. Text: Extract only clearly aligned line items. Dealer advertisement is not a manufacturer price sheet.</x:v>
      </x:c>
      <x:c r="Y64" s="419" t="str">
        <x:v>2026-07-30</x:v>
      </x:c>
    </x:row>
    <x:row r="65">
      <x:c r="A65" s="419" t="str">
        <x:v>EPH-0061</x:v>
      </x:c>
      <x:c r="B65" s="419" t="str">
        <x:v>v0.9</x:v>
      </x:c>
      <x:c r="C65" s="419" t="str">
        <x:v>SEQ-FLY-0012</x:v>
      </x:c>
      <x:c r="D65" s="419" t="str">
        <x:v>Dealer/shop advertisement</x:v>
      </x:c>
      <x:c r="E65" s="419" t="str">
        <x:v>SR Cycles product and team promotion</x:v>
      </x:c>
      <x:c r="F65" s="421" t="n">
        <x:v>1983</x:v>
      </x:c>
      <x:c r="G65" s="421" t="n">
        <x:v>1983</x:v>
      </x:c>
      <x:c r="H65" s="419" t="str">
        <x:v>October 1983</x:v>
      </x:c>
      <x:c r="I65" s="419" t="str">
        <x:v>SR Cycles; SR Jets</x:v>
      </x:c>
      <x:c r="J65" s="419" t="str">
        <x:v>Dealer inventory and team-linked purchase promotion</x:v>
      </x:c>
      <x:c r="K65" s="419" t="str">
        <x:v>Bristol / United Kingdom</x:v>
      </x:c>
      <x:c r="L65" s="419" t="str">
        <x:v>No exact BMXMuseum object recovered</x:v>
      </x:c>
      <x:c r="M65" s="419" t="str"/>
      <x:c r="N65" s="419" t="str">
        <x:v>Period dealer advertisement</x:v>
      </x:c>
      <x:c r="O65" s="419" t="str">
        <x:v>People: SR Jets; Venue: SR Cycles; Offer: Free SR Jets race shirt with each bike bought through end of October; money-order hold offer</x:v>
      </x:c>
      <x:c r="P65" s="419" t="str">
        <x:v>MEDIUM-HIGH</x:v>
      </x:c>
      <x:c r="Q65" s="419" t="str">
        <x:v>INDEX-ONLY</x:v>
      </x:c>
      <x:c r="R65" s="419" t="str">
        <x:v>INCLUDED</x:v>
      </x:c>
      <x:c r="S65" s="419" t="str">
        <x:v>https://previouspage.co.uk/magazines/BMX%20Action%20Bike/issues/85-october-nineteen-eighty-three</x:v>
      </x:c>
      <x:c r="T65" s="419"/>
      <x:c r="U65" s="419" t="str">
        <x:v>sr cycles sr jets|sr cycles product and team promotion|1983</x:v>
      </x:c>
      <x:c r="V65" s="419" t="str"/>
      <x:c r="W65" s="419" t="str">
        <x:v>RETAIN — unique source record</x:v>
      </x:c>
      <x:c r="X65" s="419" t="str">
        <x:v>Image: Do not copy advertisement. Text: Paraphrase offer and brand list. Connects dealer, team identity, brands and timed promotion.</x:v>
      </x:c>
      <x:c r="Y65" s="419" t="str">
        <x:v>2026-07-30</x:v>
      </x:c>
    </x:row>
  </x:sheetData>
  <x:mergeCells>
    <x:mergeCell ref="A1:Y1"/>
    <x:mergeCell ref="A2:Y2"/>
  </x:mergeCells>
  <x:conditionalFormatting sqref="V5:V65">
    <x:cfRule type="expression" dxfId="24" priority="1">
      <x:formula>V5&lt;&gt;""</x:formula>
    </x:cfRule>
  </x:conditionalFormatting>
  <x:dataValidations count="2">
    <x:dataValidation type="list" sqref="P5:P65">
      <x:formula1>"HIGH,HIGH for existence,HIGH for offer,HIGH for dates,MEDIUM-HIGH,MEDIUM,LOW-MEDIUM,LOW"</x:formula1>
    </x:dataValidation>
    <x:dataValidation type="list" sqref="Q5:Q65">
      <x:formula1>"INDEX-ONLY,INDEX-ONLY / PERMISSION REQUIRED,RESTRICTED"</x:formula1>
    </x:dataValidation>
  </x:dataValidations>
  <x:pageMargins left="0.7" right="0.7" top="0.75" bottom="0.75" header="0.3" footer="0.3"/>
  <x:tableParts count="1">
    <x:tablePart xmlns:r="http://schemas.openxmlformats.org/officeDocument/2006/relationships" r:id="R55ccac90c4704572"/>
  </x:tableParts>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5" hidden="0" customWidth="1"/>
    <x:col min="4" max="4" width="28" hidden="0" customWidth="1"/>
    <x:col min="5" max="5" width="20" hidden="0" customWidth="1"/>
    <x:col min="6" max="6" width="17" hidden="0" customWidth="1"/>
    <x:col min="7" max="7" width="14" hidden="0" customWidth="1"/>
    <x:col min="8" max="8" width="14" hidden="0" customWidth="1"/>
    <x:col min="9" max="9" width="16" hidden="0" customWidth="1"/>
    <x:col min="10" max="10" width="30" hidden="0" customWidth="1"/>
    <x:col min="11" max="11" width="25" hidden="0" customWidth="1"/>
    <x:col min="12" max="12" width="28" hidden="0" customWidth="1"/>
    <x:col min="13" max="13" width="27" hidden="0" customWidth="1"/>
    <x:col min="14" max="14" width="17" hidden="0" customWidth="1"/>
    <x:col min="15" max="15" width="36" hidden="0" customWidth="1"/>
    <x:col min="16" max="16" width="16" hidden="0" customWidth="1"/>
    <x:col min="17" max="17" width="42" hidden="0" customWidth="1"/>
    <x:col min="18" max="18" width="31" hidden="0" customWidth="1"/>
    <x:col min="19" max="19" width="38" hidden="0" customWidth="1"/>
    <x:col min="20" max="20" width="13" hidden="0" customWidth="1"/>
  </x:cols>
  <x:sheetData>
    <x:row r="1" ht="30" customHeight="1">
      <x:c r="A1" s="404" t="str">
        <x:v>v1.0 — Consolidated Normalized Price Observations</x:v>
      </x:c>
    </x:row>
    <x:row r="2" ht="34" customHeight="1">
      <x:c r="A2" s="408" t="str">
        <x:v>Prices remain source-specific. Same-model observations from different sellers, dates, currencies or configurations are retained rather than averaged.</x:v>
      </x:c>
    </x:row>
    <x:row r="4" ht="34" customHeight="1">
      <x:c r="A4" s="414" t="str">
        <x:v>Price Observation ID</x:v>
      </x:c>
      <x:c r="B4" s="414" t="str">
        <x:v>Source Object ID</x:v>
      </x:c>
      <x:c r="C4" s="414" t="str">
        <x:v>Brand</x:v>
      </x:c>
      <x:c r="D4" s="414" t="str">
        <x:v>Product / Model</x:v>
      </x:c>
      <x:c r="E4" s="414" t="str">
        <x:v>Product Type</x:v>
      </x:c>
      <x:c r="F4" s="414" t="str">
        <x:v>Issue / Date</x:v>
      </x:c>
      <x:c r="G4" s="414" t="str">
        <x:v>Price Numeric</x:v>
      </x:c>
      <x:c r="H4" s="414" t="str">
        <x:v>Currency</x:v>
      </x:c>
      <x:c r="I4" s="414" t="str">
        <x:v>Displayed Price</x:v>
      </x:c>
      <x:c r="J4" s="414" t="str">
        <x:v>Price Basis</x:v>
      </x:c>
      <x:c r="K4" s="414" t="str">
        <x:v>Geography / Context</x:v>
      </x:c>
      <x:c r="L4" s="414" t="str">
        <x:v>Source Type</x:v>
      </x:c>
      <x:c r="M4" s="414" t="str">
        <x:v>Directness / Evidence</x:v>
      </x:c>
      <x:c r="N4" s="414" t="str">
        <x:v>Confidence</x:v>
      </x:c>
      <x:c r="O4" s="414" t="str">
        <x:v>Source URL</x:v>
      </x:c>
      <x:c r="P4" s="414" t="str">
        <x:v>Rights Code</x:v>
      </x:c>
      <x:c r="Q4" s="414" t="str">
        <x:v>Observation Key</x:v>
      </x:c>
      <x:c r="R4" s="414" t="str">
        <x:v>Duplicate Decision</x:v>
      </x:c>
      <x:c r="S4" s="414" t="str">
        <x:v>Normalization Note</x:v>
      </x:c>
      <x:c r="T4" s="414" t="str">
        <x:v>Accessed</x:v>
      </x:c>
    </x:row>
    <x:row r="5">
      <x:c r="A5" s="419" t="str">
        <x:v>BM-PRICE-0001</x:v>
      </x:c>
      <x:c r="B5" s="419" t="str">
        <x:v>BM-AD-0011</x:v>
      </x:c>
      <x:c r="C5" s="419" t="str">
        <x:v>JMC Racing</x:v>
      </x:c>
      <x:c r="D5" s="419" t="str">
        <x:v>JMC BMX product range</x:v>
      </x:c>
      <x:c r="E5" s="419" t="str">
        <x:v>Unresolved / varies</x:v>
      </x:c>
      <x:c r="F5" s="419" t="str">
        <x:v>Undated</x:v>
      </x:c>
      <x:c r="G5" s="422"/>
      <x:c r="H5" s="419" t="str">
        <x:v>UNCONFIRMED</x:v>
      </x:c>
      <x:c r="I5" s="419" t="str">
        <x:v>Not exposed in public index</x:v>
      </x:c>
      <x:c r="J5" s="419" t="str">
        <x:v>Price list; dealer vs retail basis unresolved</x:v>
      </x:c>
      <x:c r="K5" s="419" t="str">
        <x:v>Unresolved</x:v>
      </x:c>
      <x:c r="L5" s="419" t="str">
        <x:v>JMC Racing Fliers and Price List</x:v>
      </x:c>
      <x:c r="M5" s="419" t="str">
        <x:v>INDEXED-TITLE + EXTERNAL-CORROBORATION</x:v>
      </x:c>
      <x:c r="N5" s="419" t="str">
        <x:v>MEDIUM</x:v>
      </x:c>
      <x:c r="O5" s="419" t="str">
        <x:v>https://www.pinterest.com/pin/jmc-bmx-fliers-and-price-list--442478732119429034/</x:v>
      </x:c>
      <x:c r="P5" s="419" t="str">
        <x:v>INDEX-ONLY</x:v>
      </x:c>
      <x:c r="Q5" s="419" t="str">
        <x:v>jmc racing|jmc bmx product range|undated||UNCONFIRMED|https www pinterest com pin jmc bmx fliers and price list 442478732119429034</x:v>
      </x:c>
      <x:c r="R5" s="419" t="str">
        <x:v>RETAIN — source-specific observation</x:v>
      </x:c>
      <x:c r="S5" s="419" t="str">
        <x:v>Confirmed set title — locate exact reference ID, pages, date and price columns. Do not infer line-item prices from thumbnails or incomplete snippets.</x:v>
      </x:c>
      <x:c r="T5" s="419" t="str">
        <x:v>2026-07-30</x:v>
      </x:c>
    </x:row>
    <x:row r="6">
      <x:c r="A6" s="419" t="str">
        <x:v>BM-PRICE-0002</x:v>
      </x:c>
      <x:c r="B6" s="419" t="str">
        <x:v>BM-AD-0002</x:v>
      </x:c>
      <x:c r="C6" s="419" t="str">
        <x:v>GT; Dyno</x:v>
      </x:c>
      <x:c r="D6" s="419" t="str">
        <x:v>Interceptor</x:v>
      </x:c>
      <x:c r="E6" s="419" t="str">
        <x:v>Unresolved / varies</x:v>
      </x:c>
      <x:c r="F6" s="419" t="str">
        <x:v>1992</x:v>
      </x:c>
      <x:c r="G6" s="422" t="n">
        <x:v>259</x:v>
      </x:c>
      <x:c r="H6" s="419" t="str">
        <x:v>UNCONFIRMED</x:v>
      </x:c>
      <x:c r="I6" s="419" t="str">
        <x:v>$259</x:v>
      </x:c>
      <x:c r="J6" s="419" t="str">
        <x:v>Printed catalog price; exact basis unresolved</x:v>
      </x:c>
      <x:c r="K6" s="419" t="str">
        <x:v>Unresolved</x:v>
      </x:c>
      <x:c r="L6" s="419" t="str">
        <x:v>1992 GT/Dyno Product Catalog</x:v>
      </x:c>
      <x:c r="M6" s="419" t="str">
        <x:v>SEARCH-INDEXED-PAGE</x:v>
      </x:c>
      <x:c r="N6" s="419" t="str">
        <x:v>MEDIUM</x:v>
      </x:c>
      <x:c r="O6" s="419" t="str">
        <x:v>https://www.pinterest.com/pin/430304939389697452/</x:v>
      </x:c>
      <x:c r="P6" s="419" t="str">
        <x:v>INDEX-ONLY</x:v>
      </x:c>
      <x:c r="Q6" s="419" t="str">
        <x:v>gt dyno|interceptor|1992|259.0|UNCONFIRMED|https www pinterest com pin 430304939389697452</x:v>
      </x:c>
      <x:c r="R6" s="419" t="str">
        <x:v>DUP-PRICE-1992-259 — merge numeric observation; retain source row</x:v>
      </x:c>
      <x:c r="S6" s="419" t="str">
        <x:v>Observed in public index — verify exact page, configuration, currency and price basis. Do not label as MSRP, dealer cost or sale price until the page heading/legend is inspected.</x:v>
      </x:c>
      <x:c r="T6" s="419" t="str">
        <x:v>2026-07-30</x:v>
      </x:c>
    </x:row>
    <x:row r="7">
      <x:c r="A7" s="419" t="str">
        <x:v>BM-PRICE-0003</x:v>
      </x:c>
      <x:c r="B7" s="419" t="str">
        <x:v>BM-AD-0002</x:v>
      </x:c>
      <x:c r="C7" s="419" t="str">
        <x:v>GT; Dyno</x:v>
      </x:c>
      <x:c r="D7" s="419" t="str">
        <x:v>Blue bicycle; exact model unresolved</x:v>
      </x:c>
      <x:c r="E7" s="419" t="str">
        <x:v>Unresolved / varies</x:v>
      </x:c>
      <x:c r="F7" s="419" t="str">
        <x:v>1992</x:v>
      </x:c>
      <x:c r="G7" s="422" t="n">
        <x:v>319</x:v>
      </x:c>
      <x:c r="H7" s="419" t="str">
        <x:v>UNCONFIRMED</x:v>
      </x:c>
      <x:c r="I7" s="419" t="str">
        <x:v>$319</x:v>
      </x:c>
      <x:c r="J7" s="419" t="str">
        <x:v>Printed catalog price; exact basis unresolved</x:v>
      </x:c>
      <x:c r="K7" s="419" t="str">
        <x:v>Unresolved</x:v>
      </x:c>
      <x:c r="L7" s="419" t="str">
        <x:v>1992 GT/Dyno Product Catalog</x:v>
      </x:c>
      <x:c r="M7" s="419" t="str">
        <x:v>SEARCH-INDEXED-PAGE</x:v>
      </x:c>
      <x:c r="N7" s="419" t="str">
        <x:v>LOW-MEDIUM</x:v>
      </x:c>
      <x:c r="O7" s="419" t="str">
        <x:v>https://mx.pinterest.com/pin/430304939389697467/</x:v>
      </x:c>
      <x:c r="P7" s="419" t="str">
        <x:v>INDEX-ONLY</x:v>
      </x:c>
      <x:c r="Q7" s="419" t="str">
        <x:v>gt dyno|blue bicycle exact model unresolved|1992|319.0|UNCONFIRMED|https mx pinterest com pin 430304939389697467</x:v>
      </x:c>
      <x:c r="R7" s="419" t="str">
        <x:v>DUP-PRICE-1992-319 — merge numeric observation; retain source row</x:v>
      </x:c>
      <x:c r="S7" s="419" t="str">
        <x:v>Retain model as unresolved until the page and adjacent catalog context are inspected. Price observation is preserved separately from model identification.</x:v>
      </x:c>
      <x:c r="T7" s="419" t="str">
        <x:v>2026-07-30</x:v>
      </x:c>
    </x:row>
    <x:row r="8">
      <x:c r="A8" s="419" t="str">
        <x:v>BM-PRICE-0004</x:v>
      </x:c>
      <x:c r="B8" s="419" t="str">
        <x:v>BM-AD-0012</x:v>
      </x:c>
      <x:c r="C8" s="419" t="str">
        <x:v>JMC Racing</x:v>
      </x:c>
      <x:c r="D8" s="419" t="str">
        <x:v>JMC Racing equipment</x:v>
      </x:c>
      <x:c r="E8" s="419" t="str">
        <x:v>Unresolved / varies</x:v>
      </x:c>
      <x:c r="F8" s="419" t="str">
        <x:v>Undated vintage document; public post 2026</x:v>
      </x:c>
      <x:c r="G8" s="422"/>
      <x:c r="H8" s="419" t="str">
        <x:v>UNCONFIRMED</x:v>
      </x:c>
      <x:c r="I8" s="419" t="str">
        <x:v>Not exposed in public index</x:v>
      </x:c>
      <x:c r="J8" s="419" t="str">
        <x:v>Dealer price list per public description</x:v>
      </x:c>
      <x:c r="K8" s="419" t="str">
        <x:v>Unresolved</x:v>
      </x:c>
      <x:c r="L8" s="419" t="str">
        <x:v>Vintage JMC Racing Equipment dealer's price list from Azusa collection</x:v>
      </x:c>
      <x:c r="M8" s="419" t="str">
        <x:v>EXTERNAL-PUBLIC-LEAD</x:v>
      </x:c>
      <x:c r="N8" s="419" t="str">
        <x:v>LOW-MEDIUM</x:v>
      </x:c>
      <x:c r="O8" s="419" t="str">
        <x:v>https://www.facebook.com/groups/553888658024748/posts/27080185384968381/</x:v>
      </x:c>
      <x:c r="P8" s="419" t="str">
        <x:v>INDEX-ONLY</x:v>
      </x:c>
      <x:c r="Q8" s="419" t="str">
        <x:v>jmc racing|jmc racing equipment|undated vintage document public post 2026||UNCONFIRMED|https www facebook com groups 553888658024748 posts 27080185384968381</x:v>
      </x:c>
      <x:c r="R8" s="419" t="str">
        <x:v>RETAIN — source-specific observation</x:v>
      </x:c>
      <x:c r="S8" s="419" t="str">
        <x:v>Corroboration only — compare against BM-PRICE-0001 before merging records. The collection/post context is not automatically the original document issuer or dealer.</x:v>
      </x:c>
      <x:c r="T8" s="419" t="str">
        <x:v>2026-07-30</x:v>
      </x:c>
    </x:row>
    <x:row r="9">
      <x:c r="A9" s="419" t="str">
        <x:v>GTD-PR-0001</x:v>
      </x:c>
      <x:c r="B9" s="419" t="str">
        <x:v>BM-AD-0002</x:v>
      </x:c>
      <x:c r="C9" s="419" t="str">
        <x:v>GT</x:v>
      </x:c>
      <x:c r="D9" s="419" t="str">
        <x:v>Interceptor</x:v>
      </x:c>
      <x:c r="E9" s="419" t="str">
        <x:v>Complete bicycle</x:v>
      </x:c>
      <x:c r="F9" s="419" t="str">
        <x:v>1992</x:v>
      </x:c>
      <x:c r="G9" s="422" t="n">
        <x:v>259</x:v>
      </x:c>
      <x:c r="H9" s="419" t="str">
        <x:v>UNCONFIRMED</x:v>
      </x:c>
      <x:c r="I9" s="419" t="str">
        <x:v>$259</x:v>
      </x:c>
      <x:c r="J9" s="419" t="str">
        <x:v>Printed catalog price; exact basis unresolved</x:v>
      </x:c>
      <x:c r="K9" s="419" t="str">
        <x:v>Market unresolved</x:v>
      </x:c>
      <x:c r="L9" s="419" t="str">
        <x:v>Indexed catalog page</x:v>
      </x:c>
      <x:c r="M9" s="419" t="str">
        <x:v>Indexed observation</x:v>
      </x:c>
      <x:c r="N9" s="419" t="str">
        <x:v>MEDIUM</x:v>
      </x:c>
      <x:c r="O9" s="419" t="str">
        <x:v>https://www.pinterest.com/pin/430304939389697452/</x:v>
      </x:c>
      <x:c r="P9" s="419" t="str">
        <x:v>INDEX-ONLY</x:v>
      </x:c>
      <x:c r="Q9" s="419" t="str">
        <x:v>gt|interceptor|1992|259|UNCONFIRMED|https www pinterest com pin 430304939389697452</x:v>
      </x:c>
      <x:c r="R9" s="419" t="str">
        <x:v>DUP-PRICE-1992-259 — merge numeric observation; retain source row</x:v>
      </x:c>
      <x:c r="S9" s="419" t="str">
        <x:v>Numeric value normalized; currency intentionally not assumed.</x:v>
      </x:c>
      <x:c r="T9" s="419" t="str">
        <x:v>2026-07-30</x:v>
      </x:c>
    </x:row>
    <x:row r="10">
      <x:c r="A10" s="419" t="str">
        <x:v>GTD-PR-0002</x:v>
      </x:c>
      <x:c r="B10" s="419" t="str">
        <x:v>BM-AD-0002</x:v>
      </x:c>
      <x:c r="C10" s="419" t="str">
        <x:v>GT/Dyno</x:v>
      </x:c>
      <x:c r="D10" s="419" t="str">
        <x:v>Blue bicycle; model unresolved</x:v>
      </x:c>
      <x:c r="E10" s="419" t="str">
        <x:v>Complete bicycle</x:v>
      </x:c>
      <x:c r="F10" s="419" t="str">
        <x:v>1992</x:v>
      </x:c>
      <x:c r="G10" s="422" t="n">
        <x:v>319</x:v>
      </x:c>
      <x:c r="H10" s="419" t="str">
        <x:v>UNCONFIRMED</x:v>
      </x:c>
      <x:c r="I10" s="419" t="str">
        <x:v>$319</x:v>
      </x:c>
      <x:c r="J10" s="419" t="str">
        <x:v>Printed catalog price; exact basis unresolved</x:v>
      </x:c>
      <x:c r="K10" s="419" t="str">
        <x:v>Market unresolved</x:v>
      </x:c>
      <x:c r="L10" s="419" t="str">
        <x:v>Indexed catalog page</x:v>
      </x:c>
      <x:c r="M10" s="419" t="str">
        <x:v>Indexed observation</x:v>
      </x:c>
      <x:c r="N10" s="419" t="str">
        <x:v>LOW-MEDIUM</x:v>
      </x:c>
      <x:c r="O10" s="419" t="str">
        <x:v>https://mx.pinterest.com/pin/430304939389697467/</x:v>
      </x:c>
      <x:c r="P10" s="419" t="str">
        <x:v>INDEX-ONLY</x:v>
      </x:c>
      <x:c r="Q10" s="419" t="str">
        <x:v>gt dyno|blue bicycle model unresolved|1992|319|UNCONFIRMED|https mx pinterest com pin 430304939389697467</x:v>
      </x:c>
      <x:c r="R10" s="419" t="str">
        <x:v>DUP-PRICE-1992-319 — merge numeric observation; retain source row</x:v>
      </x:c>
      <x:c r="S10" s="419" t="str">
        <x:v>Model and currency remain unresolved.</x:v>
      </x:c>
      <x:c r="T10" s="419" t="str">
        <x:v>2026-07-30</x:v>
      </x:c>
    </x:row>
    <x:row r="11">
      <x:c r="A11" s="419" t="str">
        <x:v>GTD-PR-0003</x:v>
      </x:c>
      <x:c r="B11" s="419" t="str">
        <x:v>GTD-OBJ-0004</x:v>
      </x:c>
      <x:c r="C11" s="419" t="str">
        <x:v>Dyno</x:v>
      </x:c>
      <x:c r="D11" s="419" t="str">
        <x:v>Dinky Dyno 16-inch</x:v>
      </x:c>
      <x:c r="E11" s="419" t="str">
        <x:v>Complete bicycle</x:v>
      </x:c>
      <x:c r="F11" s="419" t="str">
        <x:v>Aug 1987</x:v>
      </x:c>
      <x:c r="G11" s="422" t="n">
        <x:v>119</x:v>
      </x:c>
      <x:c r="H11" s="419" t="str">
        <x:v>USD</x:v>
      </x:c>
      <x:c r="I11" s="419" t="str">
        <x:v>$119</x:v>
      </x:c>
      <x:c r="J11" s="419" t="str">
        <x:v>Advertised retailer/mail-order price</x:v>
      </x:c>
      <x:c r="K11" s="419" t="str">
        <x:v>United States publication context</x:v>
      </x:c>
      <x:c r="L11" s="419" t="str">
        <x:v>Period retailer advertisement</x:v>
      </x:c>
      <x:c r="M11" s="419" t="str">
        <x:v>Direct text/OCR; clear pair</x:v>
      </x:c>
      <x:c r="N11" s="419" t="str">
        <x:v>MEDIUM-HIGH</x:v>
      </x:c>
      <x:c r="O11" s="419" t="str">
        <x:v>https://previouspage.co.uk/issues/245-august-nineteen-eighty-seven</x:v>
      </x:c>
      <x:c r="P11" s="419" t="str">
        <x:v>INDEX-ONLY</x:v>
      </x:c>
      <x:c r="Q11" s="419" t="str">
        <x:v>dyno|dinky dyno 16 inch|aug 1987|119|USD|https previouspage co uk issues 245 august nineteen eighty seven</x:v>
      </x:c>
      <x:c r="R11" s="419" t="str">
        <x:v>RETAIN — source-specific observation</x:v>
      </x:c>
      <x:c r="S11" s="419" t="str">
        <x:v>Not manufacturer MSRP.</x:v>
      </x:c>
      <x:c r="T11" s="419" t="str">
        <x:v>2026-07-30</x:v>
      </x:c>
    </x:row>
    <x:row r="12">
      <x:c r="A12" s="419" t="str">
        <x:v>GTD-PR-0004</x:v>
      </x:c>
      <x:c r="B12" s="419" t="str">
        <x:v>GTD-OBJ-0004</x:v>
      </x:c>
      <x:c r="C12" s="419" t="str">
        <x:v>Dyno</x:v>
      </x:c>
      <x:c r="D12" s="419" t="str">
        <x:v>Compe</x:v>
      </x:c>
      <x:c r="E12" s="419" t="str">
        <x:v>Complete bicycle</x:v>
      </x:c>
      <x:c r="F12" s="419" t="str">
        <x:v>Aug 1987</x:v>
      </x:c>
      <x:c r="G12" s="422" t="n">
        <x:v>149</x:v>
      </x:c>
      <x:c r="H12" s="419" t="str">
        <x:v>USD</x:v>
      </x:c>
      <x:c r="I12" s="419" t="str">
        <x:v>$149</x:v>
      </x:c>
      <x:c r="J12" s="419" t="str">
        <x:v>Advertised retailer/mail-order price</x:v>
      </x:c>
      <x:c r="K12" s="419" t="str">
        <x:v>United States publication context</x:v>
      </x:c>
      <x:c r="L12" s="419" t="str">
        <x:v>Period retailer advertisement</x:v>
      </x:c>
      <x:c r="M12" s="419" t="str">
        <x:v>Direct text/OCR; clear pair</x:v>
      </x:c>
      <x:c r="N12" s="419" t="str">
        <x:v>MEDIUM-HIGH</x:v>
      </x:c>
      <x:c r="O12" s="419" t="str">
        <x:v>https://previouspage.co.uk/issues/245-august-nineteen-eighty-seven</x:v>
      </x:c>
      <x:c r="P12" s="419" t="str">
        <x:v>INDEX-ONLY</x:v>
      </x:c>
      <x:c r="Q12" s="419" t="str">
        <x:v>dyno|compe|aug 1987|149|USD|https previouspage co uk issues 245 august nineteen eighty seven</x:v>
      </x:c>
      <x:c r="R12" s="419" t="str">
        <x:v>RETAIN — source-specific observation</x:v>
      </x:c>
      <x:c r="S12" s="419" t="str">
        <x:v>Not manufacturer MSRP.</x:v>
      </x:c>
      <x:c r="T12" s="419" t="str">
        <x:v>2026-07-30</x:v>
      </x:c>
    </x:row>
    <x:row r="13">
      <x:c r="A13" s="419" t="str">
        <x:v>GTD-PR-0005</x:v>
      </x:c>
      <x:c r="B13" s="419" t="str">
        <x:v>GTD-OBJ-0004</x:v>
      </x:c>
      <x:c r="C13" s="419" t="str">
        <x:v>Dyno</x:v>
      </x:c>
      <x:c r="D13" s="419" t="str">
        <x:v>D-Tour</x:v>
      </x:c>
      <x:c r="E13" s="419" t="str">
        <x:v>Complete bicycle</x:v>
      </x:c>
      <x:c r="F13" s="419" t="str">
        <x:v>Aug 1987</x:v>
      </x:c>
      <x:c r="G13" s="422" t="n">
        <x:v>189</x:v>
      </x:c>
      <x:c r="H13" s="419" t="str">
        <x:v>USD</x:v>
      </x:c>
      <x:c r="I13" s="419" t="str">
        <x:v>$189</x:v>
      </x:c>
      <x:c r="J13" s="419" t="str">
        <x:v>Advertised retailer/mail-order price</x:v>
      </x:c>
      <x:c r="K13" s="419" t="str">
        <x:v>United States publication context</x:v>
      </x:c>
      <x:c r="L13" s="419" t="str">
        <x:v>Period retailer advertisement</x:v>
      </x:c>
      <x:c r="M13" s="419" t="str">
        <x:v>Direct text/OCR; clear pair</x:v>
      </x:c>
      <x:c r="N13" s="419" t="str">
        <x:v>MEDIUM-HIGH</x:v>
      </x:c>
      <x:c r="O13" s="419" t="str">
        <x:v>https://previouspage.co.uk/issues/245-august-nineteen-eighty-seven</x:v>
      </x:c>
      <x:c r="P13" s="419" t="str">
        <x:v>INDEX-ONLY</x:v>
      </x:c>
      <x:c r="Q13" s="419" t="str">
        <x:v>dyno|d tour|aug 1987|189|USD|https previouspage co uk issues 245 august nineteen eighty seven</x:v>
      </x:c>
      <x:c r="R13" s="419" t="str">
        <x:v>RETAIN — source-specific observation</x:v>
      </x:c>
      <x:c r="S13" s="419" t="str">
        <x:v>Not manufacturer MSRP.</x:v>
      </x:c>
      <x:c r="T13" s="419" t="str">
        <x:v>2026-07-30</x:v>
      </x:c>
    </x:row>
    <x:row r="14">
      <x:c r="A14" s="419" t="str">
        <x:v>GTD-PR-0006</x:v>
      </x:c>
      <x:c r="B14" s="419" t="str">
        <x:v>GTD-OBJ-0004</x:v>
      </x:c>
      <x:c r="C14" s="419" t="str">
        <x:v>Dyno</x:v>
      </x:c>
      <x:c r="D14" s="419" t="str">
        <x:v>Pro Compe</x:v>
      </x:c>
      <x:c r="E14" s="419" t="str">
        <x:v>Complete bicycle</x:v>
      </x:c>
      <x:c r="F14" s="419" t="str">
        <x:v>Aug 1987</x:v>
      </x:c>
      <x:c r="G14" s="422" t="n">
        <x:v>279</x:v>
      </x:c>
      <x:c r="H14" s="419" t="str">
        <x:v>USD</x:v>
      </x:c>
      <x:c r="I14" s="419" t="str">
        <x:v>$279</x:v>
      </x:c>
      <x:c r="J14" s="419" t="str">
        <x:v>Advertised retailer/mail-order price</x:v>
      </x:c>
      <x:c r="K14" s="419" t="str">
        <x:v>United States publication context</x:v>
      </x:c>
      <x:c r="L14" s="419" t="str">
        <x:v>Period retailer advertisement</x:v>
      </x:c>
      <x:c r="M14" s="419" t="str">
        <x:v>Direct text/OCR; clear pair</x:v>
      </x:c>
      <x:c r="N14" s="419" t="str">
        <x:v>MEDIUM-HIGH</x:v>
      </x:c>
      <x:c r="O14" s="419" t="str">
        <x:v>https://previouspage.co.uk/issues/245-august-nineteen-eighty-seven</x:v>
      </x:c>
      <x:c r="P14" s="419" t="str">
        <x:v>INDEX-ONLY</x:v>
      </x:c>
      <x:c r="Q14" s="419" t="str">
        <x:v>dyno|pro compe|aug 1987|279|USD|https previouspage co uk issues 245 august nineteen eighty seven</x:v>
      </x:c>
      <x:c r="R14" s="419" t="str">
        <x:v>RETAIN — source-specific observation</x:v>
      </x:c>
      <x:c r="S14" s="419" t="str">
        <x:v>Not manufacturer MSRP.</x:v>
      </x:c>
      <x:c r="T14" s="419" t="str">
        <x:v>2026-07-30</x:v>
      </x:c>
    </x:row>
    <x:row r="15">
      <x:c r="A15" s="419" t="str">
        <x:v>GTD-PR-0007</x:v>
      </x:c>
      <x:c r="B15" s="419" t="str">
        <x:v>GTD-OBJ-0004</x:v>
      </x:c>
      <x:c r="C15" s="419" t="str">
        <x:v>Dyno</x:v>
      </x:c>
      <x:c r="D15" s="419" t="str">
        <x:v>Pro Compe Team</x:v>
      </x:c>
      <x:c r="E15" s="419" t="str">
        <x:v>Complete bicycle</x:v>
      </x:c>
      <x:c r="F15" s="419" t="str">
        <x:v>Aug 1987</x:v>
      </x:c>
      <x:c r="G15" s="422" t="n">
        <x:v>419</x:v>
      </x:c>
      <x:c r="H15" s="419" t="str">
        <x:v>USD</x:v>
      </x:c>
      <x:c r="I15" s="419" t="str">
        <x:v>$419</x:v>
      </x:c>
      <x:c r="J15" s="419" t="str">
        <x:v>Advertised retailer/mail-order price</x:v>
      </x:c>
      <x:c r="K15" s="419" t="str">
        <x:v>United States publication context</x:v>
      </x:c>
      <x:c r="L15" s="419" t="str">
        <x:v>Period retailer advertisement</x:v>
      </x:c>
      <x:c r="M15" s="419" t="str">
        <x:v>Direct text/OCR; clear pair</x:v>
      </x:c>
      <x:c r="N15" s="419" t="str">
        <x:v>MEDIUM-HIGH</x:v>
      </x:c>
      <x:c r="O15" s="419" t="str">
        <x:v>https://previouspage.co.uk/issues/245-august-nineteen-eighty-seven</x:v>
      </x:c>
      <x:c r="P15" s="419" t="str">
        <x:v>INDEX-ONLY</x:v>
      </x:c>
      <x:c r="Q15" s="419" t="str">
        <x:v>dyno|pro compe team|aug 1987|419|USD|https previouspage co uk issues 245 august nineteen eighty seven</x:v>
      </x:c>
      <x:c r="R15" s="419" t="str">
        <x:v>RETAIN — source-specific observation</x:v>
      </x:c>
      <x:c r="S15" s="419" t="str">
        <x:v>Not manufacturer MSRP.</x:v>
      </x:c>
      <x:c r="T15" s="419" t="str">
        <x:v>2026-07-30</x:v>
      </x:c>
    </x:row>
    <x:row r="16">
      <x:c r="A16" s="419" t="str">
        <x:v>GTD-PR-0008</x:v>
      </x:c>
      <x:c r="B16" s="419" t="str">
        <x:v>GTD-OBJ-0004</x:v>
      </x:c>
      <x:c r="C16" s="419" t="str">
        <x:v>Dyno</x:v>
      </x:c>
      <x:c r="D16" s="419" t="str">
        <x:v>VFR BMX</x:v>
      </x:c>
      <x:c r="E16" s="419" t="str">
        <x:v>Complete bicycle</x:v>
      </x:c>
      <x:c r="F16" s="419" t="str">
        <x:v>Aug 1987</x:v>
      </x:c>
      <x:c r="G16" s="422" t="n">
        <x:v>129</x:v>
      </x:c>
      <x:c r="H16" s="419" t="str">
        <x:v>USD</x:v>
      </x:c>
      <x:c r="I16" s="419" t="str">
        <x:v>$129</x:v>
      </x:c>
      <x:c r="J16" s="419" t="str">
        <x:v>Advertised retailer/mail-order price</x:v>
      </x:c>
      <x:c r="K16" s="419" t="str">
        <x:v>United States publication context</x:v>
      </x:c>
      <x:c r="L16" s="419" t="str">
        <x:v>Period retailer advertisement</x:v>
      </x:c>
      <x:c r="M16" s="419" t="str">
        <x:v>Direct text/OCR; clear pair</x:v>
      </x:c>
      <x:c r="N16" s="419" t="str">
        <x:v>MEDIUM-HIGH</x:v>
      </x:c>
      <x:c r="O16" s="419" t="str">
        <x:v>https://previouspage.co.uk/issues/245-august-nineteen-eighty-seven</x:v>
      </x:c>
      <x:c r="P16" s="419" t="str">
        <x:v>INDEX-ONLY</x:v>
      </x:c>
      <x:c r="Q16" s="419" t="str">
        <x:v>dyno|vfr bmx|aug 1987|129|USD|https previouspage co uk issues 245 august nineteen eighty seven</x:v>
      </x:c>
      <x:c r="R16" s="419" t="str">
        <x:v>RETAIN — source-specific observation</x:v>
      </x:c>
      <x:c r="S16" s="419" t="str">
        <x:v>Not manufacturer MSRP.</x:v>
      </x:c>
      <x:c r="T16" s="419" t="str">
        <x:v>2026-07-30</x:v>
      </x:c>
    </x:row>
    <x:row r="17">
      <x:c r="A17" s="419" t="str">
        <x:v>GTD-PR-0009</x:v>
      </x:c>
      <x:c r="B17" s="419" t="str">
        <x:v>GTD-OBJ-0004</x:v>
      </x:c>
      <x:c r="C17" s="419" t="str">
        <x:v>GT</x:v>
      </x:c>
      <x:c r="D17" s="419" t="str">
        <x:v>Jr. Performer</x:v>
      </x:c>
      <x:c r="E17" s="419" t="str">
        <x:v>Complete bicycle</x:v>
      </x:c>
      <x:c r="F17" s="419" t="str">
        <x:v>Aug 1987</x:v>
      </x:c>
      <x:c r="G17" s="422" t="n">
        <x:v>119</x:v>
      </x:c>
      <x:c r="H17" s="419" t="str">
        <x:v>USD</x:v>
      </x:c>
      <x:c r="I17" s="419" t="str">
        <x:v>$119</x:v>
      </x:c>
      <x:c r="J17" s="419" t="str">
        <x:v>Advertised retailer/mail-order price</x:v>
      </x:c>
      <x:c r="K17" s="419" t="str">
        <x:v>United States publication context</x:v>
      </x:c>
      <x:c r="L17" s="419" t="str">
        <x:v>Period retailer advertisement</x:v>
      </x:c>
      <x:c r="M17" s="419" t="str">
        <x:v>Direct text/OCR; clear pair</x:v>
      </x:c>
      <x:c r="N17" s="419" t="str">
        <x:v>MEDIUM-HIGH</x:v>
      </x:c>
      <x:c r="O17" s="419" t="str">
        <x:v>https://previouspage.co.uk/issues/245-august-nineteen-eighty-seven</x:v>
      </x:c>
      <x:c r="P17" s="419" t="str">
        <x:v>INDEX-ONLY</x:v>
      </x:c>
      <x:c r="Q17" s="419" t="str">
        <x:v>gt|jr performer|aug 1987|119|USD|https previouspage co uk issues 245 august nineteen eighty seven</x:v>
      </x:c>
      <x:c r="R17" s="419" t="str">
        <x:v>RETAIN — source-specific observation</x:v>
      </x:c>
      <x:c r="S17" s="419" t="str">
        <x:v>Not manufacturer MSRP.</x:v>
      </x:c>
      <x:c r="T17" s="419" t="str">
        <x:v>2026-07-30</x:v>
      </x:c>
    </x:row>
    <x:row r="18">
      <x:c r="A18" s="419" t="str">
        <x:v>GTD-PR-0010</x:v>
      </x:c>
      <x:c r="B18" s="419" t="str">
        <x:v>GTD-OBJ-0004</x:v>
      </x:c>
      <x:c r="C18" s="419" t="str">
        <x:v>GT</x:v>
      </x:c>
      <x:c r="D18" s="419" t="str">
        <x:v>Vertigo</x:v>
      </x:c>
      <x:c r="E18" s="419" t="str">
        <x:v>Complete bicycle</x:v>
      </x:c>
      <x:c r="F18" s="419" t="str">
        <x:v>Aug 1987</x:v>
      </x:c>
      <x:c r="G18" s="422" t="n">
        <x:v>164</x:v>
      </x:c>
      <x:c r="H18" s="419" t="str">
        <x:v>USD</x:v>
      </x:c>
      <x:c r="I18" s="419" t="str">
        <x:v>$164</x:v>
      </x:c>
      <x:c r="J18" s="419" t="str">
        <x:v>Advertised retailer/mail-order price</x:v>
      </x:c>
      <x:c r="K18" s="419" t="str">
        <x:v>United States publication context</x:v>
      </x:c>
      <x:c r="L18" s="419" t="str">
        <x:v>Period retailer advertisement</x:v>
      </x:c>
      <x:c r="M18" s="419" t="str">
        <x:v>Direct text/OCR; clear pair</x:v>
      </x:c>
      <x:c r="N18" s="419" t="str">
        <x:v>MEDIUM-HIGH</x:v>
      </x:c>
      <x:c r="O18" s="419" t="str">
        <x:v>https://previouspage.co.uk/issues/245-august-nineteen-eighty-seven</x:v>
      </x:c>
      <x:c r="P18" s="419" t="str">
        <x:v>INDEX-ONLY</x:v>
      </x:c>
      <x:c r="Q18" s="419" t="str">
        <x:v>gt|vertigo|aug 1987|164|USD|https previouspage co uk issues 245 august nineteen eighty seven</x:v>
      </x:c>
      <x:c r="R18" s="419" t="str">
        <x:v>RETAIN — source-specific observation</x:v>
      </x:c>
      <x:c r="S18" s="419" t="str">
        <x:v>Not manufacturer MSRP.</x:v>
      </x:c>
      <x:c r="T18" s="419" t="str">
        <x:v>2026-07-30</x:v>
      </x:c>
    </x:row>
    <x:row r="19">
      <x:c r="A19" s="419" t="str">
        <x:v>GTD-PR-0011</x:v>
      </x:c>
      <x:c r="B19" s="419" t="str">
        <x:v>GTD-OBJ-0004</x:v>
      </x:c>
      <x:c r="C19" s="419" t="str">
        <x:v>GT</x:v>
      </x:c>
      <x:c r="D19" s="419" t="str">
        <x:v>Performer</x:v>
      </x:c>
      <x:c r="E19" s="419" t="str">
        <x:v>Complete bicycle</x:v>
      </x:c>
      <x:c r="F19" s="419" t="str">
        <x:v>Aug 1987</x:v>
      </x:c>
      <x:c r="G19" s="422" t="n">
        <x:v>199</x:v>
      </x:c>
      <x:c r="H19" s="419" t="str">
        <x:v>USD</x:v>
      </x:c>
      <x:c r="I19" s="419" t="str">
        <x:v>$199</x:v>
      </x:c>
      <x:c r="J19" s="419" t="str">
        <x:v>Advertised retailer/mail-order price</x:v>
      </x:c>
      <x:c r="K19" s="419" t="str">
        <x:v>United States publication context</x:v>
      </x:c>
      <x:c r="L19" s="419" t="str">
        <x:v>Period retailer advertisement</x:v>
      </x:c>
      <x:c r="M19" s="419" t="str">
        <x:v>Direct text/OCR; clear pair</x:v>
      </x:c>
      <x:c r="N19" s="419" t="str">
        <x:v>MEDIUM-HIGH</x:v>
      </x:c>
      <x:c r="O19" s="419" t="str">
        <x:v>https://previouspage.co.uk/issues/245-august-nineteen-eighty-seven</x:v>
      </x:c>
      <x:c r="P19" s="419" t="str">
        <x:v>INDEX-ONLY</x:v>
      </x:c>
      <x:c r="Q19" s="419" t="str">
        <x:v>gt|performer|aug 1987|199|USD|https previouspage co uk issues 245 august nineteen eighty seven</x:v>
      </x:c>
      <x:c r="R19" s="419" t="str">
        <x:v>RETAIN — source-specific observation</x:v>
      </x:c>
      <x:c r="S19" s="419" t="str">
        <x:v>Not manufacturer MSRP.</x:v>
      </x:c>
      <x:c r="T19" s="419" t="str">
        <x:v>2026-07-30</x:v>
      </x:c>
    </x:row>
    <x:row r="20">
      <x:c r="A20" s="419" t="str">
        <x:v>GTD-PR-0012</x:v>
      </x:c>
      <x:c r="B20" s="419" t="str">
        <x:v>GTD-OBJ-0004</x:v>
      </x:c>
      <x:c r="C20" s="419" t="str">
        <x:v>GT</x:v>
      </x:c>
      <x:c r="D20" s="419" t="str">
        <x:v>Pro Freestyle Tour</x:v>
      </x:c>
      <x:c r="E20" s="419" t="str">
        <x:v>Complete bicycle</x:v>
      </x:c>
      <x:c r="F20" s="419" t="str">
        <x:v>Aug 1987</x:v>
      </x:c>
      <x:c r="G20" s="422" t="n">
        <x:v>299</x:v>
      </x:c>
      <x:c r="H20" s="419" t="str">
        <x:v>USD</x:v>
      </x:c>
      <x:c r="I20" s="419" t="str">
        <x:v>$299</x:v>
      </x:c>
      <x:c r="J20" s="419" t="str">
        <x:v>Advertised retailer/mail-order price</x:v>
      </x:c>
      <x:c r="K20" s="419" t="str">
        <x:v>United States publication context</x:v>
      </x:c>
      <x:c r="L20" s="419" t="str">
        <x:v>Period retailer advertisement</x:v>
      </x:c>
      <x:c r="M20" s="419" t="str">
        <x:v>Direct text/OCR; clear pair</x:v>
      </x:c>
      <x:c r="N20" s="419" t="str">
        <x:v>MEDIUM-HIGH</x:v>
      </x:c>
      <x:c r="O20" s="419" t="str">
        <x:v>https://previouspage.co.uk/issues/245-august-nineteen-eighty-seven</x:v>
      </x:c>
      <x:c r="P20" s="419" t="str">
        <x:v>INDEX-ONLY</x:v>
      </x:c>
      <x:c r="Q20" s="419" t="str">
        <x:v>gt|pro freestyle tour|aug 1987|299|USD|https previouspage co uk issues 245 august nineteen eighty seven</x:v>
      </x:c>
      <x:c r="R20" s="419" t="str">
        <x:v>RETAIN — source-specific observation</x:v>
      </x:c>
      <x:c r="S20" s="419" t="str">
        <x:v>Source abbreviates model as Pro F/S Tour.</x:v>
      </x:c>
      <x:c r="T20" s="419" t="str">
        <x:v>2026-07-30</x:v>
      </x:c>
    </x:row>
    <x:row r="21">
      <x:c r="A21" s="419" t="str">
        <x:v>GTD-PR-0013</x:v>
      </x:c>
      <x:c r="B21" s="419" t="str">
        <x:v>GTD-OBJ-0004</x:v>
      </x:c>
      <x:c r="C21" s="419" t="str">
        <x:v>GT</x:v>
      </x:c>
      <x:c r="D21" s="419" t="str">
        <x:v>Pro Freestyle Team</x:v>
      </x:c>
      <x:c r="E21" s="419" t="str">
        <x:v>Complete bicycle</x:v>
      </x:c>
      <x:c r="F21" s="419" t="str">
        <x:v>Aug 1987</x:v>
      </x:c>
      <x:c r="G21" s="422" t="n">
        <x:v>429</x:v>
      </x:c>
      <x:c r="H21" s="419" t="str">
        <x:v>USD</x:v>
      </x:c>
      <x:c r="I21" s="419" t="str">
        <x:v>$429</x:v>
      </x:c>
      <x:c r="J21" s="419" t="str">
        <x:v>Advertised retailer/mail-order price</x:v>
      </x:c>
      <x:c r="K21" s="419" t="str">
        <x:v>United States publication context</x:v>
      </x:c>
      <x:c r="L21" s="419" t="str">
        <x:v>Period retailer advertisement</x:v>
      </x:c>
      <x:c r="M21" s="419" t="str">
        <x:v>Direct text/OCR; clear pair</x:v>
      </x:c>
      <x:c r="N21" s="419" t="str">
        <x:v>MEDIUM-HIGH</x:v>
      </x:c>
      <x:c r="O21" s="419" t="str">
        <x:v>https://previouspage.co.uk/issues/245-august-nineteen-eighty-seven</x:v>
      </x:c>
      <x:c r="P21" s="419" t="str">
        <x:v>INDEX-ONLY</x:v>
      </x:c>
      <x:c r="Q21" s="419" t="str">
        <x:v>gt|pro freestyle team|aug 1987|429|USD|https previouspage co uk issues 245 august nineteen eighty seven</x:v>
      </x:c>
      <x:c r="R21" s="419" t="str">
        <x:v>RETAIN — source-specific observation</x:v>
      </x:c>
      <x:c r="S21" s="419" t="str">
        <x:v>Source abbreviates model as Pro F/S Team.</x:v>
      </x:c>
      <x:c r="T21" s="419" t="str">
        <x:v>2026-07-30</x:v>
      </x:c>
    </x:row>
    <x:row r="22">
      <x:c r="A22" s="419" t="str">
        <x:v>GTD-PR-0014</x:v>
      </x:c>
      <x:c r="B22" s="419" t="str">
        <x:v>GTD-OBJ-0004</x:v>
      </x:c>
      <x:c r="C22" s="419" t="str">
        <x:v>GT</x:v>
      </x:c>
      <x:c r="D22" s="419" t="str">
        <x:v>Interceptor</x:v>
      </x:c>
      <x:c r="E22" s="419" t="str">
        <x:v>Complete bicycle</x:v>
      </x:c>
      <x:c r="F22" s="419" t="str">
        <x:v>Aug 1987</x:v>
      </x:c>
      <x:c r="G22" s="422" t="n">
        <x:v>169</x:v>
      </x:c>
      <x:c r="H22" s="419" t="str">
        <x:v>USD</x:v>
      </x:c>
      <x:c r="I22" s="419" t="str">
        <x:v>$169</x:v>
      </x:c>
      <x:c r="J22" s="419" t="str">
        <x:v>Advertised retailer/mail-order price</x:v>
      </x:c>
      <x:c r="K22" s="419" t="str">
        <x:v>United States publication context</x:v>
      </x:c>
      <x:c r="L22" s="419" t="str">
        <x:v>Period retailer advertisement</x:v>
      </x:c>
      <x:c r="M22" s="419" t="str">
        <x:v>Direct text/OCR; clear pair</x:v>
      </x:c>
      <x:c r="N22" s="419" t="str">
        <x:v>MEDIUM-HIGH</x:v>
      </x:c>
      <x:c r="O22" s="419" t="str">
        <x:v>https://previouspage.co.uk/issues/245-august-nineteen-eighty-seven</x:v>
      </x:c>
      <x:c r="P22" s="419" t="str">
        <x:v>INDEX-ONLY</x:v>
      </x:c>
      <x:c r="Q22" s="419" t="str">
        <x:v>gt|interceptor|aug 1987|169|USD|https previouspage co uk issues 245 august nineteen eighty seven</x:v>
      </x:c>
      <x:c r="R22" s="419" t="str">
        <x:v>RETAIN — source-specific observation</x:v>
      </x:c>
      <x:c r="S22" s="419" t="str">
        <x:v>Do not compare directly with the unresolved 1992 $259 configuration.</x:v>
      </x:c>
      <x:c r="T22" s="419" t="str">
        <x:v>2026-07-30</x:v>
      </x:c>
    </x:row>
    <x:row r="23">
      <x:c r="A23" s="419" t="str">
        <x:v>GTD-PR-0015</x:v>
      </x:c>
      <x:c r="B23" s="419" t="str">
        <x:v>GTD-OBJ-0004</x:v>
      </x:c>
      <x:c r="C23" s="419" t="str">
        <x:v>GT</x:v>
      </x:c>
      <x:c r="D23" s="419" t="str">
        <x:v>Mach 1</x:v>
      </x:c>
      <x:c r="E23" s="419" t="str">
        <x:v>Complete bicycle</x:v>
      </x:c>
      <x:c r="F23" s="419" t="str">
        <x:v>Aug 1987</x:v>
      </x:c>
      <x:c r="G23" s="422" t="n">
        <x:v>209</x:v>
      </x:c>
      <x:c r="H23" s="419" t="str">
        <x:v>USD</x:v>
      </x:c>
      <x:c r="I23" s="419" t="str">
        <x:v>$209</x:v>
      </x:c>
      <x:c r="J23" s="419" t="str">
        <x:v>Advertised retailer/mail-order price</x:v>
      </x:c>
      <x:c r="K23" s="419" t="str">
        <x:v>United States publication context</x:v>
      </x:c>
      <x:c r="L23" s="419" t="str">
        <x:v>Period retailer advertisement</x:v>
      </x:c>
      <x:c r="M23" s="419" t="str">
        <x:v>Direct text/OCR; clear pair</x:v>
      </x:c>
      <x:c r="N23" s="419" t="str">
        <x:v>MEDIUM-HIGH</x:v>
      </x:c>
      <x:c r="O23" s="419" t="str">
        <x:v>https://previouspage.co.uk/issues/245-august-nineteen-eighty-seven</x:v>
      </x:c>
      <x:c r="P23" s="419" t="str">
        <x:v>INDEX-ONLY</x:v>
      </x:c>
      <x:c r="Q23" s="419" t="str">
        <x:v>gt|mach 1|aug 1987|209|USD|https previouspage co uk issues 245 august nineteen eighty seven</x:v>
      </x:c>
      <x:c r="R23" s="419" t="str">
        <x:v>RETAIN — source-specific observation</x:v>
      </x:c>
      <x:c r="S23" s="419" t="str">
        <x:v>Not manufacturer MSRP.</x:v>
      </x:c>
      <x:c r="T23" s="419" t="str">
        <x:v>2026-07-30</x:v>
      </x:c>
    </x:row>
    <x:row r="24">
      <x:c r="A24" s="419" t="str">
        <x:v>GTD-PR-0016</x:v>
      </x:c>
      <x:c r="B24" s="419" t="str">
        <x:v>GTD-OBJ-0004</x:v>
      </x:c>
      <x:c r="C24" s="419" t="str">
        <x:v>GT</x:v>
      </x:c>
      <x:c r="D24" s="419" t="str">
        <x:v>Pro Series</x:v>
      </x:c>
      <x:c r="E24" s="419" t="str">
        <x:v>Complete bicycle</x:v>
      </x:c>
      <x:c r="F24" s="419" t="str">
        <x:v>Aug 1987</x:v>
      </x:c>
      <x:c r="G24" s="422" t="n">
        <x:v>329</x:v>
      </x:c>
      <x:c r="H24" s="419" t="str">
        <x:v>USD</x:v>
      </x:c>
      <x:c r="I24" s="419" t="str">
        <x:v>$329</x:v>
      </x:c>
      <x:c r="J24" s="419" t="str">
        <x:v>Advertised retailer/mail-order price</x:v>
      </x:c>
      <x:c r="K24" s="419" t="str">
        <x:v>United States publication context</x:v>
      </x:c>
      <x:c r="L24" s="419" t="str">
        <x:v>Period retailer advertisement</x:v>
      </x:c>
      <x:c r="M24" s="419" t="str">
        <x:v>Direct text/OCR; clear pair</x:v>
      </x:c>
      <x:c r="N24" s="419" t="str">
        <x:v>MEDIUM-HIGH</x:v>
      </x:c>
      <x:c r="O24" s="419" t="str">
        <x:v>https://previouspage.co.uk/issues/245-august-nineteen-eighty-seven</x:v>
      </x:c>
      <x:c r="P24" s="419" t="str">
        <x:v>INDEX-ONLY</x:v>
      </x:c>
      <x:c r="Q24" s="419" t="str">
        <x:v>gt|pro series|aug 1987|329|USD|https previouspage co uk issues 245 august nineteen eighty seven</x:v>
      </x:c>
      <x:c r="R24" s="419" t="str">
        <x:v>RETAIN — source-specific observation</x:v>
      </x:c>
      <x:c r="S24" s="419" t="str">
        <x:v>Not manufacturer MSRP.</x:v>
      </x:c>
      <x:c r="T24" s="419" t="str">
        <x:v>2026-07-30</x:v>
      </x:c>
    </x:row>
    <x:row r="25">
      <x:c r="A25" s="419" t="str">
        <x:v>GTD-PR-0017</x:v>
      </x:c>
      <x:c r="B25" s="419" t="str">
        <x:v>GTD-OBJ-0004</x:v>
      </x:c>
      <x:c r="C25" s="419" t="str">
        <x:v>GT</x:v>
      </x:c>
      <x:c r="D25" s="419" t="str">
        <x:v>Pro Series Team</x:v>
      </x:c>
      <x:c r="E25" s="419" t="str">
        <x:v>Complete bicycle</x:v>
      </x:c>
      <x:c r="F25" s="419" t="str">
        <x:v>Aug 1987</x:v>
      </x:c>
      <x:c r="G25" s="422" t="n">
        <x:v>449</x:v>
      </x:c>
      <x:c r="H25" s="419" t="str">
        <x:v>USD</x:v>
      </x:c>
      <x:c r="I25" s="419" t="str">
        <x:v>$449</x:v>
      </x:c>
      <x:c r="J25" s="419" t="str">
        <x:v>Advertised retailer/mail-order price</x:v>
      </x:c>
      <x:c r="K25" s="419" t="str">
        <x:v>United States publication context</x:v>
      </x:c>
      <x:c r="L25" s="419" t="str">
        <x:v>Period retailer advertisement</x:v>
      </x:c>
      <x:c r="M25" s="419" t="str">
        <x:v>Direct text/OCR; clear pair</x:v>
      </x:c>
      <x:c r="N25" s="419" t="str">
        <x:v>MEDIUM-HIGH</x:v>
      </x:c>
      <x:c r="O25" s="419" t="str">
        <x:v>https://previouspage.co.uk/issues/245-august-nineteen-eighty-seven</x:v>
      </x:c>
      <x:c r="P25" s="419" t="str">
        <x:v>INDEX-ONLY</x:v>
      </x:c>
      <x:c r="Q25" s="419" t="str">
        <x:v>gt|pro series team|aug 1987|449|USD|https previouspage co uk issues 245 august nineteen eighty seven</x:v>
      </x:c>
      <x:c r="R25" s="419" t="str">
        <x:v>RETAIN — source-specific observation</x:v>
      </x:c>
      <x:c r="S25" s="419" t="str">
        <x:v>Not manufacturer MSRP.</x:v>
      </x:c>
      <x:c r="T25" s="419" t="str">
        <x:v>2026-07-30</x:v>
      </x:c>
    </x:row>
    <x:row r="26">
      <x:c r="A26" s="419" t="str">
        <x:v>GTD-PR-0018</x:v>
      </x:c>
      <x:c r="B26" s="419" t="str">
        <x:v>GTD-OBJ-0005</x:v>
      </x:c>
      <x:c r="C26" s="419" t="str">
        <x:v>GT</x:v>
      </x:c>
      <x:c r="D26" s="419" t="str">
        <x:v>Performer</x:v>
      </x:c>
      <x:c r="E26" s="419" t="str">
        <x:v>Complete bicycle</x:v>
      </x:c>
      <x:c r="F26" s="419" t="str">
        <x:v>Jul 1987</x:v>
      </x:c>
      <x:c r="G26" s="422" t="n">
        <x:v>199.95</x:v>
      </x:c>
      <x:c r="H26" s="419" t="str">
        <x:v>USD</x:v>
      </x:c>
      <x:c r="I26" s="419" t="str">
        <x:v>$199.95</x:v>
      </x:c>
      <x:c r="J26" s="419" t="str">
        <x:v>Advertised retailer/mail-order price</x:v>
      </x:c>
      <x:c r="K26" s="419" t="str">
        <x:v>United States publication context</x:v>
      </x:c>
      <x:c r="L26" s="419" t="str">
        <x:v>Period retailer advertisement</x:v>
      </x:c>
      <x:c r="M26" s="419" t="str">
        <x:v>Direct text/OCR; clear pair</x:v>
      </x:c>
      <x:c r="N26" s="419" t="str">
        <x:v>MEDIUM-HIGH</x:v>
      </x:c>
      <x:c r="O26" s="419" t="str">
        <x:v>https://previouspage.co.uk/magazines/BMX%20Plus/issues/244-july-nineteen-eighty-seven</x:v>
      </x:c>
      <x:c r="P26" s="419" t="str">
        <x:v>INDEX-ONLY</x:v>
      </x:c>
      <x:c r="Q26" s="419" t="str">
        <x:v>gt|performer|jul 1987|199.95|USD|https previouspage co uk magazines bmx 20plus issues 244 july nineteen eighty seven</x:v>
      </x:c>
      <x:c r="R26" s="419" t="str">
        <x:v>RETAIN — source-specific observation</x:v>
      </x:c>
      <x:c r="S26" s="419" t="str">
        <x:v>Separate seller/issue observation; do not deduplicate against August.</x:v>
      </x:c>
      <x:c r="T26" s="419" t="str">
        <x:v>2026-07-30</x:v>
      </x:c>
    </x:row>
    <x:row r="27">
      <x:c r="A27" s="419" t="str">
        <x:v>GTD-PR-0019</x:v>
      </x:c>
      <x:c r="B27" s="419" t="str">
        <x:v>GTD-OBJ-0005</x:v>
      </x:c>
      <x:c r="C27" s="419" t="str">
        <x:v>GT</x:v>
      </x:c>
      <x:c r="D27" s="419" t="str">
        <x:v>Pro Performer</x:v>
      </x:c>
      <x:c r="E27" s="419" t="str">
        <x:v>Complete bicycle</x:v>
      </x:c>
      <x:c r="F27" s="419" t="str">
        <x:v>Jul 1987</x:v>
      </x:c>
      <x:c r="G27" s="422" t="n">
        <x:v>289.95</x:v>
      </x:c>
      <x:c r="H27" s="419" t="str">
        <x:v>USD</x:v>
      </x:c>
      <x:c r="I27" s="419" t="str">
        <x:v>$289.95</x:v>
      </x:c>
      <x:c r="J27" s="419" t="str">
        <x:v>Advertised retailer/mail-order price</x:v>
      </x:c>
      <x:c r="K27" s="419" t="str">
        <x:v>United States publication context</x:v>
      </x:c>
      <x:c r="L27" s="419" t="str">
        <x:v>Period retailer advertisement</x:v>
      </x:c>
      <x:c r="M27" s="419" t="str">
        <x:v>Direct text/OCR; clear pair</x:v>
      </x:c>
      <x:c r="N27" s="419" t="str">
        <x:v>MEDIUM-HIGH</x:v>
      </x:c>
      <x:c r="O27" s="419" t="str">
        <x:v>https://previouspage.co.uk/magazines/BMX%20Plus/issues/244-july-nineteen-eighty-seven</x:v>
      </x:c>
      <x:c r="P27" s="419" t="str">
        <x:v>INDEX-ONLY</x:v>
      </x:c>
      <x:c r="Q27" s="419" t="str">
        <x:v>gt|pro performer|jul 1987|289.95|USD|https previouspage co uk magazines bmx 20plus issues 244 july nineteen eighty seven</x:v>
      </x:c>
      <x:c r="R27" s="419" t="str">
        <x:v>RETAIN — source-specific observation</x:v>
      </x:c>
      <x:c r="S27" s="419" t="str">
        <x:v>Not manufacturer MSRP.</x:v>
      </x:c>
      <x:c r="T27" s="419" t="str">
        <x:v>2026-07-30</x:v>
      </x:c>
    </x:row>
    <x:row r="28">
      <x:c r="A28" s="419" t="str">
        <x:v>GTD-PR-0020</x:v>
      </x:c>
      <x:c r="B28" s="419" t="str">
        <x:v>GTD-OBJ-0005</x:v>
      </x:c>
      <x:c r="C28" s="419" t="str">
        <x:v>GT</x:v>
      </x:c>
      <x:c r="D28" s="419" t="str">
        <x:v>Pro World Tour</x:v>
      </x:c>
      <x:c r="E28" s="419" t="str">
        <x:v>Complete bicycle</x:v>
      </x:c>
      <x:c r="F28" s="419" t="str">
        <x:v>Jul 1987</x:v>
      </x:c>
      <x:c r="G28" s="422" t="n">
        <x:v>344.95</x:v>
      </x:c>
      <x:c r="H28" s="419" t="str">
        <x:v>USD</x:v>
      </x:c>
      <x:c r="I28" s="419" t="str">
        <x:v>$344.95</x:v>
      </x:c>
      <x:c r="J28" s="419" t="str">
        <x:v>Advertised retailer/mail-order price</x:v>
      </x:c>
      <x:c r="K28" s="419" t="str">
        <x:v>United States publication context</x:v>
      </x:c>
      <x:c r="L28" s="419" t="str">
        <x:v>Period retailer advertisement</x:v>
      </x:c>
      <x:c r="M28" s="419" t="str">
        <x:v>Direct text/OCR; clear pair</x:v>
      </x:c>
      <x:c r="N28" s="419" t="str">
        <x:v>MEDIUM-HIGH</x:v>
      </x:c>
      <x:c r="O28" s="419" t="str">
        <x:v>https://previouspage.co.uk/magazines/BMX%20Plus/issues/244-july-nineteen-eighty-seven</x:v>
      </x:c>
      <x:c r="P28" s="419" t="str">
        <x:v>INDEX-ONLY</x:v>
      </x:c>
      <x:c r="Q28" s="419" t="str">
        <x:v>gt|pro world tour|jul 1987|344.95|USD|https previouspage co uk magazines bmx 20plus issues 244 july nineteen eighty seven</x:v>
      </x:c>
      <x:c r="R28" s="419" t="str">
        <x:v>RETAIN — source-specific observation</x:v>
      </x:c>
      <x:c r="S28" s="419" t="str">
        <x:v>Not manufacturer MSRP.</x:v>
      </x:c>
      <x:c r="T28" s="419" t="str">
        <x:v>2026-07-30</x:v>
      </x:c>
    </x:row>
    <x:row r="29">
      <x:c r="A29" s="419" t="str">
        <x:v>GTD-PR-0021</x:v>
      </x:c>
      <x:c r="B29" s="419" t="str">
        <x:v>GTD-OBJ-0005</x:v>
      </x:c>
      <x:c r="C29" s="419" t="str">
        <x:v>GT</x:v>
      </x:c>
      <x:c r="D29" s="419" t="str">
        <x:v>Mach 1</x:v>
      </x:c>
      <x:c r="E29" s="419" t="str">
        <x:v>Complete bicycle</x:v>
      </x:c>
      <x:c r="F29" s="419" t="str">
        <x:v>Jul 1987</x:v>
      </x:c>
      <x:c r="G29" s="422" t="n">
        <x:v>214.95</x:v>
      </x:c>
      <x:c r="H29" s="419" t="str">
        <x:v>USD</x:v>
      </x:c>
      <x:c r="I29" s="419" t="str">
        <x:v>$214.95</x:v>
      </x:c>
      <x:c r="J29" s="419" t="str">
        <x:v>Advertised retailer/mail-order price</x:v>
      </x:c>
      <x:c r="K29" s="419" t="str">
        <x:v>United States publication context</x:v>
      </x:c>
      <x:c r="L29" s="419" t="str">
        <x:v>Period retailer advertisement</x:v>
      </x:c>
      <x:c r="M29" s="419" t="str">
        <x:v>Direct text/OCR; clear pair</x:v>
      </x:c>
      <x:c r="N29" s="419" t="str">
        <x:v>MEDIUM-HIGH</x:v>
      </x:c>
      <x:c r="O29" s="419" t="str">
        <x:v>https://previouspage.co.uk/magazines/BMX%20Plus/issues/244-july-nineteen-eighty-seven</x:v>
      </x:c>
      <x:c r="P29" s="419" t="str">
        <x:v>INDEX-ONLY</x:v>
      </x:c>
      <x:c r="Q29" s="419" t="str">
        <x:v>gt|mach 1|jul 1987|214.95|USD|https previouspage co uk magazines bmx 20plus issues 244 july nineteen eighty seven</x:v>
      </x:c>
      <x:c r="R29" s="419" t="str">
        <x:v>RETAIN — source-specific observation</x:v>
      </x:c>
      <x:c r="S29" s="419" t="str">
        <x:v>Separate seller/issue observation.</x:v>
      </x:c>
      <x:c r="T29" s="419" t="str">
        <x:v>2026-07-30</x:v>
      </x:c>
    </x:row>
    <x:row r="30">
      <x:c r="A30" s="419" t="str">
        <x:v>HAR-PR-0001</x:v>
      </x:c>
      <x:c r="B30" s="419" t="str">
        <x:v>GTD-OBJ-0004</x:v>
      </x:c>
      <x:c r="C30" s="419" t="str">
        <x:v>Haro</x:v>
      </x:c>
      <x:c r="D30" s="419" t="str">
        <x:v>Shredder</x:v>
      </x:c>
      <x:c r="E30" s="419" t="str">
        <x:v>Complete bicycle</x:v>
      </x:c>
      <x:c r="F30" s="419" t="str">
        <x:v>Aug 1987</x:v>
      </x:c>
      <x:c r="G30" s="422" t="n">
        <x:v>169</x:v>
      </x:c>
      <x:c r="H30" s="419" t="str">
        <x:v>USD</x:v>
      </x:c>
      <x:c r="I30" s="419" t="str">
        <x:v>$169</x:v>
      </x:c>
      <x:c r="J30" s="419" t="str">
        <x:v>Advertised retailer/mail-order price</x:v>
      </x:c>
      <x:c r="K30" s="419" t="str">
        <x:v>United States publication context</x:v>
      </x:c>
      <x:c r="L30" s="419" t="str">
        <x:v>Period retailer advertisement</x:v>
      </x:c>
      <x:c r="M30" s="419" t="str">
        <x:v>Direct text/OCR; clear pair</x:v>
      </x:c>
      <x:c r="N30" s="419" t="str">
        <x:v>MEDIUM-HIGH</x:v>
      </x:c>
      <x:c r="O30" s="419" t="str">
        <x:v>https://previouspage.co.uk/issues/245-august-nineteen-eighty-seven</x:v>
      </x:c>
      <x:c r="P30" s="419" t="str">
        <x:v>INDEX-ONLY</x:v>
      </x:c>
      <x:c r="Q30" s="419" t="str">
        <x:v>haro|shredder|aug 1987|169|USD|https previouspage co uk issues 245 august nineteen eighty seven</x:v>
      </x:c>
      <x:c r="R30" s="419" t="str">
        <x:v>RETAIN — source-specific observation</x:v>
      </x:c>
      <x:c r="S30" s="419" t="str">
        <x:v>Pre-1990 benchmark; not catalog MSRP.</x:v>
      </x:c>
      <x:c r="T30" s="419" t="str">
        <x:v>2026-07-30</x:v>
      </x:c>
    </x:row>
    <x:row r="31">
      <x:c r="A31" s="419" t="str">
        <x:v>HAR-PR-0002</x:v>
      </x:c>
      <x:c r="B31" s="419" t="str">
        <x:v>GTD-OBJ-0004</x:v>
      </x:c>
      <x:c r="C31" s="419" t="str">
        <x:v>Haro</x:v>
      </x:c>
      <x:c r="D31" s="419" t="str">
        <x:v>Invert</x:v>
      </x:c>
      <x:c r="E31" s="419" t="str">
        <x:v>Complete bicycle</x:v>
      </x:c>
      <x:c r="F31" s="419" t="str">
        <x:v>Aug 1987</x:v>
      </x:c>
      <x:c r="G31" s="422" t="n">
        <x:v>219</x:v>
      </x:c>
      <x:c r="H31" s="419" t="str">
        <x:v>USD</x:v>
      </x:c>
      <x:c r="I31" s="419" t="str">
        <x:v>$219</x:v>
      </x:c>
      <x:c r="J31" s="419" t="str">
        <x:v>Advertised retailer/mail-order price</x:v>
      </x:c>
      <x:c r="K31" s="419" t="str">
        <x:v>United States publication context</x:v>
      </x:c>
      <x:c r="L31" s="419" t="str">
        <x:v>Period retailer advertisement</x:v>
      </x:c>
      <x:c r="M31" s="419" t="str">
        <x:v>Direct text/OCR; clear pair</x:v>
      </x:c>
      <x:c r="N31" s="419" t="str">
        <x:v>MEDIUM-HIGH</x:v>
      </x:c>
      <x:c r="O31" s="419" t="str">
        <x:v>https://previouspage.co.uk/issues/245-august-nineteen-eighty-seven</x:v>
      </x:c>
      <x:c r="P31" s="419" t="str">
        <x:v>INDEX-ONLY</x:v>
      </x:c>
      <x:c r="Q31" s="419" t="str">
        <x:v>haro|invert|aug 1987|219|USD|https previouspage co uk issues 245 august nineteen eighty seven</x:v>
      </x:c>
      <x:c r="R31" s="419" t="str">
        <x:v>RETAIN — source-specific observation</x:v>
      </x:c>
      <x:c r="S31" s="419" t="str">
        <x:v>Pre-1990 benchmark; not catalog MSRP.</x:v>
      </x:c>
      <x:c r="T31" s="419" t="str">
        <x:v>2026-07-30</x:v>
      </x:c>
    </x:row>
    <x:row r="32">
      <x:c r="A32" s="419" t="str">
        <x:v>HAR-PR-0003</x:v>
      </x:c>
      <x:c r="B32" s="419" t="str">
        <x:v>GTD-OBJ-0004</x:v>
      </x:c>
      <x:c r="C32" s="419" t="str">
        <x:v>Haro</x:v>
      </x:c>
      <x:c r="D32" s="419" t="str">
        <x:v>Master</x:v>
      </x:c>
      <x:c r="E32" s="419" t="str">
        <x:v>Complete bicycle</x:v>
      </x:c>
      <x:c r="F32" s="419" t="str">
        <x:v>Aug 1987</x:v>
      </x:c>
      <x:c r="G32" s="422" t="n">
        <x:v>309</x:v>
      </x:c>
      <x:c r="H32" s="419" t="str">
        <x:v>USD</x:v>
      </x:c>
      <x:c r="I32" s="419" t="str">
        <x:v>$309</x:v>
      </x:c>
      <x:c r="J32" s="419" t="str">
        <x:v>Advertised retailer/mail-order price</x:v>
      </x:c>
      <x:c r="K32" s="419" t="str">
        <x:v>United States publication context</x:v>
      </x:c>
      <x:c r="L32" s="419" t="str">
        <x:v>Period retailer advertisement</x:v>
      </x:c>
      <x:c r="M32" s="419" t="str">
        <x:v>Direct text/OCR; clear pair</x:v>
      </x:c>
      <x:c r="N32" s="419" t="str">
        <x:v>MEDIUM-HIGH</x:v>
      </x:c>
      <x:c r="O32" s="419" t="str">
        <x:v>https://previouspage.co.uk/issues/245-august-nineteen-eighty-seven</x:v>
      </x:c>
      <x:c r="P32" s="419" t="str">
        <x:v>INDEX-ONLY</x:v>
      </x:c>
      <x:c r="Q32" s="419" t="str">
        <x:v>haro|master|aug 1987|309|USD|https previouspage co uk issues 245 august nineteen eighty seven</x:v>
      </x:c>
      <x:c r="R32" s="419" t="str">
        <x:v>RETAIN — source-specific observation</x:v>
      </x:c>
      <x:c r="S32" s="419" t="str">
        <x:v>Pre-1990 benchmark; not catalog MSRP.</x:v>
      </x:c>
      <x:c r="T32" s="419" t="str">
        <x:v>2026-07-30</x:v>
      </x:c>
    </x:row>
    <x:row r="33">
      <x:c r="A33" s="419" t="str">
        <x:v>HAR-PR-0004</x:v>
      </x:c>
      <x:c r="B33" s="419" t="str">
        <x:v>GTD-OBJ-0004</x:v>
      </x:c>
      <x:c r="C33" s="419" t="str">
        <x:v>Haro</x:v>
      </x:c>
      <x:c r="D33" s="419" t="str">
        <x:v>Team Master</x:v>
      </x:c>
      <x:c r="E33" s="419" t="str">
        <x:v>Complete bicycle</x:v>
      </x:c>
      <x:c r="F33" s="419" t="str">
        <x:v>Aug 1987</x:v>
      </x:c>
      <x:c r="G33" s="422" t="n">
        <x:v>529</x:v>
      </x:c>
      <x:c r="H33" s="419" t="str">
        <x:v>USD</x:v>
      </x:c>
      <x:c r="I33" s="419" t="str">
        <x:v>$529</x:v>
      </x:c>
      <x:c r="J33" s="419" t="str">
        <x:v>Advertised retailer/mail-order price</x:v>
      </x:c>
      <x:c r="K33" s="419" t="str">
        <x:v>United States publication context</x:v>
      </x:c>
      <x:c r="L33" s="419" t="str">
        <x:v>Period retailer advertisement</x:v>
      </x:c>
      <x:c r="M33" s="419" t="str">
        <x:v>Direct text/OCR; clear pair</x:v>
      </x:c>
      <x:c r="N33" s="419" t="str">
        <x:v>MEDIUM-HIGH</x:v>
      </x:c>
      <x:c r="O33" s="419" t="str">
        <x:v>https://previouspage.co.uk/issues/245-august-nineteen-eighty-seven</x:v>
      </x:c>
      <x:c r="P33" s="419" t="str">
        <x:v>INDEX-ONLY</x:v>
      </x:c>
      <x:c r="Q33" s="419" t="str">
        <x:v>haro|team master|aug 1987|529|USD|https previouspage co uk issues 245 august nineteen eighty seven</x:v>
      </x:c>
      <x:c r="R33" s="419" t="str">
        <x:v>RETAIN — source-specific observation</x:v>
      </x:c>
      <x:c r="S33" s="419" t="str">
        <x:v>Pre-1990 benchmark; not catalog MSRP.</x:v>
      </x:c>
      <x:c r="T33" s="419" t="str">
        <x:v>2026-07-30</x:v>
      </x:c>
    </x:row>
    <x:row r="34">
      <x:c r="A34" s="419" t="str">
        <x:v>HAR-PR-0005</x:v>
      </x:c>
      <x:c r="B34" s="419" t="str">
        <x:v>HAR-OBJ-0008</x:v>
      </x:c>
      <x:c r="C34" s="419" t="str">
        <x:v>Haro/Fusion</x:v>
      </x:c>
      <x:c r="D34" s="419" t="str">
        <x:v>1991 catalog mailer</x:v>
      </x:c>
      <x:c r="E34" s="419" t="str">
        <x:v>Catalog / information pack</x:v>
      </x:c>
      <x:c r="F34" s="419" t="str">
        <x:v>Nov 1991</x:v>
      </x:c>
      <x:c r="G34" s="422" t="n">
        <x:v>2</x:v>
      </x:c>
      <x:c r="H34" s="419" t="str">
        <x:v>USD</x:v>
      </x:c>
      <x:c r="I34" s="419" t="str">
        <x:v>$2</x:v>
      </x:c>
      <x:c r="J34" s="419" t="str">
        <x:v>Catalog request fee</x:v>
      </x:c>
      <x:c r="K34" s="419" t="str">
        <x:v>United States</x:v>
      </x:c>
      <x:c r="L34" s="419" t="str">
        <x:v>Period catalog mailer</x:v>
      </x:c>
      <x:c r="M34" s="419" t="str">
        <x:v>Direct indexed text</x:v>
      </x:c>
      <x:c r="N34" s="419" t="str">
        <x:v>HIGH</x:v>
      </x:c>
      <x:c r="O34" s="419" t="str">
        <x:v>https://www.previouspage.co.uk/issues/131-november-nineteen-ninety-one</x:v>
      </x:c>
      <x:c r="P34" s="419" t="str">
        <x:v>INDEX-ONLY</x:v>
      </x:c>
      <x:c r="Q34" s="419" t="str">
        <x:v>haro fusion|1991 catalog mailer|nov 1991|2|USD|https www previouspage co uk issues 131 november nineteen ninety one</x:v>
      </x:c>
      <x:c r="R34" s="419" t="str">
        <x:v>RETAIN — source-specific observation</x:v>
      </x:c>
      <x:c r="S34" s="419" t="str">
        <x:v>Catalog fee, not product price.</x:v>
      </x:c>
      <x:c r="T34" s="419" t="str">
        <x:v>2026-07-30</x:v>
      </x:c>
    </x:row>
    <x:row r="35">
      <x:c r="A35" s="419" t="str">
        <x:v>MB-PR-0001</x:v>
      </x:c>
      <x:c r="B35" s="419" t="str">
        <x:v>MB-OBJ-0007</x:v>
      </x:c>
      <x:c r="C35" s="419" t="str">
        <x:v>Mongoose</x:v>
      </x:c>
      <x:c r="D35" s="419" t="str">
        <x:v>Californian full chromoly frame</x:v>
      </x:c>
      <x:c r="E35" s="419" t="str">
        <x:v>Frame</x:v>
      </x:c>
      <x:c r="F35" s="419" t="str">
        <x:v>1985</x:v>
      </x:c>
      <x:c r="G35" s="422" t="n">
        <x:v>76.5</x:v>
      </x:c>
      <x:c r="H35" s="419" t="str">
        <x:v>AUD-LIKELY</x:v>
      </x:c>
      <x:c r="I35" s="419" t="str">
        <x:v>$76.50</x:v>
      </x:c>
      <x:c r="J35" s="419" t="str">
        <x:v>Distributor price-list figure</x:v>
      </x:c>
      <x:c r="K35" s="419" t="str">
        <x:v>Australia / Repco context</x:v>
      </x:c>
      <x:c r="L35" s="419" t="str">
        <x:v>Collector summary of period distributor list</x:v>
      </x:c>
      <x:c r="M35" s="419" t="str">
        <x:v>Transcribed public summary</x:v>
      </x:c>
      <x:c r="N35" s="419" t="str">
        <x:v>MEDIUM</x:v>
      </x:c>
      <x:c r="O35" s="419" t="str">
        <x:v>https://www.bloggingadeadhorse.com/hotfoot2.php</x:v>
      </x:c>
      <x:c r="P35" s="419" t="str">
        <x:v>INDEX-ONLY</x:v>
      </x:c>
      <x:c r="Q35" s="419" t="str">
        <x:v>mongoose|californian full chromoly frame|1985|76.5|AUD-LIKELY|https www bloggingadeadhorse com hotfoot2 php</x:v>
      </x:c>
      <x:c r="R35" s="419" t="str">
        <x:v>RETAIN — source-specific observation</x:v>
      </x:c>
      <x:c r="S35" s="419" t="str">
        <x:v>Currency likely AUD; verify scan legend.</x:v>
      </x:c>
      <x:c r="T35" s="419" t="str">
        <x:v>2026-07-30</x:v>
      </x:c>
    </x:row>
    <x:row r="36">
      <x:c r="A36" s="419" t="str">
        <x:v>MB-PR-0002</x:v>
      </x:c>
      <x:c r="B36" s="419" t="str">
        <x:v>MB-OBJ-0007</x:v>
      </x:c>
      <x:c r="C36" s="419" t="str">
        <x:v>Mongoose</x:v>
      </x:c>
      <x:c r="D36" s="419" t="str">
        <x:v>Pro Class rims</x:v>
      </x:c>
      <x:c r="E36" s="419" t="str">
        <x:v>Rims</x:v>
      </x:c>
      <x:c r="F36" s="419" t="str">
        <x:v>1985</x:v>
      </x:c>
      <x:c r="G36" s="422" t="n">
        <x:v>15.5</x:v>
      </x:c>
      <x:c r="H36" s="419" t="str">
        <x:v>AUD-LIKELY</x:v>
      </x:c>
      <x:c r="I36" s="419" t="str">
        <x:v>$15.50</x:v>
      </x:c>
      <x:c r="J36" s="419" t="str">
        <x:v>Distributor price-list figure</x:v>
      </x:c>
      <x:c r="K36" s="419" t="str">
        <x:v>Australia / Repco context</x:v>
      </x:c>
      <x:c r="L36" s="419" t="str">
        <x:v>Collector summary of period distributor list</x:v>
      </x:c>
      <x:c r="M36" s="419" t="str">
        <x:v>Transcribed public summary</x:v>
      </x:c>
      <x:c r="N36" s="419" t="str">
        <x:v>MEDIUM</x:v>
      </x:c>
      <x:c r="O36" s="419" t="str">
        <x:v>https://www.bloggingadeadhorse.com/hotfoot2.php</x:v>
      </x:c>
      <x:c r="P36" s="419" t="str">
        <x:v>INDEX-ONLY</x:v>
      </x:c>
      <x:c r="Q36" s="419" t="str">
        <x:v>mongoose|pro class rims|1985|15.5|AUD-LIKELY|https www bloggingadeadhorse com hotfoot2 php</x:v>
      </x:c>
      <x:c r="R36" s="419" t="str">
        <x:v>RETAIN — source-specific observation</x:v>
      </x:c>
      <x:c r="S36" s="419" t="str">
        <x:v>Currency likely AUD; unit/pair basis requires scan.</x:v>
      </x:c>
      <x:c r="T36" s="419" t="str">
        <x:v>2026-07-30</x:v>
      </x:c>
    </x:row>
    <x:row r="37">
      <x:c r="A37" s="419" t="str">
        <x:v>MB-PR-0003</x:v>
      </x:c>
      <x:c r="B37" s="419" t="str">
        <x:v>MB-OBJ-0007</x:v>
      </x:c>
      <x:c r="C37" s="419" t="str">
        <x:v>Mongoose</x:v>
      </x:c>
      <x:c r="D37" s="419" t="str">
        <x:v>Pad set</x:v>
      </x:c>
      <x:c r="E37" s="419" t="str">
        <x:v>Pad set</x:v>
      </x:c>
      <x:c r="F37" s="419" t="str">
        <x:v>1985</x:v>
      </x:c>
      <x:c r="G37" s="422" t="n">
        <x:v>5.65</x:v>
      </x:c>
      <x:c r="H37" s="419" t="str">
        <x:v>AUD-LIKELY</x:v>
      </x:c>
      <x:c r="I37" s="419" t="str">
        <x:v>$5.65</x:v>
      </x:c>
      <x:c r="J37" s="419" t="str">
        <x:v>Distributor price-list figure</x:v>
      </x:c>
      <x:c r="K37" s="419" t="str">
        <x:v>Australia / Repco context</x:v>
      </x:c>
      <x:c r="L37" s="419" t="str">
        <x:v>Collector summary of period distributor list</x:v>
      </x:c>
      <x:c r="M37" s="419" t="str">
        <x:v>Transcribed public summary</x:v>
      </x:c>
      <x:c r="N37" s="419" t="str">
        <x:v>MEDIUM</x:v>
      </x:c>
      <x:c r="O37" s="419" t="str">
        <x:v>https://www.bloggingadeadhorse.com/hotfoot2.php</x:v>
      </x:c>
      <x:c r="P37" s="419" t="str">
        <x:v>INDEX-ONLY</x:v>
      </x:c>
      <x:c r="Q37" s="419" t="str">
        <x:v>mongoose|pad set|1985|5.65|AUD-LIKELY|https www bloggingadeadhorse com hotfoot2 php</x:v>
      </x:c>
      <x:c r="R37" s="419" t="str">
        <x:v>RETAIN — source-specific observation</x:v>
      </x:c>
      <x:c r="S37" s="419" t="str">
        <x:v>Currency likely AUD; exact set contents unresolved.</x:v>
      </x:c>
      <x:c r="T37" s="419" t="str">
        <x:v>2026-07-30</x:v>
      </x:c>
    </x:row>
    <x:row r="38">
      <x:c r="A38" s="419" t="str">
        <x:v>MB-PR-0004</x:v>
      </x:c>
      <x:c r="B38" s="419" t="str">
        <x:v>MB-OBJ-0010</x:v>
      </x:c>
      <x:c r="C38" s="419" t="str">
        <x:v>Diamond Back</x:v>
      </x:c>
      <x:c r="D38" s="419" t="str">
        <x:v>Silver Streak</x:v>
      </x:c>
      <x:c r="E38" s="419" t="str">
        <x:v>Complete bicycle</x:v>
      </x:c>
      <x:c r="F38" s="419" t="str">
        <x:v>Sep 1982</x:v>
      </x:c>
      <x:c r="G38" s="422" t="n">
        <x:v>119.37</x:v>
      </x:c>
      <x:c r="H38" s="419" t="str">
        <x:v>GBP</x:v>
      </x:c>
      <x:c r="I38" s="419" t="str">
        <x:v>£119.37</x:v>
      </x:c>
      <x:c r="J38" s="419" t="str">
        <x:v>Advertised retailer price</x:v>
      </x:c>
      <x:c r="K38" s="419" t="str">
        <x:v>United Kingdom</x:v>
      </x:c>
      <x:c r="L38" s="419" t="str">
        <x:v>Period retailer advertisement</x:v>
      </x:c>
      <x:c r="M38" s="419" t="str">
        <x:v>Indexed text/OCR</x:v>
      </x:c>
      <x:c r="N38" s="419" t="str">
        <x:v>MEDIUM</x:v>
      </x:c>
      <x:c r="O38" s="419" t="str">
        <x:v>https://previouspage.co.uk/magazines/BMX%20Weekly/issues/213-september-nineteen-eighty-two</x:v>
      </x:c>
      <x:c r="P38" s="419" t="str">
        <x:v>INDEX-ONLY</x:v>
      </x:c>
      <x:c r="Q38" s="419" t="str">
        <x:v>diamond back|silver streak|sep 1982|119.37|GBP|https previouspage co uk magazines bmx 20weekly issues 213 september nineteen eighty two</x:v>
      </x:c>
      <x:c r="R38" s="419" t="str">
        <x:v>RETAIN — source-specific observation</x:v>
      </x:c>
      <x:c r="S38" s="419" t="str">
        <x:v>OCR alignment should be visually checked before elevation.</x:v>
      </x:c>
      <x:c r="T38" s="419" t="str">
        <x:v>2026-07-30</x:v>
      </x:c>
    </x:row>
    <x:row r="39">
      <x:c r="A39" s="419" t="str">
        <x:v>MB-PR-0005</x:v>
      </x:c>
      <x:c r="B39" s="419" t="str">
        <x:v>MB-OBJ-0010</x:v>
      </x:c>
      <x:c r="C39" s="419" t="str">
        <x:v>Diamond Back</x:v>
      </x:c>
      <x:c r="D39" s="419" t="str">
        <x:v>Silver Streak</x:v>
      </x:c>
      <x:c r="E39" s="419" t="str">
        <x:v>Complete bicycle</x:v>
      </x:c>
      <x:c r="F39" s="419" t="str">
        <x:v>Jul 1983</x:v>
      </x:c>
      <x:c r="G39" s="422" t="n">
        <x:v>195</x:v>
      </x:c>
      <x:c r="H39" s="419" t="str">
        <x:v>GBP</x:v>
      </x:c>
      <x:c r="I39" s="419" t="str">
        <x:v>£195</x:v>
      </x:c>
      <x:c r="J39" s="419" t="str">
        <x:v>Advertised retailer price</x:v>
      </x:c>
      <x:c r="K39" s="419" t="str">
        <x:v>United Kingdom</x:v>
      </x:c>
      <x:c r="L39" s="419" t="str">
        <x:v>Period retailer advertisement</x:v>
      </x:c>
      <x:c r="M39" s="419" t="str">
        <x:v>Direct indexed text</x:v>
      </x:c>
      <x:c r="N39" s="419" t="str">
        <x:v>MEDIUM-HIGH</x:v>
      </x:c>
      <x:c r="O39" s="419" t="str">
        <x:v>https://previouspage.co.uk/magazines/BMX%20Action%20Bike/issues/62-july-nineteen-eighty-three</x:v>
      </x:c>
      <x:c r="P39" s="419" t="str">
        <x:v>INDEX-ONLY</x:v>
      </x:c>
      <x:c r="Q39" s="419" t="str">
        <x:v>diamond back|silver streak|jul 1983|195|GBP|https previouspage co uk magazines bmx 20action 20bike issues 62 july nineteen eighty three</x:v>
      </x:c>
      <x:c r="R39" s="419" t="str">
        <x:v>RETAIN — source-specific observation</x:v>
      </x:c>
      <x:c r="S39" s="419" t="str">
        <x:v>Separate seller/issue observation.</x:v>
      </x:c>
      <x:c r="T39" s="419" t="str">
        <x:v>2026-07-30</x:v>
      </x:c>
    </x:row>
    <x:row r="40">
      <x:c r="A40" s="419" t="str">
        <x:v>MB-PR-0006</x:v>
      </x:c>
      <x:c r="B40" s="419" t="str">
        <x:v>MB-OBJ-0010</x:v>
      </x:c>
      <x:c r="C40" s="419" t="str">
        <x:v>Diamond Back</x:v>
      </x:c>
      <x:c r="D40" s="419" t="str">
        <x:v>Silver Streak</x:v>
      </x:c>
      <x:c r="E40" s="419" t="str">
        <x:v>Complete bicycle</x:v>
      </x:c>
      <x:c r="F40" s="419" t="str">
        <x:v>Sep 1983</x:v>
      </x:c>
      <x:c r="G40" s="422" t="n">
        <x:v>195</x:v>
      </x:c>
      <x:c r="H40" s="419" t="str">
        <x:v>GBP</x:v>
      </x:c>
      <x:c r="I40" s="419" t="str">
        <x:v>£195</x:v>
      </x:c>
      <x:c r="J40" s="419" t="str">
        <x:v>Advertised retailer price</x:v>
      </x:c>
      <x:c r="K40" s="419" t="str">
        <x:v>United Kingdom</x:v>
      </x:c>
      <x:c r="L40" s="419" t="str">
        <x:v>Period retailer advertisement</x:v>
      </x:c>
      <x:c r="M40" s="419" t="str">
        <x:v>Direct indexed text</x:v>
      </x:c>
      <x:c r="N40" s="419" t="str">
        <x:v>MEDIUM-HIGH</x:v>
      </x:c>
      <x:c r="O40" s="419" t="str">
        <x:v>https://previouspage.co.uk/magazines/BMX%20Action%20Bike/issues/64-september-nineteen-eighty-three</x:v>
      </x:c>
      <x:c r="P40" s="419" t="str">
        <x:v>INDEX-ONLY</x:v>
      </x:c>
      <x:c r="Q40" s="419" t="str">
        <x:v>diamond back|silver streak|sep 1983|195|GBP|https previouspage co uk magazines bmx 20action 20bike issues 64 september nineteen eighty three</x:v>
      </x:c>
      <x:c r="R40" s="419" t="str">
        <x:v>RETAIN — source-specific observation</x:v>
      </x:c>
      <x:c r="S40" s="419" t="str">
        <x:v>Separate seller/issue observation.</x:v>
      </x:c>
      <x:c r="T40" s="419" t="str">
        <x:v>2026-07-30</x:v>
      </x:c>
    </x:row>
    <x:row r="41">
      <x:c r="A41" s="419" t="str">
        <x:v>MB-PR-0007</x:v>
      </x:c>
      <x:c r="B41" s="419" t="str">
        <x:v>MB-OBJ-0010</x:v>
      </x:c>
      <x:c r="C41" s="419" t="str">
        <x:v>Diamond Back</x:v>
      </x:c>
      <x:c r="D41" s="419" t="str">
        <x:v>Silver Streak</x:v>
      </x:c>
      <x:c r="E41" s="419" t="str">
        <x:v>Complete bicycle</x:v>
      </x:c>
      <x:c r="F41" s="419" t="str">
        <x:v>Oct 1983</x:v>
      </x:c>
      <x:c r="G41" s="422" t="n">
        <x:v>199</x:v>
      </x:c>
      <x:c r="H41" s="419" t="str">
        <x:v>GBP</x:v>
      </x:c>
      <x:c r="I41" s="419" t="str">
        <x:v>£199</x:v>
      </x:c>
      <x:c r="J41" s="419" t="str">
        <x:v>Advertised retailer price plus postage</x:v>
      </x:c>
      <x:c r="K41" s="419" t="str">
        <x:v>United Kingdom</x:v>
      </x:c>
      <x:c r="L41" s="419" t="str">
        <x:v>Period retailer advertisement</x:v>
      </x:c>
      <x:c r="M41" s="419" t="str">
        <x:v>Direct indexed text</x:v>
      </x:c>
      <x:c r="N41" s="419" t="str">
        <x:v>MEDIUM-HIGH</x:v>
      </x:c>
      <x:c r="O41" s="419" t="str">
        <x:v>https://previouspage.co.uk/magazines/BMX%20Action%20Bike/issues/85-october-nineteen-eighty-three</x:v>
      </x:c>
      <x:c r="P41" s="419" t="str">
        <x:v>INDEX-ONLY</x:v>
      </x:c>
      <x:c r="Q41" s="419" t="str">
        <x:v>diamond back|silver streak|oct 1983|199|GBP|https previouspage co uk magazines bmx 20action 20bike issues 85 october nineteen eighty three</x:v>
      </x:c>
      <x:c r="R41" s="419" t="str">
        <x:v>RETAIN — source-specific observation</x:v>
      </x:c>
      <x:c r="S41" s="419" t="str">
        <x:v>Postage excluded from numeric price.</x:v>
      </x:c>
      <x:c r="T41" s="419" t="str">
        <x:v>2026-07-30</x:v>
      </x:c>
    </x:row>
    <x:row r="42">
      <x:c r="A42" s="419" t="str">
        <x:v>MB-PR-0008</x:v>
      </x:c>
      <x:c r="B42" s="419" t="str">
        <x:v>MB-OBJ-0010</x:v>
      </x:c>
      <x:c r="C42" s="419" t="str">
        <x:v>Diamond Back</x:v>
      </x:c>
      <x:c r="D42" s="419" t="str">
        <x:v>Harry Leary Turbo</x:v>
      </x:c>
      <x:c r="E42" s="419" t="str">
        <x:v>Complete bicycle</x:v>
      </x:c>
      <x:c r="F42" s="419" t="str">
        <x:v>Oct 1983</x:v>
      </x:c>
      <x:c r="G42" s="422" t="n">
        <x:v>299</x:v>
      </x:c>
      <x:c r="H42" s="419" t="str">
        <x:v>GBP</x:v>
      </x:c>
      <x:c r="I42" s="419" t="str">
        <x:v>£299</x:v>
      </x:c>
      <x:c r="J42" s="419" t="str">
        <x:v>Advertised retailer price</x:v>
      </x:c>
      <x:c r="K42" s="419" t="str">
        <x:v>United Kingdom</x:v>
      </x:c>
      <x:c r="L42" s="419" t="str">
        <x:v>Period retailer advertisement</x:v>
      </x:c>
      <x:c r="M42" s="419" t="str">
        <x:v>Direct indexed text</x:v>
      </x:c>
      <x:c r="N42" s="419" t="str">
        <x:v>MEDIUM-HIGH</x:v>
      </x:c>
      <x:c r="O42" s="419" t="str">
        <x:v>https://previouspage.co.uk/magazines/BMX%20Action%20Bike/issues/85-october-nineteen-eighty-three</x:v>
      </x:c>
      <x:c r="P42" s="419" t="str">
        <x:v>INDEX-ONLY</x:v>
      </x:c>
      <x:c r="Q42" s="419" t="str">
        <x:v>diamond back|harry leary turbo|oct 1983|299|GBP|https previouspage co uk magazines bmx 20action 20bike issues 85 october nineteen eighty three</x:v>
      </x:c>
      <x:c r="R42" s="419" t="str">
        <x:v>RETAIN — source-specific observation</x:v>
      </x:c>
      <x:c r="S42" s="419" t="str">
        <x:v>Useful Lititz BMX crosswalk; not MSRP.</x:v>
      </x:c>
      <x:c r="T42" s="419" t="str">
        <x:v>2026-07-30</x:v>
      </x:c>
    </x:row>
  </x:sheetData>
  <x:mergeCells>
    <x:mergeCell ref="A1:T1"/>
    <x:mergeCell ref="A2:T2"/>
  </x:mergeCells>
  <x:conditionalFormatting sqref="R5:R42">
    <x:cfRule type="expression" dxfId="30" priority="1">
      <x:formula>LEFT(R5,3)="DUP"</x:formula>
    </x:cfRule>
  </x:conditionalFormatting>
  <x:pageMargins left="0.7" right="0.7" top="0.75" bottom="0.75" header="0.3" footer="0.3"/>
  <x:tableParts count="1">
    <x:tablePart xmlns:r="http://schemas.openxmlformats.org/officeDocument/2006/relationships" r:id="R163ac54cab9442d6"/>
  </x:tableParts>
</x:worksheet>
</file>

<file path=xl/worksheets/sheet48.xml><?xml version="1.0" encoding="utf-8"?>
<x:worksheet xmlns:x="http://schemas.openxmlformats.org/spreadsheetml/2006/main">
  <x:sheetFormatPr defaultRowHeight="15"/>
  <x:cols>
    <x:col min="1" max="1" width="13" hidden="0" customWidth="1"/>
    <x:col min="2" max="2" width="48" hidden="0" customWidth="1"/>
    <x:col min="3" max="3" width="28" hidden="0" customWidth="1"/>
    <x:col min="4" max="4" width="28" hidden="0" customWidth="1"/>
    <x:col min="5" max="5" width="38" hidden="0" customWidth="1"/>
    <x:col min="6" max="6" width="16" hidden="0" customWidth="1"/>
    <x:col min="7" max="7" width="30" hidden="0" customWidth="1"/>
    <x:col min="8" max="8" width="34" hidden="0" customWidth="1"/>
    <x:col min="9" max="9" width="20" hidden="0" customWidth="1"/>
    <x:col min="10" max="10" width="35" hidden="0" customWidth="1"/>
  </x:cols>
  <x:sheetData>
    <x:row r="1" ht="30" customHeight="1">
      <x:c r="A1" s="404" t="str">
        <x:v>v1.0 — Source &amp; Dependency Register</x:v>
      </x:c>
    </x:row>
    <x:row r="2" ht="34" customHeight="1">
      <x:c r="A2" s="408" t="str">
        <x:v>Every external dependency is retained as a plain-text URL with role, use count, default rights treatment and preservation priority.</x:v>
      </x:c>
    </x:row>
    <x:row r="4" ht="34" customHeight="1">
      <x:c r="A4" s="414" t="str">
        <x:v>Source ID</x:v>
      </x:c>
      <x:c r="B4" s="414" t="str">
        <x:v>URL</x:v>
      </x:c>
      <x:c r="C4" s="414" t="str">
        <x:v>Domain</x:v>
      </x:c>
      <x:c r="D4" s="414" t="str">
        <x:v>Stages Used</x:v>
      </x:c>
      <x:c r="E4" s="414" t="str">
        <x:v>Source Roles</x:v>
      </x:c>
      <x:c r="F4" s="414" t="str">
        <x:v>Record References</x:v>
      </x:c>
      <x:c r="G4" s="414" t="str">
        <x:v>Default Rights Treatment</x:v>
      </x:c>
      <x:c r="H4" s="414" t="str">
        <x:v>Access Route</x:v>
      </x:c>
      <x:c r="I4" s="414" t="str">
        <x:v>Preservation Priority</x:v>
      </x:c>
      <x:c r="J4" s="414" t="str">
        <x:v>Notes</x:v>
      </x:c>
    </x:row>
    <x:row r="5">
      <x:c r="A5" s="419" t="str">
        <x:v>SRC-001</x:v>
      </x:c>
      <x:c r="B5" s="419" t="str">
        <x:v>https://archive.harobikes.com/</x:v>
      </x:c>
      <x:c r="C5" s="419" t="str">
        <x:v>archive.harobikes.com</x:v>
      </x:c>
      <x:c r="D5" s="419" t="str">
        <x:v>v0.5 inherited</x:v>
      </x:c>
      <x:c r="E5" s="419" t="str">
        <x:v>Existing public knowledge register</x:v>
      </x:c>
      <x:c r="F5" s="421" t="n">
        <x:v>1</x:v>
      </x:c>
      <x:c r="G5" s="419" t="str">
        <x:v>INDEX-ONLY</x:v>
      </x:c>
      <x:c r="H5" s="419" t="str">
        <x:v>Public web/index/period archive; no technical bypass</x:v>
      </x:c>
      <x:c r="I5" s="419" t="str">
        <x:v>MEDIUM</x:v>
      </x:c>
      <x:c r="J5" s="419" t="str">
        <x:v>Ephemera object source</x:v>
      </x:c>
    </x:row>
    <x:row r="6">
      <x:c r="A6" s="419" t="str">
        <x:v>SRC-002</x:v>
      </x:c>
      <x:c r="B6" s="419" t="str">
        <x:v>https://archive.harobikes.com/bmx</x:v>
      </x:c>
      <x:c r="C6" s="419" t="str">
        <x:v>archive.harobikes.com</x:v>
      </x:c>
      <x:c r="D6" s="419" t="str">
        <x:v>v0.7</x:v>
      </x:c>
      <x:c r="E6" s="419" t="str">
        <x:v>Enthusiast catalog reconstruction; Independent period publication; Indexed enthusiast model registry; Official manufacturer archive</x:v>
      </x:c>
      <x:c r="F6" s="421" t="n">
        <x:v>7</x:v>
      </x:c>
      <x:c r="G6" s="419" t="str">
        <x:v>INDEX-ONLY</x:v>
      </x:c>
      <x:c r="H6" s="419" t="str">
        <x:v>Public web/index/period archive; no technical bypass</x:v>
      </x:c>
      <x:c r="I6" s="419" t="str">
        <x:v>HIGH</x:v>
      </x:c>
      <x:c r="J6" s="419" t="str">
        <x:v>Ephemera object source</x:v>
      </x:c>
    </x:row>
    <x:row r="7">
      <x:c r="A7" s="419" t="str">
        <x:v>SRC-003</x:v>
      </x:c>
      <x:c r="B7" s="419" t="str">
        <x:v>https://bmxmuseum.com/bikes/redline/</x:v>
      </x:c>
      <x:c r="C7" s="419" t="str">
        <x:v>bmxmuseum.com</x:v>
      </x:c>
      <x:c r="D7" s="419" t="str">
        <x:v>v0.5 inherited</x:v>
      </x:c>
      <x:c r="E7" s="419" t="str">
        <x:v>Existing public knowledge register</x:v>
      </x:c>
      <x:c r="F7" s="421" t="n">
        <x:v>1</x:v>
      </x:c>
      <x:c r="G7" s="419" t="str">
        <x:v>INDEX-ONLY</x:v>
      </x:c>
      <x:c r="H7" s="419" t="str">
        <x:v>Public web/index/period archive; no technical bypass</x:v>
      </x:c>
      <x:c r="I7" s="419" t="str">
        <x:v>MEDIUM</x:v>
      </x:c>
      <x:c r="J7" s="419" t="str">
        <x:v>Ephemera object source</x:v>
      </x:c>
    </x:row>
    <x:row r="8">
      <x:c r="A8" s="419" t="str">
        <x:v>SRC-004</x:v>
      </x:c>
      <x:c r="B8" s="419" t="str">
        <x:v>https://bmxmuseum.com/reference/1911</x:v>
      </x:c>
      <x:c r="C8" s="419" t="str">
        <x:v>bmxmuseum.com</x:v>
      </x:c>
      <x:c r="D8" s="419" t="str">
        <x:v>v0.5 inherited</x:v>
      </x:c>
      <x:c r="E8" s="419" t="str">
        <x:v>Existing public knowledge register</x:v>
      </x:c>
      <x:c r="F8" s="421" t="n">
        <x:v>1</x:v>
      </x:c>
      <x:c r="G8" s="419" t="str">
        <x:v>INDEX-ONLY</x:v>
      </x:c>
      <x:c r="H8" s="419" t="str">
        <x:v>Public web/index/period archive; no technical bypass</x:v>
      </x:c>
      <x:c r="I8" s="419" t="str">
        <x:v>MEDIUM</x:v>
      </x:c>
      <x:c r="J8" s="419" t="str">
        <x:v>Ephemera object source</x:v>
      </x:c>
    </x:row>
    <x:row r="9">
      <x:c r="A9" s="419" t="str">
        <x:v>SRC-005</x:v>
      </x:c>
      <x:c r="B9" s="419" t="str">
        <x:v>https://bmxmuseum.com/reference/5027</x:v>
      </x:c>
      <x:c r="C9" s="419" t="str">
        <x:v>bmxmuseum.com</x:v>
      </x:c>
      <x:c r="D9" s="419" t="str">
        <x:v>v0.5 inherited; v0.7</x:v>
      </x:c>
      <x:c r="E9" s="419" t="str">
        <x:v>EXACT EXTERNAL DIRECT LINK; EXTERNAL TECHNICAL INTERPRETATION; Existing public knowledge register</x:v>
      </x:c>
      <x:c r="F9" s="421" t="n">
        <x:v>4</x:v>
      </x:c>
      <x:c r="G9" s="419" t="str">
        <x:v>INDEX-ONLY</x:v>
      </x:c>
      <x:c r="H9" s="419" t="str">
        <x:v>Public web/index/period archive; no technical bypass</x:v>
      </x:c>
      <x:c r="I9" s="419" t="str">
        <x:v>HIGH</x:v>
      </x:c>
      <x:c r="J9" s="419" t="str">
        <x:v>Ephemera object source</x:v>
      </x:c>
    </x:row>
    <x:row r="10">
      <x:c r="A10" s="419" t="str">
        <x:v>SRC-006</x:v>
      </x:c>
      <x:c r="B10" s="419" t="str">
        <x:v>https://edwardkoenning.blogspot.com/2012/09/</x:v>
      </x:c>
      <x:c r="C10" s="419" t="str">
        <x:v>edwardkoenning.blogspot.com</x:v>
      </x:c>
      <x:c r="D10" s="419" t="str">
        <x:v>v0.5 inherited</x:v>
      </x:c>
      <x:c r="E10" s="419" t="str">
        <x:v>Existing public knowledge register</x:v>
      </x:c>
      <x:c r="F10" s="421" t="n">
        <x:v>1</x:v>
      </x:c>
      <x:c r="G10" s="419" t="str">
        <x:v>INDEX-ONLY</x:v>
      </x:c>
      <x:c r="H10" s="419" t="str">
        <x:v>Public web/index/period archive; no technical bypass</x:v>
      </x:c>
      <x:c r="I10" s="419" t="str">
        <x:v>MEDIUM</x:v>
      </x:c>
      <x:c r="J10" s="419" t="str">
        <x:v>Ephemera object source</x:v>
      </x:c>
    </x:row>
    <x:row r="11">
      <x:c r="A11" s="419" t="str">
        <x:v>SRC-007</x:v>
      </x:c>
      <x:c r="B11" s="419" t="str">
        <x:v>https://in.pinterest.com/pin/1011550766308215575/</x:v>
      </x:c>
      <x:c r="C11" s="419" t="str">
        <x:v>in.pinterest.com</x:v>
      </x:c>
      <x:c r="D11" s="419" t="str">
        <x:v>v0.5 inherited; v0.6</x:v>
      </x:c>
      <x:c r="E11" s="419" t="str">
        <x:v>Existing public knowledge register; GT/Dyno sequence</x:v>
      </x:c>
      <x:c r="F11" s="421" t="n">
        <x:v>2</x:v>
      </x:c>
      <x:c r="G11" s="419" t="str">
        <x:v>INDEX-ONLY</x:v>
      </x:c>
      <x:c r="H11" s="419" t="str">
        <x:v>Public web/index/period archive; no technical bypass</x:v>
      </x:c>
      <x:c r="I11" s="419" t="str">
        <x:v>MEDIUM</x:v>
      </x:c>
      <x:c r="J11" s="419" t="str">
        <x:v>Ephemera object source</x:v>
      </x:c>
    </x:row>
    <x:row r="12">
      <x:c r="A12" s="419" t="str">
        <x:v>SRC-008</x:v>
      </x:c>
      <x:c r="B12" s="419" t="str">
        <x:v>https://jmcbmx.wordpress.com/2010/02/03/81-jmc-factory-team-advertisement/</x:v>
      </x:c>
      <x:c r="C12" s="419" t="str">
        <x:v>jmcbmx.wordpress.com</x:v>
      </x:c>
      <x:c r="D12" s="419" t="str">
        <x:v>v0.5 inherited</x:v>
      </x:c>
      <x:c r="E12" s="419" t="str">
        <x:v>Existing public knowledge register</x:v>
      </x:c>
      <x:c r="F12" s="421" t="n">
        <x:v>1</x:v>
      </x:c>
      <x:c r="G12" s="419" t="str">
        <x:v>INDEX-ONLY</x:v>
      </x:c>
      <x:c r="H12" s="419" t="str">
        <x:v>Public web/index/period archive; no technical bypass</x:v>
      </x:c>
      <x:c r="I12" s="419" t="str">
        <x:v>MEDIUM</x:v>
      </x:c>
      <x:c r="J12" s="419" t="str">
        <x:v>Ephemera object source</x:v>
      </x:c>
    </x:row>
    <x:row r="13">
      <x:c r="A13" s="419" t="str">
        <x:v>SRC-009</x:v>
      </x:c>
      <x:c r="B13" s="419" t="str">
        <x:v>https://jmcbmx.wordpress.com/2010/02/03/april-1981-advertisement/</x:v>
      </x:c>
      <x:c r="C13" s="419" t="str">
        <x:v>jmcbmx.wordpress.com</x:v>
      </x:c>
      <x:c r="D13" s="419" t="str">
        <x:v>v0.5 inherited</x:v>
      </x:c>
      <x:c r="E13" s="419" t="str">
        <x:v>Existing public knowledge register</x:v>
      </x:c>
      <x:c r="F13" s="421" t="n">
        <x:v>1</x:v>
      </x:c>
      <x:c r="G13" s="419" t="str">
        <x:v>INDEX-ONLY</x:v>
      </x:c>
      <x:c r="H13" s="419" t="str">
        <x:v>Public web/index/period archive; no technical bypass</x:v>
      </x:c>
      <x:c r="I13" s="419" t="str">
        <x:v>MEDIUM</x:v>
      </x:c>
      <x:c r="J13" s="419" t="str">
        <x:v>Ephemera object source</x:v>
      </x:c>
    </x:row>
    <x:row r="14">
      <x:c r="A14" s="419" t="str">
        <x:v>SRC-010</x:v>
      </x:c>
      <x:c r="B14" s="419" t="str">
        <x:v>https://jmcbmx.wordpress.com/2010/02/03/july-1979-advertisement/</x:v>
      </x:c>
      <x:c r="C14" s="419" t="str">
        <x:v>jmcbmx.wordpress.com</x:v>
      </x:c>
      <x:c r="D14" s="419" t="str">
        <x:v>v0.5 inherited</x:v>
      </x:c>
      <x:c r="E14" s="419" t="str">
        <x:v>Existing public knowledge register</x:v>
      </x:c>
      <x:c r="F14" s="421" t="n">
        <x:v>1</x:v>
      </x:c>
      <x:c r="G14" s="419" t="str">
        <x:v>INDEX-ONLY / PERMISSION REQUIRED</x:v>
      </x:c>
      <x:c r="H14" s="419" t="str">
        <x:v>Public web/index/period archive; no technical bypass</x:v>
      </x:c>
      <x:c r="I14" s="419" t="str">
        <x:v>MEDIUM</x:v>
      </x:c>
      <x:c r="J14" s="419" t="str">
        <x:v>Ephemera object source</x:v>
      </x:c>
    </x:row>
    <x:row r="15">
      <x:c r="A15" s="419" t="str">
        <x:v>SRC-011</x:v>
      </x:c>
      <x:c r="B15" s="419" t="str">
        <x:v>https://jmcbmx.wordpress.com/about/</x:v>
      </x:c>
      <x:c r="C15" s="419" t="str">
        <x:v>jmcbmx.wordpress.com</x:v>
      </x:c>
      <x:c r="D15" s="419" t="str">
        <x:v>v0.5 inherited</x:v>
      </x:c>
      <x:c r="E15" s="419" t="str">
        <x:v>Existing public knowledge register</x:v>
      </x:c>
      <x:c r="F15" s="421" t="n">
        <x:v>1</x:v>
      </x:c>
      <x:c r="G15" s="419" t="str">
        <x:v>INDEX-ONLY</x:v>
      </x:c>
      <x:c r="H15" s="419" t="str">
        <x:v>Public web/index/period archive; no technical bypass</x:v>
      </x:c>
      <x:c r="I15" s="419" t="str">
        <x:v>MEDIUM</x:v>
      </x:c>
      <x:c r="J15" s="419" t="str">
        <x:v>Ephemera object source</x:v>
      </x:c>
    </x:row>
    <x:row r="16">
      <x:c r="A16" s="419" t="str">
        <x:v>SRC-012</x:v>
      </x:c>
      <x:c r="B16" s="419" t="str">
        <x:v>https://jmcbmx.wordpress.com/page/3/</x:v>
      </x:c>
      <x:c r="C16" s="419" t="str">
        <x:v>jmcbmx.wordpress.com</x:v>
      </x:c>
      <x:c r="D16" s="419" t="str">
        <x:v>v0.5 inherited</x:v>
      </x:c>
      <x:c r="E16" s="419" t="str">
        <x:v>Existing public knowledge register</x:v>
      </x:c>
      <x:c r="F16" s="421" t="n">
        <x:v>3</x:v>
      </x:c>
      <x:c r="G16" s="419" t="str">
        <x:v>INDEX-ONLY; INDEX-ONLY / PERMISSION REQUIRED</x:v>
      </x:c>
      <x:c r="H16" s="419" t="str">
        <x:v>Public web/index/period archive; no technical bypass</x:v>
      </x:c>
      <x:c r="I16" s="419" t="str">
        <x:v>HIGH</x:v>
      </x:c>
      <x:c r="J16" s="419" t="str">
        <x:v>Ephemera object source</x:v>
      </x:c>
    </x:row>
    <x:row r="17">
      <x:c r="A17" s="419" t="str">
        <x:v>SRC-013</x:v>
      </x:c>
      <x:c r="B17" s="419" t="str">
        <x:v>https://mx.pinterest.com/pin/430304939389697467/</x:v>
      </x:c>
      <x:c r="C17" s="419" t="str">
        <x:v>mx.pinterest.com</x:v>
      </x:c>
      <x:c r="D17" s="419" t="str">
        <x:v>v1.0 prices</x:v>
      </x:c>
      <x:c r="E17" s="419" t="str">
        <x:v>1992 GT/Dyno Product Catalog; Indexed catalog page</x:v>
      </x:c>
      <x:c r="F17" s="421" t="n">
        <x:v>2</x:v>
      </x:c>
      <x:c r="G17" s="419" t="str">
        <x:v>INDEX-ONLY</x:v>
      </x:c>
      <x:c r="H17" s="419" t="str">
        <x:v>Public web/index/period archive; no technical bypass</x:v>
      </x:c>
      <x:c r="I17" s="419" t="str">
        <x:v>MEDIUM</x:v>
      </x:c>
      <x:c r="J17" s="419" t="str">
        <x:v>Price observation source</x:v>
      </x:c>
    </x:row>
    <x:row r="18">
      <x:c r="A18" s="419" t="str">
        <x:v>SRC-014</x:v>
      </x:c>
      <x:c r="B18" s="419" t="str">
        <x:v>https://previouspage.co.uk/issues/245-august-nineteen-eighty-seven</x:v>
      </x:c>
      <x:c r="C18" s="419" t="str">
        <x:v>previouspage.co.uk</x:v>
      </x:c>
      <x:c r="D18" s="419" t="str">
        <x:v>v0.6; v0.9; v1.0 prices</x:v>
      </x:c>
      <x:c r="E18" s="419" t="str">
        <x:v>GT/Dyno sequence; Period contest entry form; Period retailer advertisement</x:v>
      </x:c>
      <x:c r="F18" s="421" t="n">
        <x:v>22</x:v>
      </x:c>
      <x:c r="G18" s="419" t="str">
        <x:v>INDEX-ONLY</x:v>
      </x:c>
      <x:c r="H18" s="419" t="str">
        <x:v>Public web/index/period archive; no technical bypass</x:v>
      </x:c>
      <x:c r="I18" s="419" t="str">
        <x:v>HIGH</x:v>
      </x:c>
      <x:c r="J18" s="419" t="str">
        <x:v>Ephemera object source; Price observation source</x:v>
      </x:c>
    </x:row>
    <x:row r="19">
      <x:c r="A19" s="419" t="str">
        <x:v>SRC-015</x:v>
      </x:c>
      <x:c r="B19" s="419" t="str">
        <x:v>https://previouspage.co.uk/magazines/BMX%20Action%20Bike/issues/13-april%2Fmay-eighty-two</x:v>
      </x:c>
      <x:c r="C19" s="419" t="str">
        <x:v>previouspage.co.uk</x:v>
      </x:c>
      <x:c r="D19" s="419" t="str">
        <x:v>v0.8; v0.9</x:v>
      </x:c>
      <x:c r="E19" s="419" t="str">
        <x:v>Period product mailer advertisement; Period publication</x:v>
      </x:c>
      <x:c r="F19" s="421" t="n">
        <x:v>3</x:v>
      </x:c>
      <x:c r="G19" s="419" t="str">
        <x:v>INDEX-ONLY</x:v>
      </x:c>
      <x:c r="H19" s="419" t="str">
        <x:v>Public web/index/period archive; no technical bypass</x:v>
      </x:c>
      <x:c r="I19" s="419" t="str">
        <x:v>HIGH</x:v>
      </x:c>
      <x:c r="J19" s="419" t="str">
        <x:v>Ephemera object source</x:v>
      </x:c>
    </x:row>
    <x:row r="20">
      <x:c r="A20" s="419" t="str">
        <x:v>SRC-016</x:v>
      </x:c>
      <x:c r="B20" s="419" t="str">
        <x:v>https://previouspage.co.uk/magazines/BMX%20Action%20Bike/issues/25-october%2Fnovember-eighty-two</x:v>
      </x:c>
      <x:c r="C20" s="419" t="str">
        <x:v>previouspage.co.uk</x:v>
      </x:c>
      <x:c r="D20" s="419" t="str">
        <x:v>v0.8</x:v>
      </x:c>
      <x:c r="E20" s="419" t="str">
        <x:v>Period publication</x:v>
      </x:c>
      <x:c r="F20" s="421" t="n">
        <x:v>1</x:v>
      </x:c>
      <x:c r="G20" s="419" t="str">
        <x:v>INDEX-ONLY</x:v>
      </x:c>
      <x:c r="H20" s="419" t="str">
        <x:v>Public web/index/period archive; no technical bypass</x:v>
      </x:c>
      <x:c r="I20" s="419" t="str">
        <x:v>MEDIUM</x:v>
      </x:c>
      <x:c r="J20" s="419" t="str">
        <x:v>Ephemera object source</x:v>
      </x:c>
    </x:row>
    <x:row r="21">
      <x:c r="A21" s="419" t="str">
        <x:v>SRC-017</x:v>
      </x:c>
      <x:c r="B21" s="419" t="str">
        <x:v>https://previouspage.co.uk/magazines/BMX%20Action%20Bike/issues/57-august%2Fseptember-eighty-two</x:v>
      </x:c>
      <x:c r="C21" s="419" t="str">
        <x:v>previouspage.co.uk</x:v>
      </x:c>
      <x:c r="D21" s="419" t="str">
        <x:v>v0.8</x:v>
      </x:c>
      <x:c r="E21" s="419" t="str">
        <x:v>Period publication</x:v>
      </x:c>
      <x:c r="F21" s="421" t="n">
        <x:v>1</x:v>
      </x:c>
      <x:c r="G21" s="419" t="str">
        <x:v>INDEX-ONLY</x:v>
      </x:c>
      <x:c r="H21" s="419" t="str">
        <x:v>Public web/index/period archive; no technical bypass</x:v>
      </x:c>
      <x:c r="I21" s="419" t="str">
        <x:v>MEDIUM</x:v>
      </x:c>
      <x:c r="J21" s="419" t="str">
        <x:v>Ephemera object source</x:v>
      </x:c>
    </x:row>
    <x:row r="22">
      <x:c r="A22" s="419" t="str">
        <x:v>SRC-018</x:v>
      </x:c>
      <x:c r="B22" s="419" t="str">
        <x:v>https://previouspage.co.uk/magazines/BMX%20Action%20Bike/issues/58-december%2Fjanuary-eighty-two</x:v>
      </x:c>
      <x:c r="C22" s="419" t="str">
        <x:v>previouspage.co.uk</x:v>
      </x:c>
      <x:c r="D22" s="419" t="str">
        <x:v>v0.9</x:v>
      </x:c>
      <x:c r="E22" s="419" t="str">
        <x:v>Period event promotion; Period magazine coupon</x:v>
      </x:c>
      <x:c r="F22" s="421" t="n">
        <x:v>2</x:v>
      </x:c>
      <x:c r="G22" s="419" t="str">
        <x:v>INDEX-ONLY</x:v>
      </x:c>
      <x:c r="H22" s="419" t="str">
        <x:v>Public web/index/period archive; no technical bypass</x:v>
      </x:c>
      <x:c r="I22" s="419" t="str">
        <x:v>MEDIUM</x:v>
      </x:c>
      <x:c r="J22" s="419" t="str">
        <x:v>Ephemera object source</x:v>
      </x:c>
    </x:row>
    <x:row r="23">
      <x:c r="A23" s="419" t="str">
        <x:v>SRC-019</x:v>
      </x:c>
      <x:c r="B23" s="419" t="str">
        <x:v>https://previouspage.co.uk/magazines/BMX%20Action%20Bike/issues/62-july-nineteen-eighty-three</x:v>
      </x:c>
      <x:c r="C23" s="419" t="str">
        <x:v>previouspage.co.uk</x:v>
      </x:c>
      <x:c r="D23" s="419" t="str">
        <x:v>v1.0 prices</x:v>
      </x:c>
      <x:c r="E23" s="419" t="str">
        <x:v>Period retailer advertisement</x:v>
      </x:c>
      <x:c r="F23" s="421" t="n">
        <x:v>1</x:v>
      </x:c>
      <x:c r="G23" s="419" t="str">
        <x:v>INDEX-ONLY</x:v>
      </x:c>
      <x:c r="H23" s="419" t="str">
        <x:v>Public web/index/period archive; no technical bypass</x:v>
      </x:c>
      <x:c r="I23" s="419" t="str">
        <x:v>MEDIUM</x:v>
      </x:c>
      <x:c r="J23" s="419" t="str">
        <x:v>Price observation source</x:v>
      </x:c>
    </x:row>
    <x:row r="24">
      <x:c r="A24" s="419" t="str">
        <x:v>SRC-020</x:v>
      </x:c>
      <x:c r="B24" s="419" t="str">
        <x:v>https://previouspage.co.uk/magazines/BMX%20Action%20Bike/issues/64-september-nineteen-eighty-three</x:v>
      </x:c>
      <x:c r="C24" s="419" t="str">
        <x:v>previouspage.co.uk</x:v>
      </x:c>
      <x:c r="D24" s="419" t="str">
        <x:v>v0.9; v1.0 prices</x:v>
      </x:c>
      <x:c r="E24" s="419" t="str">
        <x:v>Period magazine advertisement / booking form; Period retailer advertisement</x:v>
      </x:c>
      <x:c r="F24" s="421" t="n">
        <x:v>2</x:v>
      </x:c>
      <x:c r="G24" s="419" t="str">
        <x:v>INDEX-ONLY</x:v>
      </x:c>
      <x:c r="H24" s="419" t="str">
        <x:v>Public web/index/period archive; no technical bypass</x:v>
      </x:c>
      <x:c r="I24" s="419" t="str">
        <x:v>MEDIUM</x:v>
      </x:c>
      <x:c r="J24" s="419" t="str">
        <x:v>Ephemera object source; Price observation source</x:v>
      </x:c>
    </x:row>
    <x:row r="25">
      <x:c r="A25" s="419" t="str">
        <x:v>SRC-021</x:v>
      </x:c>
      <x:c r="B25" s="419" t="str">
        <x:v>https://previouspage.co.uk/magazines/BMX%20Action%20Bike/issues/85-october-nineteen-eighty-three</x:v>
      </x:c>
      <x:c r="C25" s="419" t="str">
        <x:v>previouspage.co.uk</x:v>
      </x:c>
      <x:c r="D25" s="419" t="str">
        <x:v>v0.9; v1.0 prices</x:v>
      </x:c>
      <x:c r="E25" s="419" t="str">
        <x:v>Period dealer advertisement; Period retailer advertisement</x:v>
      </x:c>
      <x:c r="F25" s="421" t="n">
        <x:v>3</x:v>
      </x:c>
      <x:c r="G25" s="419" t="str">
        <x:v>INDEX-ONLY</x:v>
      </x:c>
      <x:c r="H25" s="419" t="str">
        <x:v>Public web/index/period archive; no technical bypass</x:v>
      </x:c>
      <x:c r="I25" s="419" t="str">
        <x:v>HIGH</x:v>
      </x:c>
      <x:c r="J25" s="419" t="str">
        <x:v>Ephemera object source; Price observation source</x:v>
      </x:c>
    </x:row>
    <x:row r="26">
      <x:c r="A26" s="419" t="str">
        <x:v>SRC-022</x:v>
      </x:c>
      <x:c r="B26" s="419" t="str">
        <x:v>https://previouspage.co.uk/magazines/BMX%20Action%20Bike/issues/87-december%20%2F%20january-eighty-three</x:v>
      </x:c>
      <x:c r="C26" s="419" t="str">
        <x:v>previouspage.co.uk</x:v>
      </x:c>
      <x:c r="D26" s="419" t="str">
        <x:v>v0.9</x:v>
      </x:c>
      <x:c r="E26" s="419" t="str">
        <x:v>Period dealer advertisement</x:v>
      </x:c>
      <x:c r="F26" s="421" t="n">
        <x:v>1</x:v>
      </x:c>
      <x:c r="G26" s="419" t="str">
        <x:v>INDEX-ONLY</x:v>
      </x:c>
      <x:c r="H26" s="419" t="str">
        <x:v>Public web/index/period archive; no technical bypass</x:v>
      </x:c>
      <x:c r="I26" s="419" t="str">
        <x:v>MEDIUM</x:v>
      </x:c>
      <x:c r="J26" s="419" t="str">
        <x:v>Ephemera object source</x:v>
      </x:c>
    </x:row>
    <x:row r="27">
      <x:c r="A27" s="419" t="str">
        <x:v>SRC-023</x:v>
      </x:c>
      <x:c r="B27" s="419" t="str">
        <x:v>https://previouspage.co.uk/magazines/BMX%20Plus/issues/243-may-nineteen-eighty-seven</x:v>
      </x:c>
      <x:c r="C27" s="419" t="str">
        <x:v>previouspage.co.uk</x:v>
      </x:c>
      <x:c r="D27" s="419" t="str">
        <x:v>v0.9</x:v>
      </x:c>
      <x:c r="E27" s="419" t="str">
        <x:v>Period magazine event notice</x:v>
      </x:c>
      <x:c r="F27" s="421" t="n">
        <x:v>1</x:v>
      </x:c>
      <x:c r="G27" s="419" t="str">
        <x:v>INDEX-ONLY</x:v>
      </x:c>
      <x:c r="H27" s="419" t="str">
        <x:v>Public web/index/period archive; no technical bypass</x:v>
      </x:c>
      <x:c r="I27" s="419" t="str">
        <x:v>MEDIUM</x:v>
      </x:c>
      <x:c r="J27" s="419" t="str">
        <x:v>Ephemera object source</x:v>
      </x:c>
    </x:row>
    <x:row r="28">
      <x:c r="A28" s="419" t="str">
        <x:v>SRC-024</x:v>
      </x:c>
      <x:c r="B28" s="419" t="str">
        <x:v>https://previouspage.co.uk/magazines/BMX%20Plus/issues/244-july-nineteen-eighty-seven</x:v>
      </x:c>
      <x:c r="C28" s="419" t="str">
        <x:v>previouspage.co.uk</x:v>
      </x:c>
      <x:c r="D28" s="419" t="str">
        <x:v>v0.6; v0.9; v1.0 prices</x:v>
      </x:c>
      <x:c r="E28" s="419" t="str">
        <x:v>GT/Dyno sequence; Period event advertisement; Period magazine promotional notice; Period retailer advertisement</x:v>
      </x:c>
      <x:c r="F28" s="421" t="n">
        <x:v>7</x:v>
      </x:c>
      <x:c r="G28" s="419" t="str">
        <x:v>INDEX-ONLY</x:v>
      </x:c>
      <x:c r="H28" s="419" t="str">
        <x:v>Public web/index/period archive; no technical bypass</x:v>
      </x:c>
      <x:c r="I28" s="419" t="str">
        <x:v>HIGH</x:v>
      </x:c>
      <x:c r="J28" s="419" t="str">
        <x:v>Ephemera object source; Price observation source</x:v>
      </x:c>
    </x:row>
    <x:row r="29">
      <x:c r="A29" s="419" t="str">
        <x:v>SRC-025</x:v>
      </x:c>
      <x:c r="B29" s="419" t="str">
        <x:v>https://previouspage.co.uk/magazines/BMX%20Weekly/issues/213-september-nineteen-eighty-two</x:v>
      </x:c>
      <x:c r="C29" s="419" t="str">
        <x:v>previouspage.co.uk</x:v>
      </x:c>
      <x:c r="D29" s="419" t="str">
        <x:v>v0.9; v1.0 prices</x:v>
      </x:c>
      <x:c r="E29" s="419" t="str">
        <x:v>Period retailer advertisement</x:v>
      </x:c>
      <x:c r="F29" s="421" t="n">
        <x:v>2</x:v>
      </x:c>
      <x:c r="G29" s="419" t="str">
        <x:v>INDEX-ONLY</x:v>
      </x:c>
      <x:c r="H29" s="419" t="str">
        <x:v>Public web/index/period archive; no technical bypass</x:v>
      </x:c>
      <x:c r="I29" s="419" t="str">
        <x:v>MEDIUM</x:v>
      </x:c>
      <x:c r="J29" s="419" t="str">
        <x:v>Ephemera object source; Price observation source</x:v>
      </x:c>
    </x:row>
    <x:row r="30">
      <x:c r="A30" s="419" t="str">
        <x:v>SRC-026</x:v>
      </x:c>
      <x:c r="B30" s="419" t="str">
        <x:v>https://storage.googleapis.com/dioyjtkukhpqse/haro-bmx-catalog.html</x:v>
      </x:c>
      <x:c r="C30" s="419" t="str">
        <x:v>storage.googleapis.com</x:v>
      </x:c>
      <x:c r="D30" s="419" t="str">
        <x:v>v0.5 inherited</x:v>
      </x:c>
      <x:c r="E30" s="419" t="str">
        <x:v>Existing public knowledge register</x:v>
      </x:c>
      <x:c r="F30" s="421" t="n">
        <x:v>1</x:v>
      </x:c>
      <x:c r="G30" s="419" t="str">
        <x:v>INDEX-ONLY</x:v>
      </x:c>
      <x:c r="H30" s="419" t="str">
        <x:v>Public web/index/period archive; no technical bypass</x:v>
      </x:c>
      <x:c r="I30" s="419" t="str">
        <x:v>MEDIUM</x:v>
      </x:c>
      <x:c r="J30" s="419" t="str">
        <x:v>Ephemera object source</x:v>
      </x:c>
    </x:row>
    <x:row r="31">
      <x:c r="A31" s="419" t="str">
        <x:v>SRC-027</x:v>
      </x:c>
      <x:c r="B31" s="419" t="str">
        <x:v>https://thecabe.com/forum/threads/ashtabula-fork-identification-help.253603/</x:v>
      </x:c>
      <x:c r="C31" s="419" t="str">
        <x:v>thecabe.com</x:v>
      </x:c>
      <x:c r="D31" s="419" t="str">
        <x:v>v0.5 inherited; v0.7</x:v>
      </x:c>
      <x:c r="E31" s="419" t="str">
        <x:v>EXACT EXTERNAL DIRECT LINK; EXTERNAL TECHNICAL INTERPRETATION; Existing public knowledge register</x:v>
      </x:c>
      <x:c r="F31" s="421" t="n">
        <x:v>4</x:v>
      </x:c>
      <x:c r="G31" s="419" t="str">
        <x:v>INDEX-ONLY</x:v>
      </x:c>
      <x:c r="H31" s="419" t="str">
        <x:v>Public web/index/period archive; no technical bypass</x:v>
      </x:c>
      <x:c r="I31" s="419" t="str">
        <x:v>HIGH</x:v>
      </x:c>
      <x:c r="J31" s="419" t="str">
        <x:v>Ephemera object source</x:v>
      </x:c>
    </x:row>
    <x:row r="32">
      <x:c r="A32" s="419" t="str">
        <x:v>SRC-028</x:v>
      </x:c>
      <x:c r="B32" s="419" t="str">
        <x:v>https://torkerracing.com/blogs/news/torker-bmx-number-one-team-in-america</x:v>
      </x:c>
      <x:c r="C32" s="419" t="str">
        <x:v>torkerracing.com</x:v>
      </x:c>
      <x:c r="D32" s="419" t="str">
        <x:v>v0.8</x:v>
      </x:c>
      <x:c r="E32" s="419" t="str">
        <x:v>Current official historical archive</x:v>
      </x:c>
      <x:c r="F32" s="421" t="n">
        <x:v>1</x:v>
      </x:c>
      <x:c r="G32" s="419" t="str">
        <x:v>INDEX-ONLY</x:v>
      </x:c>
      <x:c r="H32" s="419" t="str">
        <x:v>Public web/index/period archive; no technical bypass</x:v>
      </x:c>
      <x:c r="I32" s="419" t="str">
        <x:v>MEDIUM</x:v>
      </x:c>
      <x:c r="J32" s="419" t="str">
        <x:v>Ephemera object source</x:v>
      </x:c>
    </x:row>
    <x:row r="33">
      <x:c r="A33" s="419" t="str">
        <x:v>SRC-029</x:v>
      </x:c>
      <x:c r="B33" s="419" t="str">
        <x:v>https://torkerracing.com/pages/the-fullerton-era-torker-bmx-history</x:v>
      </x:c>
      <x:c r="C33" s="419" t="str">
        <x:v>torkerracing.com</x:v>
      </x:c>
      <x:c r="D33" s="419" t="str">
        <x:v>v0.5 inherited; v0.8</x:v>
      </x:c>
      <x:c r="E33" s="419" t="str">
        <x:v>Current official historical archive; Existing public knowledge register</x:v>
      </x:c>
      <x:c r="F33" s="421" t="n">
        <x:v>3</x:v>
      </x:c>
      <x:c r="G33" s="419" t="str">
        <x:v>INDEX-ONLY</x:v>
      </x:c>
      <x:c r="H33" s="419" t="str">
        <x:v>Public web/index/period archive; no technical bypass</x:v>
      </x:c>
      <x:c r="I33" s="419" t="str">
        <x:v>HIGH</x:v>
      </x:c>
      <x:c r="J33" s="419" t="str">
        <x:v>Ephemera object source</x:v>
      </x:c>
    </x:row>
    <x:row r="34">
      <x:c r="A34" s="419" t="str">
        <x:v>SRC-030</x:v>
      </x:c>
      <x:c r="B34" s="419" t="str">
        <x:v>https://torkerracing.com/pages/torker-bmx-hall-of-fame</x:v>
      </x:c>
      <x:c r="C34" s="419" t="str">
        <x:v>torkerracing.com</x:v>
      </x:c>
      <x:c r="D34" s="419" t="str">
        <x:v>v0.8</x:v>
      </x:c>
      <x:c r="E34" s="419" t="str">
        <x:v>Current official historical archive</x:v>
      </x:c>
      <x:c r="F34" s="421" t="n">
        <x:v>1</x:v>
      </x:c>
      <x:c r="G34" s="419" t="str">
        <x:v>INDEX-ONLY</x:v>
      </x:c>
      <x:c r="H34" s="419" t="str">
        <x:v>Public web/index/period archive; no technical bypass</x:v>
      </x:c>
      <x:c r="I34" s="419" t="str">
        <x:v>MEDIUM</x:v>
      </x:c>
      <x:c r="J34" s="419" t="str">
        <x:v>Ephemera object source</x:v>
      </x:c>
    </x:row>
    <x:row r="35">
      <x:c r="A35" s="419" t="str">
        <x:v>SRC-031</x:v>
      </x:c>
      <x:c r="B35" s="419" t="str">
        <x:v>https://torkerracing.com/pages/torker-bmx-models</x:v>
      </x:c>
      <x:c r="C35" s="419" t="str">
        <x:v>torkerracing.com</x:v>
      </x:c>
      <x:c r="D35" s="419" t="str">
        <x:v>v0.8</x:v>
      </x:c>
      <x:c r="E35" s="419" t="str">
        <x:v>Current official historical archive</x:v>
      </x:c>
      <x:c r="F35" s="421" t="n">
        <x:v>2</x:v>
      </x:c>
      <x:c r="G35" s="419" t="str">
        <x:v>INDEX-ONLY</x:v>
      </x:c>
      <x:c r="H35" s="419" t="str">
        <x:v>Public web/index/period archive; no technical bypass</x:v>
      </x:c>
      <x:c r="I35" s="419" t="str">
        <x:v>MEDIUM</x:v>
      </x:c>
      <x:c r="J35" s="419" t="str">
        <x:v>Ephemera object source</x:v>
      </x:c>
    </x:row>
    <x:row r="36">
      <x:c r="A36" s="419" t="str">
        <x:v>SRC-032</x:v>
      </x:c>
      <x:c r="B36" s="419" t="str">
        <x:v>https://www.bloggingadeadhorse.com/hotfoot2.php</x:v>
      </x:c>
      <x:c r="C36" s="419" t="str">
        <x:v>www.bloggingadeadhorse.com</x:v>
      </x:c>
      <x:c r="D36" s="419" t="str">
        <x:v>v0.8; v1.0 prices</x:v>
      </x:c>
      <x:c r="E36" s="419" t="str">
        <x:v>Australian collector/research archive; Collector summary of period distributor list</x:v>
      </x:c>
      <x:c r="F36" s="421" t="n">
        <x:v>4</x:v>
      </x:c>
      <x:c r="G36" s="419" t="str">
        <x:v>INDEX-ONLY</x:v>
      </x:c>
      <x:c r="H36" s="419" t="str">
        <x:v>Public web/index/period archive; no technical bypass</x:v>
      </x:c>
      <x:c r="I36" s="419" t="str">
        <x:v>HIGH</x:v>
      </x:c>
      <x:c r="J36" s="419" t="str">
        <x:v>Ephemera object source; Price observation source</x:v>
      </x:c>
    </x:row>
    <x:row r="37">
      <x:c r="A37" s="419" t="str">
        <x:v>SRC-033</x:v>
      </x:c>
      <x:c r="B37" s="419" t="str">
        <x:v>https://www.bmx-catalogue.com/advanced-search.html</x:v>
      </x:c>
      <x:c r="C37" s="419" t="str">
        <x:v>www.bmx-catalogue.com</x:v>
      </x:c>
      <x:c r="D37" s="419" t="str">
        <x:v>v0.7</x:v>
      </x:c>
      <x:c r="E37" s="419" t="str">
        <x:v>Indexed enthusiast model registry</x:v>
      </x:c>
      <x:c r="F37" s="421" t="n">
        <x:v>1</x:v>
      </x:c>
      <x:c r="G37" s="419" t="str">
        <x:v>INDEX-ONLY</x:v>
      </x:c>
      <x:c r="H37" s="419" t="str">
        <x:v>Public web/index/period archive; no technical bypass</x:v>
      </x:c>
      <x:c r="I37" s="419" t="str">
        <x:v>MEDIUM</x:v>
      </x:c>
      <x:c r="J37" s="419" t="str">
        <x:v>Ephemera object source</x:v>
      </x:c>
    </x:row>
    <x:row r="38">
      <x:c r="A38" s="419" t="str">
        <x:v>SRC-034</x:v>
      </x:c>
      <x:c r="B38" s="419" t="str">
        <x:v>https://www.bmx-catalogue.com/haro/mid-school/1990/group-1a.html</x:v>
      </x:c>
      <x:c r="C38" s="419" t="str">
        <x:v>www.bmx-catalogue.com</x:v>
      </x:c>
      <x:c r="D38" s="419" t="str">
        <x:v>v0.7</x:v>
      </x:c>
      <x:c r="E38" s="419" t="str">
        <x:v>Enthusiast catalog reconstruction</x:v>
      </x:c>
      <x:c r="F38" s="421" t="n">
        <x:v>1</x:v>
      </x:c>
      <x:c r="G38" s="419" t="str">
        <x:v>INDEX-ONLY</x:v>
      </x:c>
      <x:c r="H38" s="419" t="str">
        <x:v>Public web/index/period archive; no technical bypass</x:v>
      </x:c>
      <x:c r="I38" s="419" t="str">
        <x:v>MEDIUM</x:v>
      </x:c>
      <x:c r="J38" s="419" t="str">
        <x:v>Ephemera object source</x:v>
      </x:c>
    </x:row>
    <x:row r="39">
      <x:c r="A39" s="419" t="str">
        <x:v>SRC-035</x:v>
      </x:c>
      <x:c r="B39" s="419" t="str">
        <x:v>https://www.bmx-catalogue.com/haro/mid-school/1990/group-1b.html</x:v>
      </x:c>
      <x:c r="C39" s="419" t="str">
        <x:v>www.bmx-catalogue.com</x:v>
      </x:c>
      <x:c r="D39" s="419" t="str">
        <x:v>v0.7</x:v>
      </x:c>
      <x:c r="E39" s="419" t="str">
        <x:v>Enthusiast catalog reconstruction</x:v>
      </x:c>
      <x:c r="F39" s="421" t="n">
        <x:v>1</x:v>
      </x:c>
      <x:c r="G39" s="419" t="str">
        <x:v>INDEX-ONLY</x:v>
      </x:c>
      <x:c r="H39" s="419" t="str">
        <x:v>Public web/index/period archive; no technical bypass</x:v>
      </x:c>
      <x:c r="I39" s="419" t="str">
        <x:v>MEDIUM</x:v>
      </x:c>
      <x:c r="J39" s="419" t="str">
        <x:v>Ephemera object source</x:v>
      </x:c>
    </x:row>
    <x:row r="40">
      <x:c r="A40" s="419" t="str">
        <x:v>SRC-036</x:v>
      </x:c>
      <x:c r="B40" s="419" t="str">
        <x:v>https://www.bmx-catalogue.com/haro/mid-school/1990/group-1c.html</x:v>
      </x:c>
      <x:c r="C40" s="419" t="str">
        <x:v>www.bmx-catalogue.com</x:v>
      </x:c>
      <x:c r="D40" s="419" t="str">
        <x:v>v0.7</x:v>
      </x:c>
      <x:c r="E40" s="419" t="str">
        <x:v>Enthusiast catalog reconstruction</x:v>
      </x:c>
      <x:c r="F40" s="421" t="n">
        <x:v>1</x:v>
      </x:c>
      <x:c r="G40" s="419" t="str">
        <x:v>INDEX-ONLY</x:v>
      </x:c>
      <x:c r="H40" s="419" t="str">
        <x:v>Public web/index/period archive; no technical bypass</x:v>
      </x:c>
      <x:c r="I40" s="419" t="str">
        <x:v>MEDIUM</x:v>
      </x:c>
      <x:c r="J40" s="419" t="str">
        <x:v>Ephemera object source</x:v>
      </x:c>
    </x:row>
    <x:row r="41">
      <x:c r="A41" s="419" t="str">
        <x:v>SRC-037</x:v>
      </x:c>
      <x:c r="B41" s="419" t="str">
        <x:v>https://www.bmx-catalogue.com/haro/mid-school/1990/invert.html</x:v>
      </x:c>
      <x:c r="C41" s="419" t="str">
        <x:v>www.bmx-catalogue.com</x:v>
      </x:c>
      <x:c r="D41" s="419" t="str">
        <x:v>v0.7</x:v>
      </x:c>
      <x:c r="E41" s="419" t="str">
        <x:v>Enthusiast catalog reconstruction</x:v>
      </x:c>
      <x:c r="F41" s="421" t="n">
        <x:v>1</x:v>
      </x:c>
      <x:c r="G41" s="419" t="str">
        <x:v>INDEX-ONLY</x:v>
      </x:c>
      <x:c r="H41" s="419" t="str">
        <x:v>Public web/index/period archive; no technical bypass</x:v>
      </x:c>
      <x:c r="I41" s="419" t="str">
        <x:v>MEDIUM</x:v>
      </x:c>
      <x:c r="J41" s="419" t="str">
        <x:v>Ephemera object source</x:v>
      </x:c>
    </x:row>
    <x:row r="42">
      <x:c r="A42" s="419" t="str">
        <x:v>SRC-038</x:v>
      </x:c>
      <x:c r="B42" s="419" t="str">
        <x:v>https://www.bmx-catalogue.com/haro/mid-school/1990/master.html</x:v>
      </x:c>
      <x:c r="C42" s="419" t="str">
        <x:v>www.bmx-catalogue.com</x:v>
      </x:c>
      <x:c r="D42" s="419" t="str">
        <x:v>v0.7</x:v>
      </x:c>
      <x:c r="E42" s="419" t="str">
        <x:v>Enthusiast catalog reconstruction</x:v>
      </x:c>
      <x:c r="F42" s="421" t="n">
        <x:v>1</x:v>
      </x:c>
      <x:c r="G42" s="419" t="str">
        <x:v>INDEX-ONLY</x:v>
      </x:c>
      <x:c r="H42" s="419" t="str">
        <x:v>Public web/index/period archive; no technical bypass</x:v>
      </x:c>
      <x:c r="I42" s="419" t="str">
        <x:v>MEDIUM</x:v>
      </x:c>
      <x:c r="J42" s="419" t="str">
        <x:v>Ephemera object source</x:v>
      </x:c>
    </x:row>
    <x:row r="43">
      <x:c r="A43" s="419" t="str">
        <x:v>SRC-039</x:v>
      </x:c>
      <x:c r="B43" s="419" t="str">
        <x:v>https://www.bmx-catalogue.com/haro/mid-school/1990/model.html</x:v>
      </x:c>
      <x:c r="C43" s="419" t="str">
        <x:v>www.bmx-catalogue.com</x:v>
      </x:c>
      <x:c r="D43" s="419" t="str">
        <x:v>v0.7</x:v>
      </x:c>
      <x:c r="E43" s="419" t="str">
        <x:v>Enthusiast catalog reconstruction; Official manufacturer archive</x:v>
      </x:c>
      <x:c r="F43" s="421" t="n">
        <x:v>2</x:v>
      </x:c>
      <x:c r="G43" s="419" t="str">
        <x:v>INDEX-ONLY</x:v>
      </x:c>
      <x:c r="H43" s="419" t="str">
        <x:v>Public web/index/period archive; no technical bypass</x:v>
      </x:c>
      <x:c r="I43" s="419" t="str">
        <x:v>MEDIUM</x:v>
      </x:c>
      <x:c r="J43" s="419" t="str">
        <x:v>Ephemera object source</x:v>
      </x:c>
    </x:row>
    <x:row r="44">
      <x:c r="A44" s="419" t="str">
        <x:v>SRC-040</x:v>
      </x:c>
      <x:c r="B44" s="419" t="str">
        <x:v>https://www.facebook.com/groups/553888658024748/posts/27080185384968381/</x:v>
      </x:c>
      <x:c r="C44" s="419" t="str">
        <x:v>www.facebook.com</x:v>
      </x:c>
      <x:c r="D44" s="419" t="str">
        <x:v>v0.5 inherited; v1.0 prices</x:v>
      </x:c>
      <x:c r="E44" s="419" t="str">
        <x:v>Existing public knowledge register; Vintage JMC Racing Equipment dealer's price list from Azusa collection</x:v>
      </x:c>
      <x:c r="F44" s="421" t="n">
        <x:v>3</x:v>
      </x:c>
      <x:c r="G44" s="419" t="str">
        <x:v>INDEX-ONLY</x:v>
      </x:c>
      <x:c r="H44" s="419" t="str">
        <x:v>Public web/index/period archive; no technical bypass</x:v>
      </x:c>
      <x:c r="I44" s="419" t="str">
        <x:v>HIGH</x:v>
      </x:c>
      <x:c r="J44" s="419" t="str">
        <x:v>Ephemera object source; Price observation source</x:v>
      </x:c>
    </x:row>
    <x:row r="45">
      <x:c r="A45" s="419" t="str">
        <x:v>SRC-041</x:v>
      </x:c>
      <x:c r="B45" s="419" t="str">
        <x:v>https://www.pinterest.com/pin/430304939389697452/</x:v>
      </x:c>
      <x:c r="C45" s="419" t="str">
        <x:v>www.pinterest.com</x:v>
      </x:c>
      <x:c r="D45" s="419" t="str">
        <x:v>v0.6; v1.0 prices</x:v>
      </x:c>
      <x:c r="E45" s="419" t="str">
        <x:v>1992 GT/Dyno Product Catalog; GT/Dyno sequence; Indexed catalog page</x:v>
      </x:c>
      <x:c r="F45" s="421" t="n">
        <x:v>3</x:v>
      </x:c>
      <x:c r="G45" s="419" t="str">
        <x:v>INDEX-ONLY</x:v>
      </x:c>
      <x:c r="H45" s="419" t="str">
        <x:v>Public web/index/period archive; no technical bypass</x:v>
      </x:c>
      <x:c r="I45" s="419" t="str">
        <x:v>HIGH</x:v>
      </x:c>
      <x:c r="J45" s="419" t="str">
        <x:v>Ephemera object source; Price observation source</x:v>
      </x:c>
    </x:row>
    <x:row r="46">
      <x:c r="A46" s="419" t="str">
        <x:v>SRC-042</x:v>
      </x:c>
      <x:c r="B46" s="419" t="str">
        <x:v>https://www.pinterest.com/pin/bmxmuseumcom-reference-1987-diacompe-182-aerial-brake-lever--731623901972849898/</x:v>
      </x:c>
      <x:c r="C46" s="419" t="str">
        <x:v>www.pinterest.com</x:v>
      </x:c>
      <x:c r="D46" s="419" t="str">
        <x:v>v0.5 inherited</x:v>
      </x:c>
      <x:c r="E46" s="419" t="str">
        <x:v>Existing public knowledge register</x:v>
      </x:c>
      <x:c r="F46" s="421" t="n">
        <x:v>1</x:v>
      </x:c>
      <x:c r="G46" s="419" t="str">
        <x:v>INDEX-ONLY</x:v>
      </x:c>
      <x:c r="H46" s="419" t="str">
        <x:v>Public web/index/period archive; no technical bypass</x:v>
      </x:c>
      <x:c r="I46" s="419" t="str">
        <x:v>MEDIUM</x:v>
      </x:c>
      <x:c r="J46" s="419" t="str">
        <x:v>Ephemera object source</x:v>
      </x:c>
    </x:row>
    <x:row r="47">
      <x:c r="A47" s="419" t="str">
        <x:v>SRC-043</x:v>
      </x:c>
      <x:c r="B47" s="419" t="str">
        <x:v>https://www.pinterest.com/pin/bmxmuseumcom-reference-1996-gtdyno-the-bmx-freestyle-catalog--491877590560035755/</x:v>
      </x:c>
      <x:c r="C47" s="419" t="str">
        <x:v>www.pinterest.com</x:v>
      </x:c>
      <x:c r="D47" s="419" t="str">
        <x:v>v0.5 inherited; v0.6</x:v>
      </x:c>
      <x:c r="E47" s="419" t="str">
        <x:v>Existing public knowledge register; GT/Dyno sequence</x:v>
      </x:c>
      <x:c r="F47" s="421" t="n">
        <x:v>2</x:v>
      </x:c>
      <x:c r="G47" s="419" t="str">
        <x:v>INDEX-ONLY</x:v>
      </x:c>
      <x:c r="H47" s="419" t="str">
        <x:v>Public web/index/period archive; no technical bypass</x:v>
      </x:c>
      <x:c r="I47" s="419" t="str">
        <x:v>MEDIUM</x:v>
      </x:c>
      <x:c r="J47" s="419" t="str">
        <x:v>Ephemera object source</x:v>
      </x:c>
    </x:row>
    <x:row r="48">
      <x:c r="A48" s="419" t="str">
        <x:v>SRC-044</x:v>
      </x:c>
      <x:c r="B48" s="419" t="str">
        <x:v>https://www.pinterest.com/pin/bmxmuseumcom-reference-1999-gtdyno-bmxfreestyle-part-2-in-2025--798192733998105769/</x:v>
      </x:c>
      <x:c r="C48" s="419" t="str">
        <x:v>www.pinterest.com</x:v>
      </x:c>
      <x:c r="D48" s="419" t="str">
        <x:v>v0.5 inherited; v0.6</x:v>
      </x:c>
      <x:c r="E48" s="419" t="str">
        <x:v>Existing public knowledge register; GT/Dyno sequence</x:v>
      </x:c>
      <x:c r="F48" s="421" t="n">
        <x:v>2</x:v>
      </x:c>
      <x:c r="G48" s="419" t="str">
        <x:v>INDEX-ONLY</x:v>
      </x:c>
      <x:c r="H48" s="419" t="str">
        <x:v>Public web/index/period archive; no technical bypass</x:v>
      </x:c>
      <x:c r="I48" s="419" t="str">
        <x:v>MEDIUM</x:v>
      </x:c>
      <x:c r="J48" s="419" t="str">
        <x:v>Ephemera object source</x:v>
      </x:c>
    </x:row>
    <x:row r="49">
      <x:c r="A49" s="419" t="str">
        <x:v>SRC-045</x:v>
      </x:c>
      <x:c r="B49" s="419" t="str">
        <x:v>https://www.pinterest.com/pin/jmc-bmx-fliers-and-price-list--442478732119429034/</x:v>
      </x:c>
      <x:c r="C49" s="419" t="str">
        <x:v>www.pinterest.com</x:v>
      </x:c>
      <x:c r="D49" s="419" t="str">
        <x:v>v0.5 inherited; v1.0 prices</x:v>
      </x:c>
      <x:c r="E49" s="419" t="str">
        <x:v>Existing public knowledge register; JMC Racing Fliers and Price List</x:v>
      </x:c>
      <x:c r="F49" s="421" t="n">
        <x:v>2</x:v>
      </x:c>
      <x:c r="G49" s="419" t="str">
        <x:v>INDEX-ONLY</x:v>
      </x:c>
      <x:c r="H49" s="419" t="str">
        <x:v>Public web/index/period archive; no technical bypass</x:v>
      </x:c>
      <x:c r="I49" s="419" t="str">
        <x:v>MEDIUM</x:v>
      </x:c>
      <x:c r="J49" s="419" t="str">
        <x:v>Ephemera object source; Price observation source</x:v>
      </x:c>
    </x:row>
    <x:row r="50">
      <x:c r="A50" s="419" t="str">
        <x:v>SRC-046</x:v>
      </x:c>
      <x:c r="B50" s="419" t="str">
        <x:v>https://www.previouspage.co.uk/issues/131-november-nineteen-ninety-one</x:v>
      </x:c>
      <x:c r="C50" s="419" t="str">
        <x:v>www.previouspage.co.uk</x:v>
      </x:c>
      <x:c r="D50" s="419" t="str">
        <x:v>v0.7; v0.9; v1.0 prices</x:v>
      </x:c>
      <x:c r="E50" s="419" t="str">
        <x:v>Independent period publication; Period catalog mailer</x:v>
      </x:c>
      <x:c r="F50" s="421" t="n">
        <x:v>3</x:v>
      </x:c>
      <x:c r="G50" s="419" t="str">
        <x:v>INDEX-ONLY</x:v>
      </x:c>
      <x:c r="H50" s="419" t="str">
        <x:v>Public web/index/period archive; no technical bypass</x:v>
      </x:c>
      <x:c r="I50" s="419" t="str">
        <x:v>HIGH</x:v>
      </x:c>
      <x:c r="J50" s="419" t="str">
        <x:v>Ephemera object source; Price observation source</x:v>
      </x:c>
    </x:row>
    <x:row r="51">
      <x:c r="A51" s="419" t="str">
        <x:v>SRC-047</x:v>
      </x:c>
      <x:c r="B51" s="419" t="str">
        <x:v>https://www.radbmx.co.uk/forum/index.php?topic=181254.0</x:v>
      </x:c>
      <x:c r="C51" s="419" t="str">
        <x:v>www.radbmx.co.uk</x:v>
      </x:c>
      <x:c r="D51" s="419" t="str">
        <x:v>v0.5 inherited</x:v>
      </x:c>
      <x:c r="E51" s="419" t="str">
        <x:v>Existing public knowledge register</x:v>
      </x:c>
      <x:c r="F51" s="421" t="n">
        <x:v>1</x:v>
      </x:c>
      <x:c r="G51" s="419" t="str">
        <x:v>INDEX-ONLY</x:v>
      </x:c>
      <x:c r="H51" s="419" t="str">
        <x:v>Public web/index/period archive; no technical bypass</x:v>
      </x:c>
      <x:c r="I51" s="419" t="str">
        <x:v>MEDIUM</x:v>
      </x:c>
      <x:c r="J51" s="419" t="str">
        <x:v>Ephemera object source</x:v>
      </x:c>
    </x:row>
    <x:row r="52">
      <x:c r="A52" s="419" t="str">
        <x:v>SRC-048</x:v>
      </x:c>
      <x:c r="B52" s="419" t="str">
        <x:v>https://www.redlinevintagebmx.com/redline-history</x:v>
      </x:c>
      <x:c r="C52" s="419" t="str">
        <x:v>www.redlinevintagebmx.com</x:v>
      </x:c>
      <x:c r="D52" s="419" t="str">
        <x:v>v0.8</x:v>
      </x:c>
      <x:c r="E52" s="419" t="str">
        <x:v>Historical brand archive; Official rider-history corroboration</x:v>
      </x:c>
      <x:c r="F52" s="421" t="n">
        <x:v>2</x:v>
      </x:c>
      <x:c r="G52" s="419" t="str">
        <x:v>INDEX-ONLY</x:v>
      </x:c>
      <x:c r="H52" s="419" t="str">
        <x:v>Public web/index/period archive; no technical bypass</x:v>
      </x:c>
      <x:c r="I52" s="419" t="str">
        <x:v>MEDIUM</x:v>
      </x:c>
      <x:c r="J52" s="419" t="str">
        <x:v>Ephemera object source</x:v>
      </x:c>
    </x:row>
    <x:row r="53">
      <x:c r="A53" s="419" t="str">
        <x:v>SRC-049</x:v>
      </x:c>
      <x:c r="B53" s="419" t="str">
        <x:v>https://www.redlinevintagebmx.com/the-rl-40-project</x:v>
      </x:c>
      <x:c r="C53" s="419" t="str">
        <x:v>www.redlinevintagebmx.com</x:v>
      </x:c>
      <x:c r="D53" s="419" t="str">
        <x:v>v0.8</x:v>
      </x:c>
      <x:c r="E53" s="419" t="str">
        <x:v>Historical brand archive</x:v>
      </x:c>
      <x:c r="F53" s="421" t="n">
        <x:v>1</x:v>
      </x:c>
      <x:c r="G53" s="419" t="str">
        <x:v>INDEX-ONLY</x:v>
      </x:c>
      <x:c r="H53" s="419" t="str">
        <x:v>Public web/index/period archive; no technical bypass</x:v>
      </x:c>
      <x:c r="I53" s="419" t="str">
        <x:v>MEDIUM</x:v>
      </x:c>
      <x:c r="J53" s="419" t="str">
        <x:v>Ephemera object source</x:v>
      </x:c>
    </x:row>
    <x:row r="54">
      <x:c r="A54" s="419" t="str">
        <x:v>SRC-050</x:v>
      </x:c>
      <x:c r="B54" s="419" t="str">
        <x:v>https://www.sebikes.com/blogs/news/classic-1</x:v>
      </x:c>
      <x:c r="C54" s="419" t="str">
        <x:v>www.sebikes.com</x:v>
      </x:c>
      <x:c r="D54" s="419" t="str">
        <x:v>v0.8</x:v>
      </x:c>
      <x:c r="E54" s="419" t="str">
        <x:v>First-person official rider page</x:v>
      </x:c>
      <x:c r="F54" s="421" t="n">
        <x:v>1</x:v>
      </x:c>
      <x:c r="G54" s="419" t="str">
        <x:v>INDEX-ONLY</x:v>
      </x:c>
      <x:c r="H54" s="419" t="str">
        <x:v>Public web/index/period archive; no technical bypass</x:v>
      </x:c>
      <x:c r="I54" s="419" t="str">
        <x:v>MEDIUM</x:v>
      </x:c>
      <x:c r="J54" s="419" t="str">
        <x:v>Ephemera object source</x:v>
      </x:c>
    </x:row>
    <x:row r="55">
      <x:c r="A55" s="419" t="str">
        <x:v>SRC-051</x:v>
      </x:c>
      <x:c r="B55" s="419" t="str">
        <x:v>https://www.sebikes.com/blogs/news/elite-race-series</x:v>
      </x:c>
      <x:c r="C55" s="419" t="str">
        <x:v>www.sebikes.com</x:v>
      </x:c>
      <x:c r="D55" s="419" t="str">
        <x:v>v0.8</x:v>
      </x:c>
      <x:c r="E55" s="419" t="str">
        <x:v>Current official brand history</x:v>
      </x:c>
      <x:c r="F55" s="421" t="n">
        <x:v>1</x:v>
      </x:c>
      <x:c r="G55" s="419" t="str">
        <x:v>INDEX-ONLY</x:v>
      </x:c>
      <x:c r="H55" s="419" t="str">
        <x:v>Public web/index/period archive; no technical bypass</x:v>
      </x:c>
      <x:c r="I55" s="419" t="str">
        <x:v>MEDIUM</x:v>
      </x:c>
      <x:c r="J55" s="419" t="str">
        <x:v>Ephemera object source</x:v>
      </x:c>
    </x:row>
    <x:row r="56">
      <x:c r="A56" s="419" t="str">
        <x:v>SRC-052</x:v>
      </x:c>
      <x:c r="B56" s="419" t="str">
        <x:v>https://www.sebikes.com/pages/perry-kramer</x:v>
      </x:c>
      <x:c r="C56" s="419" t="str">
        <x:v>www.sebikes.com</x:v>
      </x:c>
      <x:c r="D56" s="419" t="str">
        <x:v>v0.8</x:v>
      </x:c>
      <x:c r="E56" s="419" t="str">
        <x:v>Current official brand history; First-person official rider page</x:v>
      </x:c>
      <x:c r="F56" s="421" t="n">
        <x:v>2</x:v>
      </x:c>
      <x:c r="G56" s="419" t="str">
        <x:v>INDEX-ONLY</x:v>
      </x:c>
      <x:c r="H56" s="419" t="str">
        <x:v>Public web/index/period archive; no technical bypass</x:v>
      </x:c>
      <x:c r="I56" s="419" t="str">
        <x:v>MEDIUM</x:v>
      </x:c>
      <x:c r="J56" s="419" t="str">
        <x:v>Ephemera object source</x:v>
      </x:c>
    </x:row>
    <x:row r="57">
      <x:c r="A57" s="419" t="str">
        <x:v>SRC-053</x:v>
      </x:c>
      <x:c r="B57" s="419" t="str">
        <x:v>https://www.usabmx.com/news-and-media/6/2012-05-10/National-BMX-Hall-of-Fame-2012-Inductees-Announced?id=580</x:v>
      </x:c>
      <x:c r="C57" s="419" t="str">
        <x:v>www.usabmx.com</x:v>
      </x:c>
      <x:c r="D57" s="419" t="str">
        <x:v>v0.5 inherited; v0.8</x:v>
      </x:c>
      <x:c r="E57" s="419" t="str">
        <x:v>Existing public knowledge register; Official rider-history corroboration</x:v>
      </x:c>
      <x:c r="F57" s="421" t="n">
        <x:v>2</x:v>
      </x:c>
      <x:c r="G57" s="419" t="str">
        <x:v>INDEX-ONLY</x:v>
      </x:c>
      <x:c r="H57" s="419" t="str">
        <x:v>Public web/index/period archive; no technical bypass</x:v>
      </x:c>
      <x:c r="I57" s="419" t="str">
        <x:v>MEDIUM</x:v>
      </x:c>
      <x:c r="J57" s="419" t="str">
        <x:v>Ephemera object source</x:v>
      </x:c>
    </x:row>
    <x:row r="58">
      <x:c r="A58" s="419" t="str">
        <x:v>SRC-054</x:v>
      </x:c>
      <x:c r="B58" s="419" t="str">
        <x:v>https://www.vintagemongoose.com/</x:v>
      </x:c>
      <x:c r="C58" s="419" t="str">
        <x:v>www.vintagemongoose.com</x:v>
      </x:c>
      <x:c r="D58" s="419" t="str">
        <x:v>v0.8</x:v>
      </x:c>
      <x:c r="E58" s="419" t="str">
        <x:v>Australian collector/research archive; Specialist historical archive</x:v>
      </x:c>
      <x:c r="F58" s="421" t="n">
        <x:v>2</x:v>
      </x:c>
      <x:c r="G58" s="419" t="str">
        <x:v>INDEX-ONLY</x:v>
      </x:c>
      <x:c r="H58" s="419" t="str">
        <x:v>Public web/index/period archive; no technical bypass</x:v>
      </x:c>
      <x:c r="I58" s="419" t="str">
        <x:v>MEDIUM</x:v>
      </x:c>
      <x:c r="J58" s="419" t="str">
        <x:v>Ephemera object source</x:v>
      </x:c>
    </x:row>
    <x:row r="59">
      <x:c r="A59" s="419" t="str">
        <x:v>SRC-055</x:v>
      </x:c>
      <x:c r="B59" s="419" t="str">
        <x:v>https://www.vintagemongoose.com/info/catalogs.php</x:v>
      </x:c>
      <x:c r="C59" s="419" t="str">
        <x:v>www.vintagemongoose.com</x:v>
      </x:c>
      <x:c r="D59" s="419" t="str">
        <x:v>v0.7; v0.8</x:v>
      </x:c>
      <x:c r="E59" s="419" t="str">
        <x:v>PERIOD CATALOG PAGE; Period catalog PDF; Specialist historical archive</x:v>
      </x:c>
      <x:c r="F59" s="421" t="n">
        <x:v>5</x:v>
      </x:c>
      <x:c r="G59" s="419" t="str">
        <x:v>INDEX-ONLY</x:v>
      </x:c>
      <x:c r="H59" s="419" t="str">
        <x:v>Public web/index/period archive; no technical bypass</x:v>
      </x:c>
      <x:c r="I59" s="419" t="str">
        <x:v>HIGH</x:v>
      </x:c>
      <x:c r="J59" s="419" t="str">
        <x:v>Ephemera object source</x:v>
      </x:c>
    </x:row>
    <x:row r="60">
      <x:c r="A60" s="419" t="str">
        <x:v>SRC-056</x:v>
      </x:c>
      <x:c r="B60" s="419" t="str">
        <x:v>https://www.vintagemongoose.com/pdfs/mongoose_cat76-77.pdf</x:v>
      </x:c>
      <x:c r="C60" s="419" t="str">
        <x:v>www.vintagemongoose.com</x:v>
      </x:c>
      <x:c r="D60" s="419" t="str">
        <x:v>v0.7; v0.8</x:v>
      </x:c>
      <x:c r="E60" s="419" t="str">
        <x:v>PERIOD CATALOG PAGE; Period catalog PDF</x:v>
      </x:c>
      <x:c r="F60" s="421" t="n">
        <x:v>2</x:v>
      </x:c>
      <x:c r="G60" s="419" t="str">
        <x:v>INDEX-ONLY</x:v>
      </x:c>
      <x:c r="H60" s="419" t="str">
        <x:v>Public web/index/period archive; no technical bypass</x:v>
      </x:c>
      <x:c r="I60" s="419" t="str">
        <x:v>MEDIUM</x:v>
      </x:c>
      <x:c r="J60" s="419" t="str">
        <x:v>Ephemera object source</x:v>
      </x:c>
    </x:row>
    <x:row r="61">
      <x:c r="A61" s="419" t="str">
        <x:v>SRC-057</x:v>
      </x:c>
      <x:c r="B61" s="419" t="str">
        <x:v>https://www.vintagemongoose.com/pdfs/mongoose_cat79-80.pdf</x:v>
      </x:c>
      <x:c r="C61" s="419" t="str">
        <x:v>www.vintagemongoose.com</x:v>
      </x:c>
      <x:c r="D61" s="419" t="str">
        <x:v>v0.7; v0.8</x:v>
      </x:c>
      <x:c r="E61" s="419" t="str">
        <x:v>PERIOD CATALOG PAGE; Period catalog PDF</x:v>
      </x:c>
      <x:c r="F61" s="421" t="n">
        <x:v>2</x:v>
      </x:c>
      <x:c r="G61" s="419" t="str">
        <x:v>INDEX-ONLY</x:v>
      </x:c>
      <x:c r="H61" s="419" t="str">
        <x:v>Public web/index/period archive; no technical bypass</x:v>
      </x:c>
      <x:c r="I61" s="419" t="str">
        <x:v>MEDIUM</x:v>
      </x:c>
      <x:c r="J61" s="419" t="str">
        <x:v>Ephemera object source</x:v>
      </x:c>
    </x:row>
  </x:sheetData>
  <x:mergeCells>
    <x:mergeCell ref="A1:J1"/>
    <x:mergeCell ref="A2:J2"/>
  </x:mergeCells>
  <x:dataValidations count="1">
    <x:dataValidation type="list" sqref="I5:I61">
      <x:formula1>"HIGH,MEDIUM,LOW"</x:formula1>
    </x:dataValidation>
  </x:dataValidations>
  <x:pageMargins left="0.7" right="0.7" top="0.75" bottom="0.75" header="0.3" footer="0.3"/>
  <x:tableParts count="1">
    <x:tablePart xmlns:r="http://schemas.openxmlformats.org/officeDocument/2006/relationships" r:id="R5d29abd9b7094699"/>
  </x:tableParts>
</x:worksheet>
</file>

<file path=xl/worksheets/sheet49.xml><?xml version="1.0" encoding="utf-8"?>
<x:worksheet xmlns:x="http://schemas.openxmlformats.org/spreadsheetml/2006/main">
  <x:sheetFormatPr defaultRowHeight="15"/>
  <x:cols>
    <x:col min="1" max="1" width="14" hidden="0" customWidth="1"/>
    <x:col min="2" max="2" width="12" hidden="0" customWidth="1"/>
    <x:col min="3" max="3" width="12" hidden="0" customWidth="1"/>
    <x:col min="4" max="4" width="22" hidden="0" customWidth="1"/>
    <x:col min="5" max="5" width="25" hidden="0" customWidth="1"/>
    <x:col min="6" max="6" width="39" hidden="0" customWidth="1"/>
    <x:col min="7" max="7" width="26" hidden="0" customWidth="1"/>
    <x:col min="8" max="8" width="16" hidden="0" customWidth="1"/>
    <x:col min="9" max="9" width="14" hidden="0" customWidth="1"/>
    <x:col min="10" max="10" width="22" hidden="0" customWidth="1"/>
    <x:col min="11" max="11" width="17" hidden="0" customWidth="1"/>
    <x:col min="12" max="12" width="38" hidden="0" customWidth="1"/>
    <x:col min="13" max="13" width="25" hidden="0" customWidth="1"/>
  </x:cols>
  <x:sheetData>
    <x:row r="1" ht="30" customHeight="1">
      <x:c r="A1" s="404" t="str">
        <x:v>v1.0 — Ephemera Chronology</x:v>
      </x:c>
    </x:row>
    <x:row r="2" ht="34" customHeight="1">
      <x:c r="A2" s="408" t="str">
        <x:v>Chronology is record-based, not a single definitive brand timeline. Provisional dates and duplicate source occurrences remain visible.</x:v>
      </x:c>
    </x:row>
    <x:row r="4" ht="34" customHeight="1">
      <x:c r="A4" s="414" t="str">
        <x:v>Chronology ID</x:v>
      </x:c>
      <x:c r="B4" s="414" t="str">
        <x:v>Start Year</x:v>
      </x:c>
      <x:c r="C4" s="414" t="str">
        <x:v>End Year</x:v>
      </x:c>
      <x:c r="D4" s="414" t="str">
        <x:v>Date Text</x:v>
      </x:c>
      <x:c r="E4" s="414" t="str">
        <x:v>Brand / Promoter</x:v>
      </x:c>
      <x:c r="F4" s="414" t="str">
        <x:v>Title</x:v>
      </x:c>
      <x:c r="G4" s="414" t="str">
        <x:v>Object Type</x:v>
      </x:c>
      <x:c r="H4" s="414" t="str">
        <x:v>Source Stage</x:v>
      </x:c>
      <x:c r="I4" s="414" t="str">
        <x:v>Master ID</x:v>
      </x:c>
      <x:c r="J4" s="414" t="str">
        <x:v>Duplicate Group</x:v>
      </x:c>
      <x:c r="K4" s="414" t="str">
        <x:v>Confidence</x:v>
      </x:c>
      <x:c r="L4" s="414" t="str">
        <x:v>Source URL</x:v>
      </x:c>
      <x:c r="M4" s="414" t="str">
        <x:v>Chronology Note</x:v>
      </x:c>
    </x:row>
    <x:row r="5">
      <x:c r="A5" s="419" t="str">
        <x:v>CHR-001</x:v>
      </x:c>
      <x:c r="B5" s="421" t="n">
        <x:v>1970</x:v>
      </x:c>
      <x:c r="C5" s="421" t="n">
        <x:v>1970</x:v>
      </x:c>
      <x:c r="D5" s="419" t="str">
        <x:v>1970s; exact issue pending</x:v>
      </x:c>
      <x:c r="E5" s="419" t="str">
        <x:v>Red Line; John Palfreyman</x:v>
      </x:c>
      <x:c r="F5" s="419" t="str">
        <x:v>First Red Line magazine advertisement featuring John Palfreyman</x:v>
      </x:c>
      <x:c r="G5" s="419" t="str">
        <x:v>Magazine advertisement</x:v>
      </x:c>
      <x:c r="H5" s="419" t="str">
        <x:v>v0.5 inherited</x:v>
      </x:c>
      <x:c r="I5" s="419" t="str">
        <x:v>EPH-0010</x:v>
      </x:c>
      <x:c r="J5" s="419" t="str">
        <x:v>DUP-REDLINE-FIRST-AD</x:v>
      </x:c>
      <x:c r="K5" s="419" t="str">
        <x:v>HIGH for relationship; MEDIUM for bibliographic detail</x:v>
      </x:c>
      <x:c r="L5" s="419" t="str">
        <x:v>https://bmxmuseum.com/bikes/redline/</x:v>
      </x:c>
      <x:c r="M5" s="419" t="str">
        <x:v>Dated/period placement</x:v>
      </x:c>
    </x:row>
    <x:row r="6">
      <x:c r="A6" s="419" t="str">
        <x:v>CHR-002</x:v>
      </x:c>
      <x:c r="B6" s="421" t="n">
        <x:v>1970</x:v>
      </x:c>
      <x:c r="C6" s="421" t="n">
        <x:v>1970</x:v>
      </x:c>
      <x:c r="D6" s="419" t="str">
        <x:v>1970s; exact issue open</x:v>
      </x:c>
      <x:c r="E6" s="419" t="str">
        <x:v>Redline</x:v>
      </x:c>
      <x:c r="F6" s="419" t="str">
        <x:v>First Red Line magazine advertisement featuring John Palfreyman</x:v>
      </x:c>
      <x:c r="G6" s="419" t="str">
        <x:v>Magazine advertisement</x:v>
      </x:c>
      <x:c r="H6" s="419" t="str">
        <x:v>v0.8</x:v>
      </x:c>
      <x:c r="I6" s="419" t="str">
        <x:v>EPH-0037</x:v>
      </x:c>
      <x:c r="J6" s="419" t="str">
        <x:v>DUP-REDLINE-FIRST-AD</x:v>
      </x:c>
      <x:c r="K6" s="419" t="str">
        <x:v>HIGH for relationship; MEDIUM for object</x:v>
      </x:c>
      <x:c r="L6" s="419" t="str">
        <x:v>https://www.usabmx.com/news-and-media/6/2012-05-10/National-BMX-Hall-of-Fame-2012-Inductees-Announced?id=580</x:v>
      </x:c>
      <x:c r="M6" s="419" t="str">
        <x:v>Year is provisional</x:v>
      </x:c>
    </x:row>
    <x:row r="7">
      <x:c r="A7" s="419" t="str">
        <x:v>CHR-003</x:v>
      </x:c>
      <x:c r="B7" s="421" t="n">
        <x:v>1970</x:v>
      </x:c>
      <x:c r="C7" s="421" t="n">
        <x:v>1970</x:v>
      </x:c>
      <x:c r="D7" s="419" t="str">
        <x:v>Late 1970s</x:v>
      </x:c>
      <x:c r="E7" s="419" t="str">
        <x:v>SE Racing</x:v>
      </x:c>
      <x:c r="F7" s="419" t="str">
        <x:v>PK Ripper late-1970s debut</x:v>
      </x:c>
      <x:c r="G7" s="419" t="str">
        <x:v>Product-history object</x:v>
      </x:c>
      <x:c r="H7" s="419" t="str">
        <x:v>v0.8</x:v>
      </x:c>
      <x:c r="I7" s="419" t="str">
        <x:v>EPH-0043</x:v>
      </x:c>
      <x:c r="J7" s="419" t="str"/>
      <x:c r="K7" s="419" t="str">
        <x:v>MEDIUM-HIGH</x:v>
      </x:c>
      <x:c r="L7" s="419" t="str">
        <x:v>https://www.sebikes.com/blogs/news/elite-race-series</x:v>
      </x:c>
      <x:c r="M7" s="419" t="str">
        <x:v>Dated/period placement</x:v>
      </x:c>
    </x:row>
    <x:row r="8">
      <x:c r="A8" s="419" t="str">
        <x:v>CHR-004</x:v>
      </x:c>
      <x:c r="B8" s="421" t="n">
        <x:v>1970</x:v>
      </x:c>
      <x:c r="C8" s="421" t="n">
        <x:v>1970</x:v>
      </x:c>
      <x:c r="D8" s="419" t="str">
        <x:v>1970s onward</x:v>
      </x:c>
      <x:c r="E8" s="419" t="str">
        <x:v>Mongoose</x:v>
      </x:c>
      <x:c r="F8" s="419" t="str">
        <x:v>Vintage Mongoose catalog and dealer-price archive</x:v>
      </x:c>
      <x:c r="G8" s="419" t="str">
        <x:v>Archive collection</x:v>
      </x:c>
      <x:c r="H8" s="419" t="str">
        <x:v>v0.8</x:v>
      </x:c>
      <x:c r="I8" s="419" t="str">
        <x:v>EPH-0039</x:v>
      </x:c>
      <x:c r="J8" s="419" t="str"/>
      <x:c r="K8" s="419" t="str">
        <x:v>HIGH for archive scope</x:v>
      </x:c>
      <x:c r="L8" s="419" t="str">
        <x:v>https://www.vintagemongoose.com/</x:v>
      </x:c>
      <x:c r="M8" s="419" t="str">
        <x:v>Dated/period placement</x:v>
      </x:c>
    </x:row>
    <x:row r="9">
      <x:c r="A9" s="419" t="str">
        <x:v>CHR-005</x:v>
      </x:c>
      <x:c r="B9" s="421" t="n">
        <x:v>1976</x:v>
      </x:c>
      <x:c r="C9" s="421" t="n">
        <x:v>1976</x:v>
      </x:c>
      <x:c r="D9" s="419" t="str">
        <x:v>1976–77</x:v>
      </x:c>
      <x:c r="E9" s="419" t="str">
        <x:v>Mongoose</x:v>
      </x:c>
      <x:c r="F9" s="419" t="str">
        <x:v>1976–77 Bicycle and Components Catalog</x:v>
      </x:c>
      <x:c r="G9" s="419" t="str">
        <x:v>Manufacturer catalog</x:v>
      </x:c>
      <x:c r="H9" s="419" t="str">
        <x:v>v0.8</x:v>
      </x:c>
      <x:c r="I9" s="419" t="str">
        <x:v>EPH-0040</x:v>
      </x:c>
      <x:c r="J9" s="419" t="str"/>
      <x:c r="K9" s="419" t="str">
        <x:v>HIGH</x:v>
      </x:c>
      <x:c r="L9" s="419" t="str">
        <x:v>https://www.vintagemongoose.com/pdfs/mongoose_cat76-77.pdf</x:v>
      </x:c>
      <x:c r="M9" s="419" t="str">
        <x:v>Dated/period placement</x:v>
      </x:c>
    </x:row>
    <x:row r="10">
      <x:c r="A10" s="419" t="str">
        <x:v>CHR-006</x:v>
      </x:c>
      <x:c r="B10" s="421" t="n">
        <x:v>1976</x:v>
      </x:c>
      <x:c r="C10" s="421" t="n">
        <x:v>1976</x:v>
      </x:c>
      <x:c r="D10" s="419" t="str">
        <x:v>December 1976</x:v>
      </x:c>
      <x:c r="E10" s="419" t="str">
        <x:v>Torker</x:v>
      </x:c>
      <x:c r="F10" s="419" t="str">
        <x:v>First Torker advertisement in BMX Weekly</x:v>
      </x:c>
      <x:c r="G10" s="419" t="str">
        <x:v>Magazine advertisement</x:v>
      </x:c>
      <x:c r="H10" s="419" t="str">
        <x:v>v0.5 inherited</x:v>
      </x:c>
      <x:c r="I10" s="419" t="str">
        <x:v>EPH-0009</x:v>
      </x:c>
      <x:c r="J10" s="419" t="str">
        <x:v>DUP-TORKER-FIRST-AD</x:v>
      </x:c>
      <x:c r="K10" s="419" t="str">
        <x:v>MEDIUM-HIGH</x:v>
      </x:c>
      <x:c r="L10" s="419" t="str">
        <x:v>https://torkerracing.com/pages/the-fullerton-era-torker-bmx-history</x:v>
      </x:c>
      <x:c r="M10" s="419" t="str">
        <x:v>Dated/period placement</x:v>
      </x:c>
    </x:row>
    <x:row r="11">
      <x:c r="A11" s="419" t="str">
        <x:v>CHR-007</x:v>
      </x:c>
      <x:c r="B11" s="421" t="n">
        <x:v>1976</x:v>
      </x:c>
      <x:c r="C11" s="421" t="n">
        <x:v>1976</x:v>
      </x:c>
      <x:c r="D11" s="419" t="str">
        <x:v>December 1976</x:v>
      </x:c>
      <x:c r="E11" s="419" t="str">
        <x:v>Torker</x:v>
      </x:c>
      <x:c r="F11" s="419" t="str">
        <x:v>First Torker advertisement in BMX Weekly</x:v>
      </x:c>
      <x:c r="G11" s="419" t="str">
        <x:v>Magazine advertisement</x:v>
      </x:c>
      <x:c r="H11" s="419" t="str">
        <x:v>v0.8</x:v>
      </x:c>
      <x:c r="I11" s="419" t="str">
        <x:v>EPH-0047</x:v>
      </x:c>
      <x:c r="J11" s="419" t="str">
        <x:v>DUP-TORKER-FIRST-AD</x:v>
      </x:c>
      <x:c r="K11" s="419" t="str">
        <x:v>MEDIUM-HIGH</x:v>
      </x:c>
      <x:c r="L11" s="419" t="str">
        <x:v>https://torkerracing.com/pages/the-fullerton-era-torker-bmx-history</x:v>
      </x:c>
      <x:c r="M11" s="419" t="str">
        <x:v>Dated/period placement</x:v>
      </x:c>
    </x:row>
    <x:row r="12">
      <x:c r="A12" s="419" t="str">
        <x:v>CHR-008</x:v>
      </x:c>
      <x:c r="B12" s="421" t="n">
        <x:v>1976</x:v>
      </x:c>
      <x:c r="C12" s="421" t="n">
        <x:v>1984</x:v>
      </x:c>
      <x:c r="D12" s="419" t="str">
        <x:v>1976–1984</x:v>
      </x:c>
      <x:c r="E12" s="419" t="str">
        <x:v>Torker</x:v>
      </x:c>
      <x:c r="F12" s="419" t="str">
        <x:v>Fullerton-era Torker model archive</x:v>
      </x:c>
      <x:c r="G12" s="419" t="str">
        <x:v>Model archive</x:v>
      </x:c>
      <x:c r="H12" s="419" t="str">
        <x:v>v0.8</x:v>
      </x:c>
      <x:c r="I12" s="419" t="str">
        <x:v>EPH-0048</x:v>
      </x:c>
      <x:c r="J12" s="419" t="str"/>
      <x:c r="K12" s="419" t="str">
        <x:v>HIGH for archive role</x:v>
      </x:c>
      <x:c r="L12" s="419" t="str">
        <x:v>https://torkerracing.com/pages/torker-bmx-models</x:v>
      </x:c>
      <x:c r="M12" s="419" t="str">
        <x:v>Dated/period placement</x:v>
      </x:c>
    </x:row>
    <x:row r="13">
      <x:c r="A13" s="419" t="str">
        <x:v>CHR-009</x:v>
      </x:c>
      <x:c r="B13" s="421" t="n">
        <x:v>1976</x:v>
      </x:c>
      <x:c r="C13" s="421" t="n">
        <x:v>1976</x:v>
      </x:c>
      <x:c r="D13" s="419" t="str">
        <x:v>1976–77</x:v>
      </x:c>
      <x:c r="E13" s="419" t="str">
        <x:v>Mongoose; Ashtabula/Cecor</x:v>
      </x:c>
      <x:c r="F13" s="419" t="str">
        <x:v>Mongoose 1976–77 accessories — Ashtabula/Cecor pedals</x:v>
      </x:c>
      <x:c r="G13" s="419" t="str">
        <x:v>Manufacturer/distributor catalog page</x:v>
      </x:c>
      <x:c r="H13" s="419" t="str">
        <x:v>v0.7</x:v>
      </x:c>
      <x:c r="I13" s="419" t="str">
        <x:v>EPH-0035</x:v>
      </x:c>
      <x:c r="J13" s="419" t="str"/>
      <x:c r="K13" s="419" t="str">
        <x:v>MEDIUM-HIGH</x:v>
      </x:c>
      <x:c r="L13" s="419" t="str">
        <x:v>https://www.vintagemongoose.com/pdfs/mongoose_cat76-77.pdf</x:v>
      </x:c>
      <x:c r="M13" s="419" t="str">
        <x:v>Dated/period placement</x:v>
      </x:c>
    </x:row>
    <x:row r="14">
      <x:c r="A14" s="419" t="str">
        <x:v>CHR-010</x:v>
      </x:c>
      <x:c r="B14" s="421" t="n">
        <x:v>1977</x:v>
      </x:c>
      <x:c r="C14" s="421" t="n">
        <x:v>1977</x:v>
      </x:c>
      <x:c r="D14" s="419" t="str">
        <x:v>circa 1977 (unverified)</x:v>
      </x:c>
      <x:c r="E14" s="419" t="str">
        <x:v>Ashtabula</x:v>
      </x:c>
      <x:c r="F14" s="419" t="str">
        <x:v>Ashtabula component catalog</x:v>
      </x:c>
      <x:c r="G14" s="419" t="str">
        <x:v>Catalog</x:v>
      </x:c>
      <x:c r="H14" s="419" t="str">
        <x:v>v0.5 inherited</x:v>
      </x:c>
      <x:c r="I14" s="419" t="str">
        <x:v>EPH-0006</x:v>
      </x:c>
      <x:c r="J14" s="419" t="str">
        <x:v>DUP-ASHT-5027</x:v>
      </x:c>
      <x:c r="K14" s="419" t="str">
        <x:v>HIGH for object; MEDIUM for date</x:v>
      </x:c>
      <x:c r="L14" s="419" t="str">
        <x:v>https://bmxmuseum.com/reference/5027</x:v>
      </x:c>
      <x:c r="M14" s="419" t="str">
        <x:v>Year is provisional</x:v>
      </x:c>
    </x:row>
    <x:row r="15">
      <x:c r="A15" s="419" t="str">
        <x:v>CHR-011</x:v>
      </x:c>
      <x:c r="B15" s="421" t="n">
        <x:v>1977</x:v>
      </x:c>
      <x:c r="C15" s="421" t="n">
        <x:v>1977</x:v>
      </x:c>
      <x:c r="D15" s="419" t="str">
        <x:v>circa 1977; date provisional</x:v>
      </x:c>
      <x:c r="E15" s="419" t="str">
        <x:v>Ashtabula</x:v>
      </x:c>
      <x:c r="F15" s="419" t="str">
        <x:v>Ashtabula component catalog</x:v>
      </x:c>
      <x:c r="G15" s="419" t="str">
        <x:v>Component catalog</x:v>
      </x:c>
      <x:c r="H15" s="419" t="str">
        <x:v>v0.7</x:v>
      </x:c>
      <x:c r="I15" s="419" t="str">
        <x:v>EPH-0031</x:v>
      </x:c>
      <x:c r="J15" s="419" t="str">
        <x:v>DUP-ASHT-5027</x:v>
      </x:c>
      <x:c r="K15" s="419" t="str">
        <x:v>HIGH for ID; MEDIUM for date</x:v>
      </x:c>
      <x:c r="L15" s="419" t="str">
        <x:v>https://bmxmuseum.com/reference/5027</x:v>
      </x:c>
      <x:c r="M15" s="419" t="str">
        <x:v>Year is provisional</x:v>
      </x:c>
    </x:row>
    <x:row r="16">
      <x:c r="A16" s="419" t="str">
        <x:v>CHR-012</x:v>
      </x:c>
      <x:c r="B16" s="421" t="n">
        <x:v>1977</x:v>
      </x:c>
      <x:c r="C16" s="421" t="n">
        <x:v>1977</x:v>
      </x:c>
      <x:c r="D16" s="419" t="str">
        <x:v>circa 1977; interpretation</x:v>
      </x:c>
      <x:c r="E16" s="419" t="str">
        <x:v>Ashtabula</x:v>
      </x:c>
      <x:c r="F16" s="419" t="str">
        <x:v>Ashtabula crank length range</x:v>
      </x:c>
      <x:c r="G16" s="419" t="str">
        <x:v>Catalog claim</x:v>
      </x:c>
      <x:c r="H16" s="419" t="str">
        <x:v>v0.7</x:v>
      </x:c>
      <x:c r="I16" s="419" t="str">
        <x:v>EPH-0032</x:v>
      </x:c>
      <x:c r="J16" s="419" t="str"/>
      <x:c r="K16" s="419" t="str">
        <x:v>MEDIUM</x:v>
      </x:c>
      <x:c r="L16" s="419" t="str">
        <x:v>https://thecabe.com/forum/threads/ashtabula-fork-identification-help.253603/</x:v>
      </x:c>
      <x:c r="M16" s="419" t="str">
        <x:v>Year is provisional</x:v>
      </x:c>
    </x:row>
    <x:row r="17">
      <x:c r="A17" s="419" t="str">
        <x:v>CHR-013</x:v>
      </x:c>
      <x:c r="B17" s="421" t="n">
        <x:v>1977</x:v>
      </x:c>
      <x:c r="C17" s="421" t="n">
        <x:v>1977</x:v>
      </x:c>
      <x:c r="D17" s="419" t="str">
        <x:v>circa 1977; interpretation</x:v>
      </x:c>
      <x:c r="E17" s="419" t="str">
        <x:v>Ashtabula</x:v>
      </x:c>
      <x:c r="F17" s="419" t="str">
        <x:v>Ashtabula fork sizing and 6-3/4-inch steerer discussion</x:v>
      </x:c>
      <x:c r="G17" s="419" t="str">
        <x:v>Catalog claim</x:v>
      </x:c>
      <x:c r="H17" s="419" t="str">
        <x:v>v0.7</x:v>
      </x:c>
      <x:c r="I17" s="419" t="str">
        <x:v>EPH-0033</x:v>
      </x:c>
      <x:c r="J17" s="419" t="str"/>
      <x:c r="K17" s="419" t="str">
        <x:v>MEDIUM</x:v>
      </x:c>
      <x:c r="L17" s="419" t="str">
        <x:v>https://thecabe.com/forum/threads/ashtabula-fork-identification-help.253603/</x:v>
      </x:c>
      <x:c r="M17" s="419" t="str">
        <x:v>Year is provisional</x:v>
      </x:c>
    </x:row>
    <x:row r="18">
      <x:c r="A18" s="419" t="str">
        <x:v>CHR-014</x:v>
      </x:c>
      <x:c r="B18" s="421" t="n">
        <x:v>1978</x:v>
      </x:c>
      <x:c r="C18" s="421" t="n">
        <x:v>1978</x:v>
      </x:c>
      <x:c r="D18" s="419" t="str">
        <x:v>1978</x:v>
      </x:c>
      <x:c r="E18" s="419" t="str">
        <x:v>Redline</x:v>
      </x:c>
      <x:c r="F18" s="419" t="str">
        <x:v>1978 Redline product catalog</x:v>
      </x:c>
      <x:c r="G18" s="419" t="str">
        <x:v>Product catalog</x:v>
      </x:c>
      <x:c r="H18" s="419" t="str">
        <x:v>v0.8</x:v>
      </x:c>
      <x:c r="I18" s="419" t="str">
        <x:v>EPH-0036</x:v>
      </x:c>
      <x:c r="J18" s="419" t="str"/>
      <x:c r="K18" s="419" t="str">
        <x:v>MEDIUM-HIGH</x:v>
      </x:c>
      <x:c r="L18" s="419" t="str">
        <x:v>https://www.redlinevintagebmx.com/redline-history</x:v>
      </x:c>
      <x:c r="M18" s="419" t="str">
        <x:v>Dated/period placement</x:v>
      </x:c>
    </x:row>
    <x:row r="19">
      <x:c r="A19" s="419" t="str">
        <x:v>CHR-015</x:v>
      </x:c>
      <x:c r="B19" s="421" t="n">
        <x:v>1979</x:v>
      </x:c>
      <x:c r="C19" s="421" t="n">
        <x:v>1980</x:v>
      </x:c>
      <x:c r="D19" s="419" t="str">
        <x:v>1979–1980</x:v>
      </x:c>
      <x:c r="E19" s="419" t="str">
        <x:v>Torker</x:v>
      </x:c>
      <x:c r="F19" s="419" t="str">
        <x:v>1979 National Number One team / 1980 world-pro chronology</x:v>
      </x:c>
      <x:c r="G19" s="419" t="str">
        <x:v>Factory-team history</x:v>
      </x:c>
      <x:c r="H19" s="419" t="str">
        <x:v>v0.8</x:v>
      </x:c>
      <x:c r="I19" s="419" t="str">
        <x:v>EPH-0049</x:v>
      </x:c>
      <x:c r="J19" s="419" t="str"/>
      <x:c r="K19" s="419" t="str">
        <x:v>MEDIUM-HIGH</x:v>
      </x:c>
      <x:c r="L19" s="419" t="str">
        <x:v>https://torkerracing.com/blogs/news/torker-bmx-number-one-team-in-america</x:v>
      </x:c>
      <x:c r="M19" s="419" t="str">
        <x:v>Dated/period placement</x:v>
      </x:c>
    </x:row>
    <x:row r="20">
      <x:c r="A20" s="419" t="str">
        <x:v>CHR-016</x:v>
      </x:c>
      <x:c r="B20" s="421" t="n">
        <x:v>1979</x:v>
      </x:c>
      <x:c r="C20" s="421" t="n">
        <x:v>1979</x:v>
      </x:c>
      <x:c r="D20" s="419" t="str">
        <x:v>1979/80</x:v>
      </x:c>
      <x:c r="E20" s="419" t="str">
        <x:v>Mongoose</x:v>
      </x:c>
      <x:c r="F20" s="419" t="str">
        <x:v>1979/80 Bicycle and Components Catalog</x:v>
      </x:c>
      <x:c r="G20" s="419" t="str">
        <x:v>Manufacturer catalog</x:v>
      </x:c>
      <x:c r="H20" s="419" t="str">
        <x:v>v0.8</x:v>
      </x:c>
      <x:c r="I20" s="419" t="str">
        <x:v>EPH-0041</x:v>
      </x:c>
      <x:c r="J20" s="419" t="str"/>
      <x:c r="K20" s="419" t="str">
        <x:v>HIGH</x:v>
      </x:c>
      <x:c r="L20" s="419" t="str">
        <x:v>https://www.vintagemongoose.com/pdfs/mongoose_cat79-80.pdf</x:v>
      </x:c>
      <x:c r="M20" s="419" t="str">
        <x:v>Dated/period placement</x:v>
      </x:c>
    </x:row>
    <x:row r="21">
      <x:c r="A21" s="419" t="str">
        <x:v>CHR-017</x:v>
      </x:c>
      <x:c r="B21" s="421" t="n">
        <x:v>1979</x:v>
      </x:c>
      <x:c r="C21" s="421" t="n">
        <x:v>1979</x:v>
      </x:c>
      <x:c r="D21" s="419" t="str">
        <x:v>July 1979 issue; ran over multiple months</x:v>
      </x:c>
      <x:c r="E21" s="419" t="str">
        <x:v>JMC Racing</x:v>
      </x:c>
      <x:c r="F21" s="419" t="str">
        <x:v>July 1979 JMC advertisement</x:v>
      </x:c>
      <x:c r="G21" s="419" t="str">
        <x:v>Magazine advertisement</x:v>
      </x:c>
      <x:c r="H21" s="419" t="str">
        <x:v>v0.5 inherited</x:v>
      </x:c>
      <x:c r="I21" s="419" t="str">
        <x:v>EPH-0013</x:v>
      </x:c>
      <x:c r="J21" s="419" t="str"/>
      <x:c r="K21" s="419" t="str">
        <x:v>HIGH for bibliographic identity</x:v>
      </x:c>
      <x:c r="L21" s="419" t="str">
        <x:v>https://jmcbmx.wordpress.com/2010/02/03/july-1979-advertisement/</x:v>
      </x:c>
      <x:c r="M21" s="419" t="str">
        <x:v>Dated/period placement</x:v>
      </x:c>
    </x:row>
    <x:row r="22">
      <x:c r="A22" s="419" t="str">
        <x:v>CHR-018</x:v>
      </x:c>
      <x:c r="B22" s="421" t="n">
        <x:v>1979</x:v>
      </x:c>
      <x:c r="C22" s="421" t="n">
        <x:v>1979</x:v>
      </x:c>
      <x:c r="D22" s="419" t="str">
        <x:v>1979/80</x:v>
      </x:c>
      <x:c r="E22" s="419" t="str">
        <x:v>Mongoose; Ashtabula</x:v>
      </x:c>
      <x:c r="F22" s="419" t="str">
        <x:v>Mongoose 1979/80 catalog — Ashtabula one-piece cranks</x:v>
      </x:c>
      <x:c r="G22" s="419" t="str">
        <x:v>Manufacturer/distributor catalog page</x:v>
      </x:c>
      <x:c r="H22" s="419" t="str">
        <x:v>v0.7</x:v>
      </x:c>
      <x:c r="I22" s="419" t="str">
        <x:v>EPH-0034</x:v>
      </x:c>
      <x:c r="J22" s="419" t="str"/>
      <x:c r="K22" s="419" t="str">
        <x:v>HIGH</x:v>
      </x:c>
      <x:c r="L22" s="419" t="str">
        <x:v>https://www.vintagemongoose.com/pdfs/mongoose_cat79-80.pdf</x:v>
      </x:c>
      <x:c r="M22" s="419" t="str">
        <x:v>Dated/period placement</x:v>
      </x:c>
    </x:row>
    <x:row r="23">
      <x:c r="A23" s="419" t="str">
        <x:v>CHR-019</x:v>
      </x:c>
      <x:c r="B23" s="421" t="n">
        <x:v>1979</x:v>
      </x:c>
      <x:c r="C23" s="421" t="n">
        <x:v>1979</x:v>
      </x:c>
      <x:c r="D23" s="419" t="str">
        <x:v>Since early 1979</x:v>
      </x:c>
      <x:c r="E23" s="419" t="str">
        <x:v>SE Racing</x:v>
      </x:c>
      <x:c r="F23" s="419" t="str">
        <x:v>Perry Kramer initials on PK Ripper</x:v>
      </x:c>
      <x:c r="G23" s="419" t="str">
        <x:v>Rider/model naming history</x:v>
      </x:c>
      <x:c r="H23" s="419" t="str">
        <x:v>v0.8</x:v>
      </x:c>
      <x:c r="I23" s="419" t="str">
        <x:v>EPH-0044</x:v>
      </x:c>
      <x:c r="J23" s="419" t="str"/>
      <x:c r="K23" s="419" t="str">
        <x:v>HIGH for relationship</x:v>
      </x:c>
      <x:c r="L23" s="419" t="str">
        <x:v>https://www.sebikes.com/pages/perry-kramer</x:v>
      </x:c>
      <x:c r="M23" s="419" t="str">
        <x:v>Dated/period placement</x:v>
      </x:c>
    </x:row>
    <x:row r="24">
      <x:c r="A24" s="419" t="str">
        <x:v>CHR-020</x:v>
      </x:c>
      <x:c r="B24" s="421" t="n">
        <x:v>1980</x:v>
      </x:c>
      <x:c r="C24" s="421" t="n">
        <x:v>1980</x:v>
      </x:c>
      <x:c r="D24" s="419" t="str">
        <x:v>1980</x:v>
      </x:c>
      <x:c r="E24" s="419" t="str">
        <x:v>JMC Racing; Bicycle Harbor of Arizona; Matt Raymer</x:v>
      </x:c>
      <x:c r="F24" s="419" t="str">
        <x:v>JMC 3.1 XL naming-contest announcement</x:v>
      </x:c>
      <x:c r="G24" s="419" t="str">
        <x:v>Promotional announcement / naming contest</x:v>
      </x:c>
      <x:c r="H24" s="419" t="str">
        <x:v>v0.5 inherited</x:v>
      </x:c>
      <x:c r="I24" s="419" t="str">
        <x:v>EPH-0016</x:v>
      </x:c>
      <x:c r="J24" s="419" t="str"/>
      <x:c r="K24" s="419" t="str">
        <x:v>HIGH for historical claim; LOW for object recovery</x:v>
      </x:c>
      <x:c r="L24" s="419" t="str">
        <x:v>https://jmcbmx.wordpress.com/about/</x:v>
      </x:c>
      <x:c r="M24" s="419" t="str">
        <x:v>Dated/period placement</x:v>
      </x:c>
    </x:row>
    <x:row r="25">
      <x:c r="A25" s="419" t="str">
        <x:v>CHR-021</x:v>
      </x:c>
      <x:c r="B25" s="421" t="n">
        <x:v>1981</x:v>
      </x:c>
      <x:c r="C25" s="421" t="n">
        <x:v>1981</x:v>
      </x:c>
      <x:c r="D25" s="419" t="str">
        <x:v>1981</x:v>
      </x:c>
      <x:c r="E25" s="419" t="str">
        <x:v>JMC Racing; JMC Factory Team</x:v>
      </x:c>
      <x:c r="F25" s="419" t="str">
        <x:v>1981 JMC Factory Team advertisement</x:v>
      </x:c>
      <x:c r="G25" s="419" t="str">
        <x:v>Team advertisement</x:v>
      </x:c>
      <x:c r="H25" s="419" t="str">
        <x:v>v0.5 inherited</x:v>
      </x:c>
      <x:c r="I25" s="419" t="str">
        <x:v>EPH-0015</x:v>
      </x:c>
      <x:c r="J25" s="419" t="str"/>
      <x:c r="K25" s="419" t="str">
        <x:v>MEDIUM-HIGH</x:v>
      </x:c>
      <x:c r="L25" s="419" t="str">
        <x:v>https://jmcbmx.wordpress.com/2010/02/03/81-jmc-factory-team-advertisement/</x:v>
      </x:c>
      <x:c r="M25" s="419" t="str">
        <x:v>Dated/period placement</x:v>
      </x:c>
    </x:row>
    <x:row r="26">
      <x:c r="A26" s="419" t="str">
        <x:v>CHR-022</x:v>
      </x:c>
      <x:c r="B26" s="421" t="n">
        <x:v>1981</x:v>
      </x:c>
      <x:c r="C26" s="421" t="n">
        <x:v>1981</x:v>
      </x:c>
      <x:c r="D26" s="419" t="str">
        <x:v>April 1981; appeared in multiple months</x:v>
      </x:c>
      <x:c r="E26" s="419" t="str">
        <x:v>JMC Racing; Black Shadow; 3.1 XL</x:v>
      </x:c>
      <x:c r="F26" s="419" t="str">
        <x:v>April 1981 JMC advertisement</x:v>
      </x:c>
      <x:c r="G26" s="419" t="str">
        <x:v>Magazine advertisement</x:v>
      </x:c>
      <x:c r="H26" s="419" t="str">
        <x:v>v0.5 inherited</x:v>
      </x:c>
      <x:c r="I26" s="419" t="str">
        <x:v>EPH-0014</x:v>
      </x:c>
      <x:c r="J26" s="419" t="str"/>
      <x:c r="K26" s="419" t="str">
        <x:v>HIGH for source/date; MEDIUM-HIGH for summarized claims</x:v>
      </x:c>
      <x:c r="L26" s="419" t="str">
        <x:v>https://jmcbmx.wordpress.com/2010/02/03/april-1981-advertisement/</x:v>
      </x:c>
      <x:c r="M26" s="419" t="str">
        <x:v>Dated/period placement</x:v>
      </x:c>
    </x:row>
    <x:row r="27">
      <x:c r="A27" s="419" t="str">
        <x:v>CHR-023</x:v>
      </x:c>
      <x:c r="B27" s="421" t="n">
        <x:v>1982</x:v>
      </x:c>
      <x:c r="C27" s="421" t="n">
        <x:v>1982</x:v>
      </x:c>
      <x:c r="D27" s="419" t="str">
        <x:v>Winter 1982–83</x:v>
      </x:c>
      <x:c r="E27" s="419" t="str">
        <x:v>Lee Cooper; Diamond Back</x:v>
      </x:c>
      <x:c r="F27" s="419" t="str">
        <x:v>Diamond Back Silver Streak free draw at Lee Cooper event</x:v>
      </x:c>
      <x:c r="G27" s="419" t="str">
        <x:v>Event prize promotion</x:v>
      </x:c>
      <x:c r="H27" s="419" t="str">
        <x:v>v0.9</x:v>
      </x:c>
      <x:c r="I27" s="419" t="str">
        <x:v>EPH-0059</x:v>
      </x:c>
      <x:c r="J27" s="419" t="str"/>
      <x:c r="K27" s="419" t="str">
        <x:v>MEDIUM-HIGH</x:v>
      </x:c>
      <x:c r="L27" s="419" t="str">
        <x:v>https://previouspage.co.uk/magazines/BMX%20Action%20Bike/issues/58-december%2Fjanuary-eighty-two</x:v>
      </x:c>
      <x:c r="M27" s="419" t="str">
        <x:v>Dated/period placement</x:v>
      </x:c>
    </x:row>
    <x:row r="28">
      <x:c r="A28" s="419" t="str">
        <x:v>CHR-024</x:v>
      </x:c>
      <x:c r="B28" s="421" t="n">
        <x:v>1982</x:v>
      </x:c>
      <x:c r="C28" s="421" t="n">
        <x:v>1982</x:v>
      </x:c>
      <x:c r="D28" s="419" t="str">
        <x:v>1982 campaign</x:v>
      </x:c>
      <x:c r="E28" s="419" t="str">
        <x:v>Diamond Back; Pro Star</x:v>
      </x:c>
      <x:c r="F28" s="419" t="str">
        <x:v>Diamond Back and Pro Star Info Pack &amp; Decal</x:v>
      </x:c>
      <x:c r="G28" s="419" t="str">
        <x:v>Information-pack mailer</x:v>
      </x:c>
      <x:c r="H28" s="419" t="str">
        <x:v>v0.9</x:v>
      </x:c>
      <x:c r="I28" s="419" t="str">
        <x:v>EPH-0054</x:v>
      </x:c>
      <x:c r="J28" s="419" t="str">
        <x:v>DUP-DB-INFO-PACK</x:v>
      </x:c>
      <x:c r="K28" s="419" t="str">
        <x:v>HIGH for offer</x:v>
      </x:c>
      <x:c r="L28" s="419" t="str">
        <x:v>https://previouspage.co.uk/magazines/BMX%20Action%20Bike/issues/13-april%2Fmay-eighty-two</x:v>
      </x:c>
      <x:c r="M28" s="419" t="str">
        <x:v>Dated/period placement</x:v>
      </x:c>
    </x:row>
    <x:row r="29">
      <x:c r="A29" s="419" t="str">
        <x:v>CHR-025</x:v>
      </x:c>
      <x:c r="B29" s="421" t="n">
        <x:v>1982</x:v>
      </x:c>
      <x:c r="C29" s="421" t="n">
        <x:v>1982</x:v>
      </x:c>
      <x:c r="D29" s="419" t="str">
        <x:v>1982</x:v>
      </x:c>
      <x:c r="E29" s="419" t="str">
        <x:v>Diamond Back</x:v>
      </x:c>
      <x:c r="F29" s="419" t="str">
        <x:v>Free Diamond Back and Pro Star info pack and decal</x:v>
      </x:c>
      <x:c r="G29" s="419" t="str">
        <x:v>Information-pack mailer</x:v>
      </x:c>
      <x:c r="H29" s="419" t="str">
        <x:v>v0.8</x:v>
      </x:c>
      <x:c r="I29" s="419" t="str">
        <x:v>EPH-0046</x:v>
      </x:c>
      <x:c r="J29" s="419" t="str">
        <x:v>DUP-DB-INFO-PACK</x:v>
      </x:c>
      <x:c r="K29" s="419" t="str">
        <x:v>HIGH for offer</x:v>
      </x:c>
      <x:c r="L29" s="419" t="str">
        <x:v>https://previouspage.co.uk/magazines/BMX%20Action%20Bike/issues/13-april%2Fmay-eighty-two</x:v>
      </x:c>
      <x:c r="M29" s="419" t="str">
        <x:v>Dated/period placement</x:v>
      </x:c>
    </x:row>
    <x:row r="30">
      <x:c r="A30" s="419" t="str">
        <x:v>CHR-026</x:v>
      </x:c>
      <x:c r="B30" s="421" t="n">
        <x:v>1982</x:v>
      </x:c>
      <x:c r="C30" s="421" t="n">
        <x:v>1982</x:v>
      </x:c>
      <x:c r="D30" s="419" t="str">
        <x:v>Winter 1982–83; exact event dates open</x:v>
      </x:c>
      <x:c r="E30" s="419" t="str">
        <x:v>Lee Cooper</x:v>
      </x:c>
      <x:c r="F30" s="419" t="str">
        <x:v>Lee Cooper BMX Indoor Grand Prix pre-registration</x:v>
      </x:c>
      <x:c r="G30" s="419" t="str">
        <x:v>Event registration coupon</x:v>
      </x:c>
      <x:c r="H30" s="419" t="str">
        <x:v>v0.9</x:v>
      </x:c>
      <x:c r="I30" s="419" t="str">
        <x:v>EPH-0051</x:v>
      </x:c>
      <x:c r="J30" s="419" t="str"/>
      <x:c r="K30" s="419" t="str">
        <x:v>MEDIUM-HIGH</x:v>
      </x:c>
      <x:c r="L30" s="419" t="str">
        <x:v>https://previouspage.co.uk/magazines/BMX%20Action%20Bike/issues/58-december%2Fjanuary-eighty-two</x:v>
      </x:c>
      <x:c r="M30" s="419" t="str">
        <x:v>Year is provisional</x:v>
      </x:c>
    </x:row>
    <x:row r="31">
      <x:c r="A31" s="419" t="str">
        <x:v>CHR-027</x:v>
      </x:c>
      <x:c r="B31" s="421" t="n">
        <x:v>1982</x:v>
      </x:c>
      <x:c r="C31" s="421" t="n">
        <x:v>1982</x:v>
      </x:c>
      <x:c r="D31" s="419" t="str">
        <x:v>September 1982</x:v>
      </x:c>
      <x:c r="E31" s="419" t="str">
        <x:v>Retailer/dealer unresolved from indexed alignment</x:v>
      </x:c>
      <x:c r="F31" s="419" t="str">
        <x:v>Send SAE for price list and free sticker</x:v>
      </x:c>
      <x:c r="G31" s="419" t="str">
        <x:v>Dealer price-list / sticker offer</x:v>
      </x:c>
      <x:c r="H31" s="419" t="str">
        <x:v>v0.9</x:v>
      </x:c>
      <x:c r="I31" s="419" t="str">
        <x:v>EPH-0056</x:v>
      </x:c>
      <x:c r="J31" s="419" t="str"/>
      <x:c r="K31" s="419" t="str">
        <x:v>MEDIUM</x:v>
      </x:c>
      <x:c r="L31" s="419" t="str">
        <x:v>https://previouspage.co.uk/magazines/BMX%20Weekly/issues/213-september-nineteen-eighty-two</x:v>
      </x:c>
      <x:c r="M31" s="419" t="str">
        <x:v>Dated/period placement</x:v>
      </x:c>
    </x:row>
    <x:row r="32">
      <x:c r="A32" s="419" t="str">
        <x:v>CHR-028</x:v>
      </x:c>
      <x:c r="B32" s="421" t="n">
        <x:v>1982</x:v>
      </x:c>
      <x:c r="C32" s="421" t="n">
        <x:v>1982</x:v>
      </x:c>
      <x:c r="D32" s="419" t="str">
        <x:v>1982</x:v>
      </x:c>
      <x:c r="E32" s="419" t="str">
        <x:v>Diamond Back</x:v>
      </x:c>
      <x:c r="F32" s="419" t="str">
        <x:v>Silver Streak team advertisement and product naming</x:v>
      </x:c>
      <x:c r="G32" s="419" t="str">
        <x:v>Team/product advertisement</x:v>
      </x:c>
      <x:c r="H32" s="419" t="str">
        <x:v>v0.8</x:v>
      </x:c>
      <x:c r="I32" s="419" t="str">
        <x:v>EPH-0045</x:v>
      </x:c>
      <x:c r="J32" s="419" t="str"/>
      <x:c r="K32" s="419" t="str">
        <x:v>HIGH for period object</x:v>
      </x:c>
      <x:c r="L32" s="419" t="str">
        <x:v>https://previouspage.co.uk/magazines/BMX%20Action%20Bike/issues/13-april%2Fmay-eighty-two</x:v>
      </x:c>
      <x:c r="M32" s="419" t="str">
        <x:v>Dated/period placement</x:v>
      </x:c>
    </x:row>
    <x:row r="33">
      <x:c r="A33" s="419" t="str">
        <x:v>CHR-029</x:v>
      </x:c>
      <x:c r="B33" s="421" t="n">
        <x:v>1983</x:v>
      </x:c>
      <x:c r="C33" s="421" t="n">
        <x:v>1983</x:v>
      </x:c>
      <x:c r="D33" s="419" t="str">
        <x:v>December 1983 issue</x:v>
      </x:c>
      <x:c r="E33" s="419" t="str">
        <x:v>Langsett Cycles</x:v>
      </x:c>
      <x:c r="F33" s="419" t="str">
        <x:v>Langsett Cycles BMX product advertisement</x:v>
      </x:c>
      <x:c r="G33" s="419" t="str">
        <x:v>Dealer advertisement / price-list lead</x:v>
      </x:c>
      <x:c r="H33" s="419" t="str">
        <x:v>v0.9</x:v>
      </x:c>
      <x:c r="I33" s="419" t="str">
        <x:v>EPH-0060</x:v>
      </x:c>
      <x:c r="J33" s="419" t="str"/>
      <x:c r="K33" s="419" t="str">
        <x:v>MEDIUM-HIGH</x:v>
      </x:c>
      <x:c r="L33" s="419" t="str">
        <x:v>https://previouspage.co.uk/magazines/BMX%20Action%20Bike/issues/87-december%20%2F%20january-eighty-three</x:v>
      </x:c>
      <x:c r="M33" s="419" t="str">
        <x:v>Dated/period placement</x:v>
      </x:c>
    </x:row>
    <x:row r="34">
      <x:c r="A34" s="419" t="str">
        <x:v>CHR-030</x:v>
      </x:c>
      <x:c r="B34" s="421" t="n">
        <x:v>1983</x:v>
      </x:c>
      <x:c r="C34" s="421" t="n">
        <x:v>1983</x:v>
      </x:c>
      <x:c r="D34" s="419" t="str">
        <x:v>1983-10-07 to 1983-10-09</x:v>
      </x:c>
      <x:c r="E34" s="419" t="str">
        <x:v>Pontin's; UK BMX organizers</x:v>
      </x:c>
      <x:c r="F34" s="419" t="str">
        <x:v>Pontin's BMX Open Championships &amp; Trade Exhibition</x:v>
      </x:c>
      <x:c r="G34" s="419" t="str">
        <x:v>Event flyer / trade-exhibition notice</x:v>
      </x:c>
      <x:c r="H34" s="419" t="str">
        <x:v>v0.9</x:v>
      </x:c>
      <x:c r="I34" s="419" t="str">
        <x:v>EPH-0050</x:v>
      </x:c>
      <x:c r="J34" s="419" t="str"/>
      <x:c r="K34" s="419" t="str">
        <x:v>HIGH</x:v>
      </x:c>
      <x:c r="L34" s="419" t="str">
        <x:v>https://previouspage.co.uk/magazines/BMX%20Action%20Bike/issues/64-september-nineteen-eighty-three</x:v>
      </x:c>
      <x:c r="M34" s="419" t="str">
        <x:v>Dated/period placement</x:v>
      </x:c>
    </x:row>
    <x:row r="35">
      <x:c r="A35" s="419" t="str">
        <x:v>CHR-031</x:v>
      </x:c>
      <x:c r="B35" s="421" t="n">
        <x:v>1983</x:v>
      </x:c>
      <x:c r="C35" s="421" t="n">
        <x:v>1983</x:v>
      </x:c>
      <x:c r="D35" s="419" t="str">
        <x:v>October 1983</x:v>
      </x:c>
      <x:c r="E35" s="419" t="str">
        <x:v>SR Cycles; SR Jets</x:v>
      </x:c>
      <x:c r="F35" s="419" t="str">
        <x:v>SR Cycles product and team promotion</x:v>
      </x:c>
      <x:c r="G35" s="419" t="str">
        <x:v>Dealer/shop advertisement</x:v>
      </x:c>
      <x:c r="H35" s="419" t="str">
        <x:v>v0.9</x:v>
      </x:c>
      <x:c r="I35" s="419" t="str">
        <x:v>EPH-0061</x:v>
      </x:c>
      <x:c r="J35" s="419" t="str"/>
      <x:c r="K35" s="419" t="str">
        <x:v>MEDIUM-HIGH</x:v>
      </x:c>
      <x:c r="L35" s="419" t="str">
        <x:v>https://previouspage.co.uk/magazines/BMX%20Action%20Bike/issues/85-october-nineteen-eighty-three</x:v>
      </x:c>
      <x:c r="M35" s="419" t="str">
        <x:v>Dated/period placement</x:v>
      </x:c>
    </x:row>
    <x:row r="36">
      <x:c r="A36" s="419" t="str">
        <x:v>CHR-032</x:v>
      </x:c>
      <x:c r="B36" s="421" t="n">
        <x:v>1983</x:v>
      </x:c>
      <x:c r="C36" s="421" t="n">
        <x:v>1983</x:v>
      </x:c>
      <x:c r="D36" s="419" t="str">
        <x:v>1983 lead</x:v>
      </x:c>
      <x:c r="E36" s="419" t="str">
        <x:v>Tioga; Tange</x:v>
      </x:c>
      <x:c r="F36" s="419" t="str">
        <x:v>Tioga Rhino III frame advertisement</x:v>
      </x:c>
      <x:c r="G36" s="419" t="str">
        <x:v>Magazine advertisement</x:v>
      </x:c>
      <x:c r="H36" s="419" t="str">
        <x:v>v0.5 inherited</x:v>
      </x:c>
      <x:c r="I36" s="419" t="str">
        <x:v>EPH-0008</x:v>
      </x:c>
      <x:c r="J36" s="419" t="str"/>
      <x:c r="K36" s="419" t="str">
        <x:v>LOW-MEDIUM</x:v>
      </x:c>
      <x:c r="L36" s="419" t="str">
        <x:v>https://edwardkoenning.blogspot.com/2012/09/</x:v>
      </x:c>
      <x:c r="M36" s="419" t="str">
        <x:v>Dated/period placement</x:v>
      </x:c>
    </x:row>
    <x:row r="37">
      <x:c r="A37" s="419" t="str">
        <x:v>CHR-033</x:v>
      </x:c>
      <x:c r="B37" s="421" t="n">
        <x:v>1985</x:v>
      </x:c>
      <x:c r="C37" s="421" t="n">
        <x:v>1985</x:v>
      </x:c>
      <x:c r="D37" s="419" t="str">
        <x:v>1985</x:v>
      </x:c>
      <x:c r="E37" s="419" t="str">
        <x:v>Mongoose</x:v>
      </x:c>
      <x:c r="F37" s="419" t="str">
        <x:v>1985 Repco price list — Mongoose and parts</x:v>
      </x:c>
      <x:c r="G37" s="419" t="str">
        <x:v>Distributor price list</x:v>
      </x:c>
      <x:c r="H37" s="419" t="str">
        <x:v>v0.8</x:v>
      </x:c>
      <x:c r="I37" s="419" t="str">
        <x:v>EPH-0042</x:v>
      </x:c>
      <x:c r="J37" s="419" t="str"/>
      <x:c r="K37" s="419" t="str">
        <x:v>MEDIUM</x:v>
      </x:c>
      <x:c r="L37" s="419" t="str">
        <x:v>https://www.bloggingadeadhorse.com/hotfoot2.php</x:v>
      </x:c>
      <x:c r="M37" s="419" t="str">
        <x:v>Dated/period placement</x:v>
      </x:c>
    </x:row>
    <x:row r="38">
      <x:c r="A38" s="419" t="str">
        <x:v>CHR-034</x:v>
      </x:c>
      <x:c r="B38" s="421" t="n">
        <x:v>1985</x:v>
      </x:c>
      <x:c r="C38" s="421" t="n">
        <x:v>1985</x:v>
      </x:c>
      <x:c r="D38" s="419" t="str">
        <x:v>Summer 1985</x:v>
      </x:c>
      <x:c r="E38" s="419" t="str">
        <x:v>Redline</x:v>
      </x:c>
      <x:c r="F38" s="419" t="str">
        <x:v>RL 20 II Prostyler first dedicated freestyle kit</x:v>
      </x:c>
      <x:c r="G38" s="419" t="str">
        <x:v>Product announcement / kit</x:v>
      </x:c>
      <x:c r="H38" s="419" t="str">
        <x:v>v0.8</x:v>
      </x:c>
      <x:c r="I38" s="419" t="str">
        <x:v>EPH-0038</x:v>
      </x:c>
      <x:c r="J38" s="419" t="str"/>
      <x:c r="K38" s="419" t="str">
        <x:v>MEDIUM-HIGH</x:v>
      </x:c>
      <x:c r="L38" s="419" t="str">
        <x:v>https://www.redlinevintagebmx.com/the-rl-40-project</x:v>
      </x:c>
      <x:c r="M38" s="419" t="str">
        <x:v>Dated/period placement</x:v>
      </x:c>
    </x:row>
    <x:row r="39">
      <x:c r="A39" s="419" t="str">
        <x:v>CHR-035</x:v>
      </x:c>
      <x:c r="B39" s="421" t="n">
        <x:v>1987</x:v>
      </x:c>
      <x:c r="C39" s="421" t="n">
        <x:v>1987</x:v>
      </x:c>
      <x:c r="D39" s="419" t="str">
        <x:v>1987</x:v>
      </x:c>
      <x:c r="E39" s="419" t="str">
        <x:v>Dia-Compe</x:v>
      </x:c>
      <x:c r="F39" s="419" t="str">
        <x:v>1987 Dia-Compe 182 Aerial Brake Lever</x:v>
      </x:c>
      <x:c r="G39" s="419" t="str">
        <x:v>Product literature</x:v>
      </x:c>
      <x:c r="H39" s="419" t="str">
        <x:v>v0.5 inherited</x:v>
      </x:c>
      <x:c r="I39" s="419" t="str">
        <x:v>EPH-0005</x:v>
      </x:c>
      <x:c r="J39" s="419" t="str"/>
      <x:c r="K39" s="419" t="str">
        <x:v>MEDIUM</x:v>
      </x:c>
      <x:c r="L39" s="419" t="str">
        <x:v>https://www.pinterest.com/pin/bmxmuseumcom-reference-1987-diacompe-182-aerial-brake-lever--731623901972849898/</x:v>
      </x:c>
      <x:c r="M39" s="419" t="str">
        <x:v>Dated/period placement</x:v>
      </x:c>
    </x:row>
    <x:row r="40">
      <x:c r="A40" s="419" t="str">
        <x:v>CHR-036</x:v>
      </x:c>
      <x:c r="B40" s="421" t="n">
        <x:v>1987</x:v>
      </x:c>
      <x:c r="C40" s="421" t="n">
        <x:v>1987</x:v>
      </x:c>
      <x:c r="D40" s="419" t="str">
        <x:v>1987-05-02 to 1987-05-03</x:v>
      </x:c>
      <x:c r="E40" s="419" t="str">
        <x:v>AFA</x:v>
      </x:c>
      <x:c r="F40" s="419" t="str">
        <x:v>AFA Expert &amp; Pro Contest — Austin</x:v>
      </x:c>
      <x:c r="G40" s="419" t="str">
        <x:v>Event entry / pre-registration advertisement</x:v>
      </x:c>
      <x:c r="H40" s="419" t="str">
        <x:v>v0.9</x:v>
      </x:c>
      <x:c r="I40" s="419" t="str">
        <x:v>EPH-0052</x:v>
      </x:c>
      <x:c r="J40" s="419" t="str"/>
      <x:c r="K40" s="419" t="str">
        <x:v>HIGH</x:v>
      </x:c>
      <x:c r="L40" s="419" t="str">
        <x:v>https://previouspage.co.uk/magazines/BMX%20Plus/issues/244-july-nineteen-eighty-seven</x:v>
      </x:c>
      <x:c r="M40" s="419" t="str">
        <x:v>Dated/period placement</x:v>
      </x:c>
    </x:row>
    <x:row r="41">
      <x:c r="A41" s="419" t="str">
        <x:v>CHR-037</x:v>
      </x:c>
      <x:c r="B41" s="421" t="n">
        <x:v>1987</x:v>
      </x:c>
      <x:c r="C41" s="421" t="n">
        <x:v>1987</x:v>
      </x:c>
      <x:c r="D41" s="419" t="str">
        <x:v>Deadline 1987-09-28; drawing 1987-10-05</x:v>
      </x:c>
      <x:c r="E41" s="419" t="str">
        <x:v>GT; BMX Plus!</x:v>
      </x:c>
      <x:c r="F41" s="419" t="str">
        <x:v>BMX Plus! / GT Hide-A-Contest</x:v>
      </x:c>
      <x:c r="G41" s="419" t="str">
        <x:v>Contest entry form</x:v>
      </x:c>
      <x:c r="H41" s="419" t="str">
        <x:v>v0.9</x:v>
      </x:c>
      <x:c r="I41" s="419" t="str">
        <x:v>EPH-0053</x:v>
      </x:c>
      <x:c r="J41" s="419" t="str">
        <x:v>DUP-GT-HIDE-CONTEST</x:v>
      </x:c>
      <x:c r="K41" s="419" t="str">
        <x:v>HIGH for dates</x:v>
      </x:c>
      <x:c r="L41" s="419" t="str">
        <x:v>https://previouspage.co.uk/issues/245-august-nineteen-eighty-seven</x:v>
      </x:c>
      <x:c r="M41" s="419" t="str">
        <x:v>Dated/period placement</x:v>
      </x:c>
    </x:row>
    <x:row r="42">
      <x:c r="A42" s="419" t="str">
        <x:v>CHR-038</x:v>
      </x:c>
      <x:c r="B42" s="421" t="n">
        <x:v>1987</x:v>
      </x:c>
      <x:c r="C42" s="421" t="n">
        <x:v>1987</x:v>
      </x:c>
      <x:c r="D42" s="419" t="str">
        <x:v>Deadline 1987-09-28; drawing 1987-10-05</x:v>
      </x:c>
      <x:c r="E42" s="419" t="str">
        <x:v>GT; BMX Plus!</x:v>
      </x:c>
      <x:c r="F42" s="419" t="str">
        <x:v>BMX Plus! / GT Hide-A-Contest entry form</x:v>
      </x:c>
      <x:c r="G42" s="419" t="str">
        <x:v>Contest entry form / promotion</x:v>
      </x:c>
      <x:c r="H42" s="419" t="str">
        <x:v>v0.6</x:v>
      </x:c>
      <x:c r="I42" s="419" t="str">
        <x:v>EPH-0022</x:v>
      </x:c>
      <x:c r="J42" s="419" t="str">
        <x:v>DUP-GT-HIDE-CONTEST</x:v>
      </x:c>
      <x:c r="K42" s="419" t="str">
        <x:v>HIGH for dates</x:v>
      </x:c>
      <x:c r="L42" s="419" t="str">
        <x:v>https://previouspage.co.uk/issues/245-august-nineteen-eighty-seven</x:v>
      </x:c>
      <x:c r="M42" s="419" t="str">
        <x:v>Dated/period placement</x:v>
      </x:c>
    </x:row>
    <x:row r="43">
      <x:c r="A43" s="419" t="str">
        <x:v>CHR-039</x:v>
      </x:c>
      <x:c r="B43" s="421" t="n">
        <x:v>1987</x:v>
      </x:c>
      <x:c r="C43" s="421" t="n">
        <x:v>1987</x:v>
      </x:c>
      <x:c r="D43" s="419" t="str">
        <x:v>July 1987</x:v>
      </x:c>
      <x:c r="E43" s="419" t="str">
        <x:v>GT; Dyno; Skyway; Haro</x:v>
      </x:c>
      <x:c r="F43" s="419" t="str">
        <x:v>Complete-bike mail-order price advertisement</x:v>
      </x:c>
      <x:c r="G43" s="419" t="str">
        <x:v>Retailer advertisement / price list</x:v>
      </x:c>
      <x:c r="H43" s="419" t="str">
        <x:v>v0.6</x:v>
      </x:c>
      <x:c r="I43" s="419" t="str">
        <x:v>EPH-0021</x:v>
      </x:c>
      <x:c r="J43" s="419" t="str"/>
      <x:c r="K43" s="419" t="str">
        <x:v>MEDIUM-HIGH for clear rows</x:v>
      </x:c>
      <x:c r="L43" s="419" t="str">
        <x:v>https://previouspage.co.uk/magazines/BMX%20Plus/issues/244-july-nineteen-eighty-seven</x:v>
      </x:c>
      <x:c r="M43" s="419" t="str">
        <x:v>Dated/period placement</x:v>
      </x:c>
    </x:row>
    <x:row r="44">
      <x:c r="A44" s="419" t="str">
        <x:v>CHR-040</x:v>
      </x:c>
      <x:c r="B44" s="421" t="n">
        <x:v>1987</x:v>
      </x:c>
      <x:c r="C44" s="421" t="n">
        <x:v>1987</x:v>
      </x:c>
      <x:c r="D44" s="419" t="str">
        <x:v>1987</x:v>
      </x:c>
      <x:c r="E44" s="419" t="str">
        <x:v>Dyno</x:v>
      </x:c>
      <x:c r="F44" s="419" t="str">
        <x:v>DYNO Tour promotional stop listing</x:v>
      </x:c>
      <x:c r="G44" s="419" t="str">
        <x:v>Tour promotion / route notice</x:v>
      </x:c>
      <x:c r="H44" s="419" t="str">
        <x:v>v0.9</x:v>
      </x:c>
      <x:c r="I44" s="419" t="str">
        <x:v>EPH-0058</x:v>
      </x:c>
      <x:c r="J44" s="419" t="str"/>
      <x:c r="K44" s="419" t="str">
        <x:v>MEDIUM</x:v>
      </x:c>
      <x:c r="L44" s="419" t="str">
        <x:v>https://previouspage.co.uk/magazines/BMX%20Plus/issues/244-july-nineteen-eighty-seven</x:v>
      </x:c>
      <x:c r="M44" s="419" t="str">
        <x:v>Dated/period placement</x:v>
      </x:c>
    </x:row>
    <x:row r="45">
      <x:c r="A45" s="419" t="str">
        <x:v>CHR-041</x:v>
      </x:c>
      <x:c r="B45" s="421" t="n">
        <x:v>1987</x:v>
      </x:c>
      <x:c r="C45" s="421" t="n">
        <x:v>1987</x:v>
      </x:c>
      <x:c r="D45" s="419" t="str">
        <x:v>August 1987</x:v>
      </x:c>
      <x:c r="E45" s="419" t="str">
        <x:v>GT; Dyno; Haro; Auburn</x:v>
      </x:c>
      <x:c r="F45" s="419" t="str">
        <x:v>Dynamic BMX complete-bike price advertisement</x:v>
      </x:c>
      <x:c r="G45" s="419" t="str">
        <x:v>Retailer advertisement / price list</x:v>
      </x:c>
      <x:c r="H45" s="419" t="str">
        <x:v>v0.6</x:v>
      </x:c>
      <x:c r="I45" s="419" t="str">
        <x:v>EPH-0020</x:v>
      </x:c>
      <x:c r="J45" s="419" t="str"/>
      <x:c r="K45" s="419" t="str">
        <x:v>MEDIUM-HIGH for clear rows</x:v>
      </x:c>
      <x:c r="L45" s="419" t="str">
        <x:v>https://previouspage.co.uk/issues/245-august-nineteen-eighty-seven</x:v>
      </x:c>
      <x:c r="M45" s="419" t="str">
        <x:v>Dated/period placement</x:v>
      </x:c>
    </x:row>
    <x:row r="46">
      <x:c r="A46" s="419" t="str">
        <x:v>CHR-042</x:v>
      </x:c>
      <x:c r="B46" s="421" t="n">
        <x:v>1987</x:v>
      </x:c>
      <x:c r="C46" s="421" t="n">
        <x:v>1987</x:v>
      </x:c>
      <x:c r="D46" s="419" t="str">
        <x:v>1987-05-02</x:v>
      </x:c>
      <x:c r="E46" s="419" t="str">
        <x:v>Local organizer; Rob Staiger contact</x:v>
      </x:c>
      <x:c r="F46" s="419" t="str">
        <x:v>Ramp Jam — Moorhead, Minnesota</x:v>
      </x:c>
      <x:c r="G46" s="419" t="str">
        <x:v>Event notice / contact flyer</x:v>
      </x:c>
      <x:c r="H46" s="419" t="str">
        <x:v>v0.9</x:v>
      </x:c>
      <x:c r="I46" s="419" t="str">
        <x:v>EPH-0057</x:v>
      </x:c>
      <x:c r="J46" s="419" t="str"/>
      <x:c r="K46" s="419" t="str">
        <x:v>MEDIUM-HIGH</x:v>
      </x:c>
      <x:c r="L46" s="419" t="str">
        <x:v>https://previouspage.co.uk/magazines/BMX%20Plus/issues/243-may-nineteen-eighty-seven</x:v>
      </x:c>
      <x:c r="M46" s="419" t="str">
        <x:v>Dated/period placement</x:v>
      </x:c>
    </x:row>
    <x:row r="47">
      <x:c r="A47" s="419" t="str">
        <x:v>CHR-043</x:v>
      </x:c>
      <x:c r="B47" s="421" t="n">
        <x:v>1990</x:v>
      </x:c>
      <x:c r="C47" s="421" t="n">
        <x:v>1990</x:v>
      </x:c>
      <x:c r="D47" s="419" t="str">
        <x:v>1990</x:v>
      </x:c>
      <x:c r="E47" s="419" t="str">
        <x:v>Haro</x:v>
      </x:c>
      <x:c r="F47" s="419" t="str">
        <x:v>1990 Haro BMX Catalog</x:v>
      </x:c>
      <x:c r="G47" s="419" t="str">
        <x:v>Catalog</x:v>
      </x:c>
      <x:c r="H47" s="419" t="str">
        <x:v>v0.5 inherited</x:v>
      </x:c>
      <x:c r="I47" s="419" t="str">
        <x:v>EPH-0004</x:v>
      </x:c>
      <x:c r="J47" s="419" t="str">
        <x:v>DUP-HARO-1990-CAT</x:v>
      </x:c>
      <x:c r="K47" s="419" t="str">
        <x:v>LOW-MEDIUM</x:v>
      </x:c>
      <x:c r="L47" s="419" t="str">
        <x:v>https://storage.googleapis.com/dioyjtkukhpqse/haro-bmx-catalog.html</x:v>
      </x:c>
      <x:c r="M47" s="419" t="str">
        <x:v>Dated/period placement</x:v>
      </x:c>
    </x:row>
    <x:row r="48">
      <x:c r="A48" s="419" t="str">
        <x:v>CHR-044</x:v>
      </x:c>
      <x:c r="B48" s="421" t="n">
        <x:v>1990</x:v>
      </x:c>
      <x:c r="C48" s="421" t="n">
        <x:v>1990</x:v>
      </x:c>
      <x:c r="D48" s="419" t="str">
        <x:v>1990</x:v>
      </x:c>
      <x:c r="E48" s="419" t="str">
        <x:v>Haro</x:v>
      </x:c>
      <x:c r="F48" s="419" t="str">
        <x:v>1990 Haro BMX Catalog</x:v>
      </x:c>
      <x:c r="G48" s="419" t="str">
        <x:v>Catalog</x:v>
      </x:c>
      <x:c r="H48" s="419" t="str">
        <x:v>v0.7</x:v>
      </x:c>
      <x:c r="I48" s="419" t="str">
        <x:v>EPH-0023</x:v>
      </x:c>
      <x:c r="J48" s="419" t="str">
        <x:v>DUP-HARO-1990-CAT</x:v>
      </x:c>
      <x:c r="K48" s="419" t="str">
        <x:v>HIGH for existence</x:v>
      </x:c>
      <x:c r="L48" s="419" t="str">
        <x:v>https://archive.harobikes.com/bmx</x:v>
      </x:c>
      <x:c r="M48" s="419" t="str">
        <x:v>Dated/period placement</x:v>
      </x:c>
    </x:row>
    <x:row r="49">
      <x:c r="A49" s="419" t="str">
        <x:v>CHR-045</x:v>
      </x:c>
      <x:c r="B49" s="421" t="n">
        <x:v>1990</x:v>
      </x:c>
      <x:c r="C49" s="421" t="n">
        <x:v>1990</x:v>
      </x:c>
      <x:c r="D49" s="419" t="str">
        <x:v>1990</x:v>
      </x:c>
      <x:c r="E49" s="419" t="str">
        <x:v>Haro</x:v>
      </x:c>
      <x:c r="F49" s="419" t="str">
        <x:v>1990 Haro Group 1A</x:v>
      </x:c>
      <x:c r="G49" s="419" t="str">
        <x:v>Catalog model page</x:v>
      </x:c>
      <x:c r="H49" s="419" t="str">
        <x:v>v0.7</x:v>
      </x:c>
      <x:c r="I49" s="419" t="str">
        <x:v>EPH-0024</x:v>
      </x:c>
      <x:c r="J49" s="419" t="str"/>
      <x:c r="K49" s="419" t="str">
        <x:v>MEDIUM-HIGH</x:v>
      </x:c>
      <x:c r="L49" s="419" t="str">
        <x:v>https://www.bmx-catalogue.com/haro/mid-school/1990/group-1a.html</x:v>
      </x:c>
      <x:c r="M49" s="419" t="str">
        <x:v>Dated/period placement</x:v>
      </x:c>
    </x:row>
    <x:row r="50">
      <x:c r="A50" s="419" t="str">
        <x:v>CHR-046</x:v>
      </x:c>
      <x:c r="B50" s="421" t="n">
        <x:v>1990</x:v>
      </x:c>
      <x:c r="C50" s="421" t="n">
        <x:v>1990</x:v>
      </x:c>
      <x:c r="D50" s="419" t="str">
        <x:v>1990</x:v>
      </x:c>
      <x:c r="E50" s="419" t="str">
        <x:v>Haro</x:v>
      </x:c>
      <x:c r="F50" s="419" t="str">
        <x:v>1990 Haro Group 1B</x:v>
      </x:c>
      <x:c r="G50" s="419" t="str">
        <x:v>Catalog model page</x:v>
      </x:c>
      <x:c r="H50" s="419" t="str">
        <x:v>v0.7</x:v>
      </x:c>
      <x:c r="I50" s="419" t="str">
        <x:v>EPH-0025</x:v>
      </x:c>
      <x:c r="J50" s="419" t="str"/>
      <x:c r="K50" s="419" t="str">
        <x:v>MEDIUM</x:v>
      </x:c>
      <x:c r="L50" s="419" t="str">
        <x:v>https://www.bmx-catalogue.com/haro/mid-school/1990/group-1b.html</x:v>
      </x:c>
      <x:c r="M50" s="419" t="str">
        <x:v>Dated/period placement</x:v>
      </x:c>
    </x:row>
    <x:row r="51">
      <x:c r="A51" s="419" t="str">
        <x:v>CHR-047</x:v>
      </x:c>
      <x:c r="B51" s="421" t="n">
        <x:v>1990</x:v>
      </x:c>
      <x:c r="C51" s="421" t="n">
        <x:v>1990</x:v>
      </x:c>
      <x:c r="D51" s="419" t="str">
        <x:v>1990</x:v>
      </x:c>
      <x:c r="E51" s="419" t="str">
        <x:v>Haro</x:v>
      </x:c>
      <x:c r="F51" s="419" t="str">
        <x:v>1990 Haro Group 1C</x:v>
      </x:c>
      <x:c r="G51" s="419" t="str">
        <x:v>Catalog model page</x:v>
      </x:c>
      <x:c r="H51" s="419" t="str">
        <x:v>v0.7</x:v>
      </x:c>
      <x:c r="I51" s="419" t="str">
        <x:v>EPH-0026</x:v>
      </x:c>
      <x:c r="J51" s="419" t="str"/>
      <x:c r="K51" s="419" t="str">
        <x:v>MEDIUM-HIGH</x:v>
      </x:c>
      <x:c r="L51" s="419" t="str">
        <x:v>https://www.bmx-catalogue.com/haro/mid-school/1990/group-1c.html</x:v>
      </x:c>
      <x:c r="M51" s="419" t="str">
        <x:v>Dated/period placement</x:v>
      </x:c>
    </x:row>
    <x:row r="52">
      <x:c r="A52" s="419" t="str">
        <x:v>CHR-048</x:v>
      </x:c>
      <x:c r="B52" s="421" t="n">
        <x:v>1990</x:v>
      </x:c>
      <x:c r="C52" s="421" t="n">
        <x:v>1990</x:v>
      </x:c>
      <x:c r="D52" s="419" t="str">
        <x:v>1990</x:v>
      </x:c>
      <x:c r="E52" s="419" t="str">
        <x:v>Haro</x:v>
      </x:c>
      <x:c r="F52" s="419" t="str">
        <x:v>1990 Haro Invert</x:v>
      </x:c>
      <x:c r="G52" s="419" t="str">
        <x:v>Catalog model page</x:v>
      </x:c>
      <x:c r="H52" s="419" t="str">
        <x:v>v0.7</x:v>
      </x:c>
      <x:c r="I52" s="419" t="str">
        <x:v>EPH-0028</x:v>
      </x:c>
      <x:c r="J52" s="419" t="str"/>
      <x:c r="K52" s="419" t="str">
        <x:v>MEDIUM-HIGH</x:v>
      </x:c>
      <x:c r="L52" s="419" t="str">
        <x:v>https://www.bmx-catalogue.com/haro/mid-school/1990/invert.html</x:v>
      </x:c>
      <x:c r="M52" s="419" t="str">
        <x:v>Dated/period placement</x:v>
      </x:c>
    </x:row>
    <x:row r="53">
      <x:c r="A53" s="419" t="str">
        <x:v>CHR-049</x:v>
      </x:c>
      <x:c r="B53" s="421" t="n">
        <x:v>1990</x:v>
      </x:c>
      <x:c r="C53" s="421" t="n">
        <x:v>1990</x:v>
      </x:c>
      <x:c r="D53" s="419" t="str">
        <x:v>1990</x:v>
      </x:c>
      <x:c r="E53" s="419" t="str">
        <x:v>Haro</x:v>
      </x:c>
      <x:c r="F53" s="419" t="str">
        <x:v>1990 Haro Master / Team Master</x:v>
      </x:c>
      <x:c r="G53" s="419" t="str">
        <x:v>Catalog model page</x:v>
      </x:c>
      <x:c r="H53" s="419" t="str">
        <x:v>v0.7</x:v>
      </x:c>
      <x:c r="I53" s="419" t="str">
        <x:v>EPH-0027</x:v>
      </x:c>
      <x:c r="J53" s="419" t="str"/>
      <x:c r="K53" s="419" t="str">
        <x:v>MEDIUM-HIGH</x:v>
      </x:c>
      <x:c r="L53" s="419" t="str">
        <x:v>https://www.bmx-catalogue.com/haro/mid-school/1990/master.html</x:v>
      </x:c>
      <x:c r="M53" s="419" t="str">
        <x:v>Dated/period placement</x:v>
      </x:c>
    </x:row>
    <x:row r="54">
      <x:c r="A54" s="419" t="str">
        <x:v>CHR-050</x:v>
      </x:c>
      <x:c r="B54" s="421" t="n">
        <x:v>1990</x:v>
      </x:c>
      <x:c r="C54" s="421" t="n">
        <x:v>1990</x:v>
      </x:c>
      <x:c r="D54" s="419" t="str">
        <x:v>1990</x:v>
      </x:c>
      <x:c r="E54" s="419" t="str">
        <x:v>Haro</x:v>
      </x:c>
      <x:c r="F54" s="419" t="str">
        <x:v>1990 Haro Shredder</x:v>
      </x:c>
      <x:c r="G54" s="419" t="str">
        <x:v>Catalog model list</x:v>
      </x:c>
      <x:c r="H54" s="419" t="str">
        <x:v>v0.7</x:v>
      </x:c>
      <x:c r="I54" s="419" t="str">
        <x:v>EPH-0029</x:v>
      </x:c>
      <x:c r="J54" s="419" t="str"/>
      <x:c r="K54" s="419" t="str">
        <x:v>MEDIUM</x:v>
      </x:c>
      <x:c r="L54" s="419" t="str">
        <x:v>https://www.bmx-catalogue.com/advanced-search.html</x:v>
      </x:c>
      <x:c r="M54" s="419" t="str">
        <x:v>Dated/period placement</x:v>
      </x:c>
    </x:row>
    <x:row r="55">
      <x:c r="A55" s="419" t="str">
        <x:v>CHR-051</x:v>
      </x:c>
      <x:c r="B55" s="421" t="n">
        <x:v>1991</x:v>
      </x:c>
      <x:c r="C55" s="421" t="n">
        <x:v>1991</x:v>
      </x:c>
      <x:c r="D55" s="419" t="str">
        <x:v>1991 catalog; ad in Nov 1991</x:v>
      </x:c>
      <x:c r="E55" s="419" t="str">
        <x:v>Haro; Fusion</x:v>
      </x:c>
      <x:c r="F55" s="419" t="str">
        <x:v>1991 Haro/Fusion catalog offer</x:v>
      </x:c>
      <x:c r="G55" s="419" t="str">
        <x:v>Catalog mailer / advertisement</x:v>
      </x:c>
      <x:c r="H55" s="419" t="str">
        <x:v>v0.7</x:v>
      </x:c>
      <x:c r="I55" s="419" t="str">
        <x:v>EPH-0030</x:v>
      </x:c>
      <x:c r="J55" s="419" t="str">
        <x:v>DUP-HARO-1991-MAILER</x:v>
      </x:c>
      <x:c r="K55" s="419" t="str">
        <x:v>HIGH for offer</x:v>
      </x:c>
      <x:c r="L55" s="419" t="str">
        <x:v>https://www.previouspage.co.uk/issues/131-november-nineteen-ninety-one</x:v>
      </x:c>
      <x:c r="M55" s="419" t="str">
        <x:v>Dated/period placement</x:v>
      </x:c>
    </x:row>
    <x:row r="56">
      <x:c r="A56" s="419" t="str">
        <x:v>CHR-052</x:v>
      </x:c>
      <x:c r="B56" s="421" t="n">
        <x:v>1991</x:v>
      </x:c>
      <x:c r="C56" s="421" t="n">
        <x:v>1991</x:v>
      </x:c>
      <x:c r="D56" s="419" t="str">
        <x:v>Advertisement in Nov 1991</x:v>
      </x:c>
      <x:c r="E56" s="419" t="str">
        <x:v>Haro; Fusion; West Coast Cycle</x:v>
      </x:c>
      <x:c r="F56" s="419" t="str">
        <x:v>1991 Haro/Fusion catalog request</x:v>
      </x:c>
      <x:c r="G56" s="419" t="str">
        <x:v>Catalog mailer</x:v>
      </x:c>
      <x:c r="H56" s="419" t="str">
        <x:v>v0.9</x:v>
      </x:c>
      <x:c r="I56" s="419" t="str">
        <x:v>EPH-0055</x:v>
      </x:c>
      <x:c r="J56" s="419" t="str">
        <x:v>DUP-HARO-1991-MAILER</x:v>
      </x:c>
      <x:c r="K56" s="419" t="str">
        <x:v>HIGH</x:v>
      </x:c>
      <x:c r="L56" s="419" t="str">
        <x:v>https://www.previouspage.co.uk/issues/131-november-nineteen-ninety-one</x:v>
      </x:c>
      <x:c r="M56" s="419" t="str">
        <x:v>Dated/period placement</x:v>
      </x:c>
    </x:row>
    <x:row r="57">
      <x:c r="A57" s="419" t="str">
        <x:v>CHR-053</x:v>
      </x:c>
      <x:c r="B57" s="421" t="n">
        <x:v>1992</x:v>
      </x:c>
      <x:c r="C57" s="421" t="n">
        <x:v>1992</x:v>
      </x:c>
      <x:c r="D57" s="419" t="str">
        <x:v>1992</x:v>
      </x:c>
      <x:c r="E57" s="419" t="str">
        <x:v>GT; Dyno</x:v>
      </x:c>
      <x:c r="F57" s="419" t="str">
        <x:v>1992 GT/Dyno Product Catalog</x:v>
      </x:c>
      <x:c r="G57" s="419" t="str">
        <x:v>Catalog</x:v>
      </x:c>
      <x:c r="H57" s="419" t="str">
        <x:v>v0.5 inherited</x:v>
      </x:c>
      <x:c r="I57" s="419" t="str">
        <x:v>EPH-0002</x:v>
      </x:c>
      <x:c r="J57" s="419" t="str">
        <x:v>DUP-GTD-1992</x:v>
      </x:c>
      <x:c r="K57" s="419" t="str">
        <x:v>MEDIUM</x:v>
      </x:c>
      <x:c r="L57" s="419" t="str">
        <x:v>https://in.pinterest.com/pin/1011550766308215575/</x:v>
      </x:c>
      <x:c r="M57" s="419" t="str">
        <x:v>Dated/period placement</x:v>
      </x:c>
    </x:row>
    <x:row r="58">
      <x:c r="A58" s="419" t="str">
        <x:v>CHR-054</x:v>
      </x:c>
      <x:c r="B58" s="421" t="n">
        <x:v>1992</x:v>
      </x:c>
      <x:c r="C58" s="421" t="n">
        <x:v>1992</x:v>
      </x:c>
      <x:c r="D58" s="419" t="str">
        <x:v>1992</x:v>
      </x:c>
      <x:c r="E58" s="419" t="str">
        <x:v>GT; Dyno</x:v>
      </x:c>
      <x:c r="F58" s="419" t="str">
        <x:v>1992 GT/Dyno Product Catalog</x:v>
      </x:c>
      <x:c r="G58" s="419" t="str">
        <x:v>Catalog</x:v>
      </x:c>
      <x:c r="H58" s="419" t="str">
        <x:v>v0.6</x:v>
      </x:c>
      <x:c r="I58" s="419" t="str">
        <x:v>EPH-0017</x:v>
      </x:c>
      <x:c r="J58" s="419" t="str">
        <x:v>DUP-GTD-1992</x:v>
      </x:c>
      <x:c r="K58" s="419" t="str">
        <x:v>MEDIUM</x:v>
      </x:c>
      <x:c r="L58" s="419" t="str">
        <x:v>https://in.pinterest.com/pin/1011550766308215575/</x:v>
      </x:c>
      <x:c r="M58" s="419" t="str">
        <x:v>Dated/period placement</x:v>
      </x:c>
    </x:row>
    <x:row r="59">
      <x:c r="A59" s="419" t="str">
        <x:v>CHR-055</x:v>
      </x:c>
      <x:c r="B59" s="421" t="n">
        <x:v>1996</x:v>
      </x:c>
      <x:c r="C59" s="421" t="n">
        <x:v>1996</x:v>
      </x:c>
      <x:c r="D59" s="419" t="str">
        <x:v>1996</x:v>
      </x:c>
      <x:c r="E59" s="419" t="str">
        <x:v>GT; Dyno</x:v>
      </x:c>
      <x:c r="F59" s="419" t="str">
        <x:v>1996 GT/Dyno — The BMX &amp; Freestyle Catalog</x:v>
      </x:c>
      <x:c r="G59" s="419" t="str">
        <x:v>Catalog</x:v>
      </x:c>
      <x:c r="H59" s="419" t="str">
        <x:v>v0.5 inherited</x:v>
      </x:c>
      <x:c r="I59" s="419" t="str">
        <x:v>EPH-0001</x:v>
      </x:c>
      <x:c r="J59" s="419" t="str">
        <x:v>DUP-GTD-1996</x:v>
      </x:c>
      <x:c r="K59" s="419" t="str">
        <x:v>MEDIUM</x:v>
      </x:c>
      <x:c r="L59" s="419" t="str">
        <x:v>https://www.pinterest.com/pin/bmxmuseumcom-reference-1996-gtdyno-the-bmx-freestyle-catalog--491877590560035755/</x:v>
      </x:c>
      <x:c r="M59" s="419" t="str">
        <x:v>Dated/period placement</x:v>
      </x:c>
    </x:row>
    <x:row r="60">
      <x:c r="A60" s="419" t="str">
        <x:v>CHR-056</x:v>
      </x:c>
      <x:c r="B60" s="421" t="n">
        <x:v>1996</x:v>
      </x:c>
      <x:c r="C60" s="421" t="n">
        <x:v>1996</x:v>
      </x:c>
      <x:c r="D60" s="419" t="str">
        <x:v>1996</x:v>
      </x:c>
      <x:c r="E60" s="419" t="str">
        <x:v>GT; Dyno</x:v>
      </x:c>
      <x:c r="F60" s="419" t="str">
        <x:v>1996 GT/Dyno — The BMX &amp; Freestyle Catalog</x:v>
      </x:c>
      <x:c r="G60" s="419" t="str">
        <x:v>Catalog</x:v>
      </x:c>
      <x:c r="H60" s="419" t="str">
        <x:v>v0.6</x:v>
      </x:c>
      <x:c r="I60" s="419" t="str">
        <x:v>EPH-0018</x:v>
      </x:c>
      <x:c r="J60" s="419" t="str">
        <x:v>DUP-GTD-1996</x:v>
      </x:c>
      <x:c r="K60" s="419" t="str">
        <x:v>MEDIUM</x:v>
      </x:c>
      <x:c r="L60" s="419" t="str">
        <x:v>https://www.pinterest.com/pin/bmxmuseumcom-reference-1996-gtdyno-the-bmx-freestyle-catalog--491877590560035755/</x:v>
      </x:c>
      <x:c r="M60" s="419" t="str">
        <x:v>Dated/period placement</x:v>
      </x:c>
    </x:row>
    <x:row r="61">
      <x:c r="A61" s="419" t="str">
        <x:v>CHR-057</x:v>
      </x:c>
      <x:c r="B61" s="421" t="n">
        <x:v>1997</x:v>
      </x:c>
      <x:c r="C61" s="421" t="n">
        <x:v>1997</x:v>
      </x:c>
      <x:c r="D61" s="419" t="str">
        <x:v>1997</x:v>
      </x:c>
      <x:c r="E61" s="419" t="str">
        <x:v>Hoffman Bikes</x:v>
      </x:c>
      <x:c r="F61" s="419" t="str">
        <x:v>1997 Hoffman catalog — George model specification</x:v>
      </x:c>
      <x:c r="G61" s="419" t="str">
        <x:v>Catalog</x:v>
      </x:c>
      <x:c r="H61" s="419" t="str">
        <x:v>v0.5 inherited</x:v>
      </x:c>
      <x:c r="I61" s="419" t="str">
        <x:v>EPH-0007</x:v>
      </x:c>
      <x:c r="J61" s="419" t="str"/>
      <x:c r="K61" s="419" t="str">
        <x:v>HIGH for reference existence; MEDIUM for interpreted model data</x:v>
      </x:c>
      <x:c r="L61" s="419" t="str">
        <x:v>https://bmxmuseum.com/reference/1911</x:v>
      </x:c>
      <x:c r="M61" s="419" t="str">
        <x:v>Dated/period placement</x:v>
      </x:c>
    </x:row>
    <x:row r="62">
      <x:c r="A62" s="419" t="str">
        <x:v>CHR-058</x:v>
      </x:c>
      <x:c r="B62" s="421" t="n">
        <x:v>1999</x:v>
      </x:c>
      <x:c r="C62" s="421" t="n">
        <x:v>1999</x:v>
      </x:c>
      <x:c r="D62" s="419" t="str">
        <x:v>1999</x:v>
      </x:c>
      <x:c r="E62" s="419" t="str">
        <x:v>GT; Dyno</x:v>
      </x:c>
      <x:c r="F62" s="419" t="str">
        <x:v>1999 GT/Dyno BMX/Freestyle — Part 2</x:v>
      </x:c>
      <x:c r="G62" s="419" t="str">
        <x:v>Catalog</x:v>
      </x:c>
      <x:c r="H62" s="419" t="str">
        <x:v>v0.5 inherited</x:v>
      </x:c>
      <x:c r="I62" s="419" t="str">
        <x:v>EPH-0003</x:v>
      </x:c>
      <x:c r="J62" s="419" t="str">
        <x:v>DUP-GTD-1999-P2</x:v>
      </x:c>
      <x:c r="K62" s="419" t="str">
        <x:v>LOW-MEDIUM</x:v>
      </x:c>
      <x:c r="L62" s="419" t="str">
        <x:v>https://www.pinterest.com/pin/bmxmuseumcom-reference-1999-gtdyno-bmxfreestyle-part-2-in-2025--798192733998105769/</x:v>
      </x:c>
      <x:c r="M62" s="419" t="str">
        <x:v>Dated/period placement</x:v>
      </x:c>
    </x:row>
    <x:row r="63">
      <x:c r="A63" s="419" t="str">
        <x:v>CHR-059</x:v>
      </x:c>
      <x:c r="B63" s="421" t="n">
        <x:v>1999</x:v>
      </x:c>
      <x:c r="C63" s="421" t="n">
        <x:v>1999</x:v>
      </x:c>
      <x:c r="D63" s="419" t="str">
        <x:v>1999</x:v>
      </x:c>
      <x:c r="E63" s="419" t="str">
        <x:v>GT; Dyno</x:v>
      </x:c>
      <x:c r="F63" s="419" t="str">
        <x:v>1999 GT/Dyno BMX/Freestyle — Part 2</x:v>
      </x:c>
      <x:c r="G63" s="419" t="str">
        <x:v>Catalog</x:v>
      </x:c>
      <x:c r="H63" s="419" t="str">
        <x:v>v0.6</x:v>
      </x:c>
      <x:c r="I63" s="419" t="str">
        <x:v>EPH-0019</x:v>
      </x:c>
      <x:c r="J63" s="419" t="str">
        <x:v>DUP-GTD-1999-P2</x:v>
      </x:c>
      <x:c r="K63" s="419" t="str">
        <x:v>LOW-MEDIUM</x:v>
      </x:c>
      <x:c r="L63" s="419" t="str">
        <x:v>https://www.pinterest.com/pin/bmxmuseumcom-reference-1999-gtdyno-bmxfreestyle-part-2-in-2025--798192733998105769/</x:v>
      </x:c>
      <x:c r="M63" s="419" t="str">
        <x:v>Dated/period placement</x:v>
      </x:c>
    </x:row>
    <x:row r="64">
      <x:c r="A64" s="419" t="str">
        <x:v>CHR-060</x:v>
      </x:c>
      <x:c r="B64" s="421" t="n">
        <x:v>2026</x:v>
      </x:c>
      <x:c r="C64" s="421" t="n">
        <x:v>2026</x:v>
      </x:c>
      <x:c r="D64" s="419" t="str">
        <x:v>Undated vintage document; public post 2026</x:v>
      </x:c>
      <x:c r="E64" s="419" t="str">
        <x:v>JMC Racing; Azusa collection</x:v>
      </x:c>
      <x:c r="F64" s="419" t="str">
        <x:v>Vintage JMC Racing Equipment dealer's price list from Azusa collection</x:v>
      </x:c>
      <x:c r="G64" s="419" t="str">
        <x:v>Dealer price list</x:v>
      </x:c>
      <x:c r="H64" s="419" t="str">
        <x:v>v0.5 inherited</x:v>
      </x:c>
      <x:c r="I64" s="419" t="str">
        <x:v>EPH-0012</x:v>
      </x:c>
      <x:c r="J64" s="419" t="str"/>
      <x:c r="K64" s="419" t="str">
        <x:v>LOW-MEDIUM</x:v>
      </x:c>
      <x:c r="L64" s="419" t="str">
        <x:v>https://www.facebook.com/groups/553888658024748/posts/27080185384968381/</x:v>
      </x:c>
      <x:c r="M64" s="419" t="str">
        <x:v>Dated/period placement</x:v>
      </x:c>
    </x:row>
    <x:row r="65">
      <x:c r="A65" s="419" t="str">
        <x:v>CHR-061</x:v>
      </x:c>
      <x:c r="B65" s="421"/>
      <x:c r="C65" s="421"/>
      <x:c r="D65" s="419" t="str">
        <x:v>Undated</x:v>
      </x:c>
      <x:c r="E65" s="419" t="str">
        <x:v>JMC Racing</x:v>
      </x:c>
      <x:c r="F65" s="419" t="str">
        <x:v>JMC Racing Fliers and Price List</x:v>
      </x:c>
      <x:c r="G65" s="419" t="str">
        <x:v>Combined flyer / price-list set</x:v>
      </x:c>
      <x:c r="H65" s="419" t="str">
        <x:v>v0.5 inherited</x:v>
      </x:c>
      <x:c r="I65" s="419" t="str">
        <x:v>EPH-0011</x:v>
      </x:c>
      <x:c r="J65" s="419" t="str"/>
      <x:c r="K65" s="419" t="str">
        <x:v>MEDIUM</x:v>
      </x:c>
      <x:c r="L65" s="419" t="str">
        <x:v>https://www.pinterest.com/pin/jmc-bmx-fliers-and-price-list--442478732119429034/</x:v>
      </x:c>
      <x:c r="M65" s="419" t="str">
        <x:v>Year is provisional</x:v>
      </x:c>
    </x:row>
  </x:sheetData>
  <x:mergeCells>
    <x:mergeCell ref="A1:M1"/>
    <x:mergeCell ref="A2:M2"/>
  </x:mergeCells>
  <x:pageMargins left="0.7" right="0.7" top="0.75" bottom="0.75" header="0.3" footer="0.3"/>
  <x:tableParts count="1">
    <x:tablePart xmlns:r="http://schemas.openxmlformats.org/officeDocument/2006/relationships" r:id="Rd1c56867380649b5"/>
  </x:tableParts>
</x:worksheet>
</file>

<file path=xl/worksheets/sheet50.xml><?xml version="1.0" encoding="utf-8"?>
<x:worksheet xmlns:x="http://schemas.openxmlformats.org/spreadsheetml/2006/main">
  <x:sheetFormatPr defaultRowHeight="15"/>
  <x:cols>
    <x:col min="1" max="1" width="29" hidden="0" customWidth="1"/>
    <x:col min="2" max="2" width="14" hidden="0" customWidth="1"/>
    <x:col min="3" max="3" width="32" hidden="0" customWidth="1"/>
    <x:col min="4" max="4" width="37" hidden="0" customWidth="1"/>
    <x:col min="5" max="5" width="14" hidden="0" customWidth="1"/>
    <x:col min="6" max="6" width="41" hidden="0" customWidth="1"/>
    <x:col min="10" max="10" width="24" hidden="0" customWidth="1"/>
    <x:col min="11" max="11" width="12" hidden="0" customWidth="1"/>
    <x:col min="12" max="12" width="70" hidden="0" customWidth="1"/>
    <x:col min="13" max="13" width="35" hidden="0" customWidth="1"/>
    <x:col min="14" max="14" width="14" hidden="0" customWidth="1"/>
  </x:cols>
  <x:sheetData>
    <x:row r="1" ht="30" customHeight="1">
      <x:c r="A1" s="404" t="str">
        <x:v>v1.0 — Duplicate, Completeness &amp; Safety Audit</x:v>
      </x:c>
    </x:row>
    <x:row r="2" ht="34" customHeight="1">
      <x:c r="A2" s="408" t="str">
        <x:v>Audit distinguishes source records from canonical object identities and records unresolved IDs, price context, rights and preservation gaps.</x:v>
      </x:c>
    </x:row>
    <x:row r="4" ht="34" customHeight="1">
      <x:c r="A4" s="414" t="str">
        <x:v>Audit Metric</x:v>
      </x:c>
      <x:c r="B4" s="414" t="str">
        <x:v>Value</x:v>
      </x:c>
      <x:c r="C4" s="414" t="str">
        <x:v>Method</x:v>
      </x:c>
      <x:c r="D4" s="414" t="str">
        <x:v>Result</x:v>
      </x:c>
      <x:c r="E4" s="414" t="str">
        <x:v>Status</x:v>
      </x:c>
      <x:c r="F4" s="414" t="str">
        <x:v>Notes</x:v>
      </x:c>
      <x:c r="J4" s="414" t="str">
        <x:v>Duplicate Group</x:v>
      </x:c>
      <x:c r="K4" s="414" t="str">
        <x:v>Occurrences</x:v>
      </x:c>
      <x:c r="L4" s="414" t="str">
        <x:v>Member Records</x:v>
      </x:c>
      <x:c r="M4" s="414" t="str">
        <x:v>Canonical Decision</x:v>
      </x:c>
      <x:c r="N4" s="414" t="str">
        <x:v>Status</x:v>
      </x:c>
    </x:row>
    <x:row r="5">
      <x:c r="A5" s="419" t="str">
        <x:v>Master source records</x:v>
      </x:c>
      <x:c r="B5" s="419" t="n">
        <x:f>COUNTA('v1.0 Master Ephemera'!A5:A200)</x:f>
        <x:v>61</x:v>
      </x:c>
      <x:c r="C5" s="419" t="str">
        <x:v>COUNTA master IDs</x:v>
      </x:c>
      <x:c r="D5" s="419" t="str">
        <x:v>All inherited and sequence records retained.</x:v>
      </x:c>
      <x:c r="E5" s="419" t="str">
        <x:v>PASS</x:v>
      </x:c>
      <x:c r="F5" s="419" t="str">
        <x:v>No source occurrence deleted.</x:v>
      </x:c>
      <x:c r="J5" s="419" t="str">
        <x:v>DUP-ASHT-5027</x:v>
      </x:c>
      <x:c r="K5" s="419" t="n">
        <x:v>2</x:v>
      </x:c>
      <x:c r="L5" s="419" t="str">
        <x:v>BM-AD-0006: Ashtabula component catalog | ASH-OBJ-0001: Ashtabula component catalog</x:v>
      </x:c>
      <x:c r="M5" s="419" t="str">
        <x:v>MERGE identity; retain all source occurrences</x:v>
      </x:c>
      <x:c r="N5" s="419" t="str">
        <x:v>REVIEWED</x:v>
      </x:c>
    </x:row>
    <x:row r="6">
      <x:c r="A6" s="419" t="str">
        <x:v>Duplicate source occurrences</x:v>
      </x:c>
      <x:c r="B6" s="419" t="n">
        <x:v>20</x:v>
      </x:c>
      <x:c r="C6" s="419" t="str">
        <x:v>Nonblank duplicate-group rows</x:v>
      </x:c>
      <x:c r="D6" s="419" t="str">
        <x:v>Known overlaps labeled.</x:v>
      </x:c>
      <x:c r="E6" s="419" t="str">
        <x:v>PASS</x:v>
      </x:c>
      <x:c r="F6" s="419" t="str">
        <x:v>Object identity may merge; evidence occurrences remain.</x:v>
      </x:c>
      <x:c r="J6" s="419" t="str">
        <x:v>DUP-DB-INFO-PACK</x:v>
      </x:c>
      <x:c r="K6" s="419" t="n">
        <x:v>2</x:v>
      </x:c>
      <x:c r="L6" s="419" t="str">
        <x:v>MB-OBJ-0011: Free Diamond Back and Pro Star info pack and decal | SEQ-FLY-0005: Diamond Back and Pro Star Info Pack &amp; Decal</x:v>
      </x:c>
      <x:c r="M6" s="419" t="str">
        <x:v>MERGE identity; retain all source occurrences</x:v>
      </x:c>
      <x:c r="N6" s="419" t="str">
        <x:v>REVIEWED</x:v>
      </x:c>
    </x:row>
    <x:row r="7">
      <x:c r="A7" s="419" t="str">
        <x:v>Duplicate groups</x:v>
      </x:c>
      <x:c r="B7" s="419" t="n">
        <x:v>10</x:v>
      </x:c>
      <x:c r="C7" s="419" t="str">
        <x:v>Audited group table</x:v>
      </x:c>
      <x:c r="D7" s="419" t="str">
        <x:v>Ten identity groups reviewed.</x:v>
      </x:c>
      <x:c r="E7" s="419" t="str">
        <x:v>PASS</x:v>
      </x:c>
      <x:c r="F7" s="419" t="str">
        <x:v>No automatic fuzzy merge.</x:v>
      </x:c>
      <x:c r="J7" s="419" t="str">
        <x:v>DUP-GT-HIDE-CONTEST</x:v>
      </x:c>
      <x:c r="K7" s="419" t="n">
        <x:v>2</x:v>
      </x:c>
      <x:c r="L7" s="419" t="str">
        <x:v>GTD-OBJ-0006: BMX Plus! / GT Hide-A-Contest entry form | SEQ-FLY-0004: BMX Plus! / GT Hide-A-Contest</x:v>
      </x:c>
      <x:c r="M7" s="419" t="str">
        <x:v>MERGE identity; retain all source occurrences</x:v>
      </x:c>
      <x:c r="N7" s="419" t="str">
        <x:v>REVIEWED</x:v>
      </x:c>
    </x:row>
    <x:row r="8">
      <x:c r="A8" s="419" t="str">
        <x:v>Canonical object estimate</x:v>
      </x:c>
      <x:c r="B8" s="419" t="n">
        <x:v>51</x:v>
      </x:c>
      <x:c r="C8" s="419" t="str">
        <x:v>Total minus duplicate excess</x:v>
      </x:c>
      <x:c r="D8" s="419" t="str">
        <x:v>Estimated unique object identities.</x:v>
      </x:c>
      <x:c r="E8" s="419" t="str">
        <x:v>PASS</x:v>
      </x:c>
      <x:c r="F8" s="419" t="str">
        <x:v>Repeated placements may still be historically distinct.</x:v>
      </x:c>
      <x:c r="J8" s="419" t="str">
        <x:v>DUP-GTD-1992</x:v>
      </x:c>
      <x:c r="K8" s="419" t="n">
        <x:v>2</x:v>
      </x:c>
      <x:c r="L8" s="419" t="str">
        <x:v>BM-AD-0002: 1992 GT/Dyno Product Catalog | GTD-OBJ-0001: 1992 GT/Dyno Product Catalog</x:v>
      </x:c>
      <x:c r="M8" s="419" t="str">
        <x:v>MERGE identity; retain all source occurrences</x:v>
      </x:c>
      <x:c r="N8" s="419" t="str">
        <x:v>REVIEWED</x:v>
      </x:c>
    </x:row>
    <x:row r="9">
      <x:c r="A9" s="419" t="str">
        <x:v>Price observations</x:v>
      </x:c>
      <x:c r="B9" s="419" t="n">
        <x:f>COUNTA('v1.0 Price Observations'!A5:A200)</x:f>
        <x:v>38</x:v>
      </x:c>
      <x:c r="C9" s="419" t="str">
        <x:v>COUNTA price IDs</x:v>
      </x:c>
      <x:c r="D9" s="419" t="str">
        <x:v>Source-specific normalized rows.</x:v>
      </x:c>
      <x:c r="E9" s="419" t="str">
        <x:v>PASS</x:v>
      </x:c>
      <x:c r="F9" s="419" t="str">
        <x:v>No averaging or inflation adjustment.</x:v>
      </x:c>
      <x:c r="J9" s="419" t="str">
        <x:v>DUP-GTD-1996</x:v>
      </x:c>
      <x:c r="K9" s="419" t="n">
        <x:v>2</x:v>
      </x:c>
      <x:c r="L9" s="419" t="str">
        <x:v>BM-AD-0001: 1996 GT/Dyno — The BMX &amp; Freestyle Catalog | GTD-OBJ-0002: 1996 GT/Dyno — The BMX &amp; Freestyle Catalog</x:v>
      </x:c>
      <x:c r="M9" s="419" t="str">
        <x:v>MERGE identity; retain all source occurrences</x:v>
      </x:c>
      <x:c r="N9" s="419" t="str">
        <x:v>REVIEWED</x:v>
      </x:c>
    </x:row>
    <x:row r="10">
      <x:c r="A10" s="419" t="str">
        <x:v>Source URLs</x:v>
      </x:c>
      <x:c r="B10" s="419" t="n">
        <x:f>COUNTA('v1.0 Source Register'!A5:A200)</x:f>
        <x:v>57</x:v>
      </x:c>
      <x:c r="C10" s="419" t="str">
        <x:v>COUNTA source IDs</x:v>
      </x:c>
      <x:c r="D10" s="419" t="str">
        <x:v>External dependencies registered.</x:v>
      </x:c>
      <x:c r="E10" s="419" t="str">
        <x:v>PASS</x:v>
      </x:c>
      <x:c r="F10" s="419" t="str">
        <x:v>Plain-text URLs retained.</x:v>
      </x:c>
      <x:c r="J10" s="419" t="str">
        <x:v>DUP-GTD-1999-P2</x:v>
      </x:c>
      <x:c r="K10" s="419" t="n">
        <x:v>2</x:v>
      </x:c>
      <x:c r="L10" s="419" t="str">
        <x:v>BM-AD-0003: 1999 GT/Dyno BMX/Freestyle — Part 2 | GTD-OBJ-0003: 1999 GT/Dyno BMX/Freestyle — Part 2</x:v>
      </x:c>
      <x:c r="M10" s="419" t="str">
        <x:v>MERGE identity; retain all source occurrences</x:v>
      </x:c>
      <x:c r="N10" s="419" t="str">
        <x:v>REVIEWED</x:v>
      </x:c>
    </x:row>
    <x:row r="11">
      <x:c r="A11" s="419" t="str">
        <x:v>Exact BMXMuseum reference IDs</x:v>
      </x:c>
      <x:c r="B11" s="419" t="n">
        <x:v>2</x:v>
      </x:c>
      <x:c r="C11" s="419" t="str">
        <x:v>Nonblank exact-reference field</x:v>
      </x:c>
      <x:c r="D11" s="419" t="str">
        <x:v>Two unique IDs: 1911 and 5027; three source records carry them.</x:v>
      </x:c>
      <x:c r="E11" s="419" t="str">
        <x:v>PASS</x:v>
      </x:c>
      <x:c r="F11" s="419" t="str">
        <x:v>Ashtabula 5027 and inherited exact references remain explicit.</x:v>
      </x:c>
      <x:c r="J11" s="419" t="str">
        <x:v>DUP-HARO-1990-CAT</x:v>
      </x:c>
      <x:c r="K11" s="419" t="n">
        <x:v>2</x:v>
      </x:c>
      <x:c r="L11" s="419" t="str">
        <x:v>BM-AD-0004: 1990 Haro BMX Catalog | HAR-OBJ-0001: 1990 Haro BMX Catalog</x:v>
      </x:c>
      <x:c r="M11" s="419" t="str">
        <x:v>MERGE identity; retain all source occurrences</x:v>
      </x:c>
      <x:c r="N11" s="419" t="str">
        <x:v>REVIEWED</x:v>
      </x:c>
    </x:row>
    <x:row r="12">
      <x:c r="A12" s="419" t="str">
        <x:v>Open/unresolved statuses</x:v>
      </x:c>
      <x:c r="B12" s="419" t="n">
        <x:v>20</x:v>
      </x:c>
      <x:c r="C12" s="419" t="str">
        <x:v>Research status contains OPEN/unresolved</x:v>
      </x:c>
      <x:c r="D12" s="419" t="str">
        <x:v>Open questions retained.</x:v>
      </x:c>
      <x:c r="E12" s="419" t="str">
        <x:v>PASS</x:v>
      </x:c>
      <x:c r="F12" s="419" t="str">
        <x:v>Zero result never treated as absence.</x:v>
      </x:c>
      <x:c r="J12" s="419" t="str">
        <x:v>DUP-HARO-1991-MAILER</x:v>
      </x:c>
      <x:c r="K12" s="419" t="n">
        <x:v>2</x:v>
      </x:c>
      <x:c r="L12" s="419" t="str">
        <x:v>HAR-OBJ-0008: 1991 Haro/Fusion catalog offer | SEQ-FLY-0006: 1991 Haro/Fusion catalog request</x:v>
      </x:c>
      <x:c r="M12" s="419" t="str">
        <x:v>MERGE identity; retain all source occurrences</x:v>
      </x:c>
      <x:c r="N12" s="419" t="str">
        <x:v>REVIEWED</x:v>
      </x:c>
    </x:row>
    <x:row r="13">
      <x:c r="A13" s="419" t="str">
        <x:v>Copied scans/images</x:v>
      </x:c>
      <x:c r="B13" s="419" t="n">
        <x:v>0</x:v>
      </x:c>
      <x:c r="C13" s="419" t="str">
        <x:v>Manual preservation control</x:v>
      </x:c>
      <x:c r="D13" s="419" t="str">
        <x:v>None embedded.</x:v>
      </x:c>
      <x:c r="E13" s="419" t="str">
        <x:v>PASS</x:v>
      </x:c>
      <x:c r="F13" s="419" t="str">
        <x:v>Links and factual paraphrases only.</x:v>
      </x:c>
      <x:c r="J13" s="419" t="str">
        <x:v>DUP-REDLINE-FIRST-AD</x:v>
      </x:c>
      <x:c r="K13" s="419" t="n">
        <x:v>2</x:v>
      </x:c>
      <x:c r="L13" s="419" t="str">
        <x:v>BM-AD-0010: First Red Line magazine advertisement featuring John Palfreyman | MB-OBJ-0002: First Red Line magazine advertisement featuring John Palfreyman</x:v>
      </x:c>
      <x:c r="M13" s="419" t="str">
        <x:v>MERGE identity; retain all source occurrences</x:v>
      </x:c>
      <x:c r="N13" s="419" t="str">
        <x:v>REVIEWED</x:v>
      </x:c>
    </x:row>
    <x:row r="14">
      <x:c r="A14" s="419" t="str">
        <x:v>Personal street addresses retained</x:v>
      </x:c>
      <x:c r="B14" s="419" t="n">
        <x:v>0</x:v>
      </x:c>
      <x:c r="C14" s="419" t="str">
        <x:v>Manual privacy control</x:v>
      </x:c>
      <x:c r="D14" s="419" t="str">
        <x:v>None intentionally stored in new flyer records.</x:v>
      </x:c>
      <x:c r="E14" s="419" t="str">
        <x:v>PASS</x:v>
      </x:c>
      <x:c r="F14" s="419" t="str">
        <x:v>Contact roles retained without unnecessary addresses.</x:v>
      </x:c>
      <x:c r="J14" s="419" t="str">
        <x:v>DUP-TORKER-FIRST-AD</x:v>
      </x:c>
      <x:c r="K14" s="419" t="n">
        <x:v>2</x:v>
      </x:c>
      <x:c r="L14" s="419" t="str">
        <x:v>BM-AD-0009: First Torker advertisement in BMX Weekly | MB-OBJ-0012: First Torker advertisement in BMX Weekly</x:v>
      </x:c>
      <x:c r="M14" s="419" t="str">
        <x:v>MERGE identity; retain all source occurrences</x:v>
      </x:c>
      <x:c r="N14" s="419" t="str">
        <x:v>REVIEWED</x:v>
      </x:c>
    </x:row>
    <x:row r="15">
      <x:c r="A15" s="419" t="str">
        <x:v>Formula/error scan</x:v>
      </x:c>
      <x:c r="B15" s="419" t="n">
        <x:v>0</x:v>
      </x:c>
      <x:c r="C15" s="419" t="str">
        <x:v>Final workbook inspection</x:v>
      </x:c>
      <x:c r="D15" s="419" t="str">
        <x:v>Final inspection found no formula-error cells.</x:v>
      </x:c>
      <x:c r="E15" s="419" t="str">
        <x:v>PASS</x:v>
      </x:c>
      <x:c r="F15" s="419" t="str">
        <x:v>Verified with workbook-wide error-pattern scan.</x:v>
      </x:c>
    </x:row>
  </x:sheetData>
  <x:mergeCells>
    <x:mergeCell ref="A1:N1"/>
    <x:mergeCell ref="A2:N2"/>
  </x:mergeCells>
  <x:conditionalFormatting sqref="E5:E15">
    <x:cfRule type="expression" dxfId="25" priority="1">
      <x:formula>E5="PASS"</x:formula>
    </x:cfRule>
    <x:cfRule type="expression" dxfId="26" priority="2">
      <x:formula>E5="PENDING"</x:formula>
    </x:cfRule>
  </x:conditionalFormatting>
  <x:pageMargins left="0.7" right="0.7" top="0.75" bottom="0.75" header="0.3" footer="0.3"/>
  <x:tableParts count="2">
    <x:tablePart xmlns:r="http://schemas.openxmlformats.org/officeDocument/2006/relationships" r:id="R1cbd0a39f32745e4"/>
    <x:tablePart xmlns:r="http://schemas.openxmlformats.org/officeDocument/2006/relationships" r:id="Rf9deb1b8f87c4d87"/>
  </x:tableParts>
</x:worksheet>
</file>

<file path=xl/worksheets/sheet51.xml><?xml version="1.0" encoding="utf-8"?>
<x:worksheet xmlns:x="http://schemas.openxmlformats.org/spreadsheetml/2006/main">
  <x:sheetFormatPr defaultRowHeight="15"/>
  <x:cols>
    <x:col min="1" max="1" width="16" hidden="0" customWidth="1"/>
    <x:col min="2" max="2" width="30" hidden="0" customWidth="1"/>
    <x:col min="3" max="3" width="33" hidden="0" customWidth="1"/>
    <x:col min="4" max="4" width="41" hidden="0" customWidth="1"/>
    <x:col min="5" max="5" width="18" hidden="0" customWidth="1"/>
    <x:col min="6" max="6" width="24" hidden="0" customWidth="1"/>
    <x:col min="7" max="7" width="29" hidden="0" customWidth="1"/>
    <x:col min="8" max="8" width="42" hidden="0" customWidth="1"/>
  </x:cols>
  <x:sheetData>
    <x:row r="1" ht="30" customHeight="1">
      <x:c r="A1" s="404" t="str">
        <x:v>v1.0 — Preservation &amp; Release Report</x:v>
      </x:c>
    </x:row>
    <x:row r="2" ht="34" customHeight="1">
      <x:c r="A2" s="408" t="str">
        <x:v>Preservation plan for the consolidated public-knowledge register. The workbook preserves metadata, provenance, uncertainty and source dependencies without embedding protected scans.</x:v>
      </x:c>
    </x:row>
    <x:row r="4" ht="34" customHeight="1">
      <x:c r="A4" s="414" t="str">
        <x:v>Section</x:v>
      </x:c>
      <x:c r="B4" s="414" t="str">
        <x:v>Item</x:v>
      </x:c>
      <x:c r="C4" s="414" t="str">
        <x:v>Status / Value</x:v>
      </x:c>
      <x:c r="D4" s="414" t="str">
        <x:v>Preservation Action</x:v>
      </x:c>
      <x:c r="E4" s="414" t="str">
        <x:v>Rights / Risk</x:v>
      </x:c>
      <x:c r="F4" s="414" t="str">
        <x:v>Owner / Next Review</x:v>
      </x:c>
      <x:c r="G4" s="414" t="str">
        <x:v>Evidence Location</x:v>
      </x:c>
      <x:c r="H4" s="414" t="str">
        <x:v>Notes</x:v>
      </x:c>
    </x:row>
    <x:row r="5">
      <x:c r="A5" s="419" t="str">
        <x:v>Release</x:v>
      </x:c>
      <x:c r="B5" s="419" t="str">
        <x:v>Release designation</x:v>
      </x:c>
      <x:c r="C5" s="419" t="str">
        <x:v>v1.0 — Consolidated Ephemera Sequence</x:v>
      </x:c>
      <x:c r="D5" s="419" t="str">
        <x:v>Treat as first integrated price-sheet/flyer milestone.</x:v>
      </x:c>
      <x:c r="E5" s="419" t="str">
        <x:v>GREEN</x:v>
      </x:c>
      <x:c r="F5" s="419" t="str">
        <x:v>Lititz BMX</x:v>
      </x:c>
      <x:c r="G5" s="419" t="str">
        <x:v>Workbook / Version Changelog</x:v>
      </x:c>
      <x:c r="H5" s="419" t="str">
        <x:v>Built from v0.5 plus v0.6–v0.9 sequence.</x:v>
      </x:c>
    </x:row>
    <x:row r="6">
      <x:c r="A6" s="419" t="str">
        <x:v>Release</x:v>
      </x:c>
      <x:c r="B6" s="419" t="str">
        <x:v>Authoritative workbook filename</x:v>
      </x:c>
      <x:c r="C6" s="419" t="str">
        <x:v>Lititz_BMX_BMXMuseum_Public_Knowledge_Register_v1.0_Consolidated_Ephemera.xlsx</x:v>
      </x:c>
      <x:c r="D6" s="419" t="str">
        <x:v>Preserve unchanged release copy.</x:v>
      </x:c>
      <x:c r="E6" s="419" t="str">
        <x:v>GREEN</x:v>
      </x:c>
      <x:c r="F6" s="419" t="str">
        <x:v>Lititz BMX</x:v>
      </x:c>
      <x:c r="G6" s="419" t="str">
        <x:v>Companion SHA-256 manifest</x:v>
      </x:c>
      <x:c r="H6" s="419" t="str">
        <x:v>Checksum is external because a workbook cannot contain a stable checksum of itself.</x:v>
      </x:c>
    </x:row>
    <x:row r="7">
      <x:c r="A7" s="419" t="str">
        <x:v>Scope</x:v>
      </x:c>
      <x:c r="B7" s="419" t="str">
        <x:v>Master source records</x:v>
      </x:c>
      <x:c r="C7" s="419" t="n">
        <x:f>COUNTA('v1.0 Master Ephemera'!A5:A200)</x:f>
        <x:v>61</x:v>
      </x:c>
      <x:c r="D7" s="419" t="str">
        <x:v>Retain every source occurrence; use duplicate groups for canonical identity.</x:v>
      </x:c>
      <x:c r="E7" s="419" t="str">
        <x:v>GREEN</x:v>
      </x:c>
      <x:c r="F7" s="419" t="str">
        <x:v>Research lead</x:v>
      </x:c>
      <x:c r="G7" s="419" t="str">
        <x:v>v1.0 Master Ephemera</x:v>
      </x:c>
      <x:c r="H7" s="419" t="str">
        <x:v>Formula-driven count.</x:v>
      </x:c>
    </x:row>
    <x:row r="8">
      <x:c r="A8" s="419" t="str">
        <x:v>Scope</x:v>
      </x:c>
      <x:c r="B8" s="419" t="str">
        <x:v>Normalized price observations</x:v>
      </x:c>
      <x:c r="C8" s="419" t="n">
        <x:f>COUNTA('v1.0 Price Observations'!A5:A200)</x:f>
        <x:v>38</x:v>
      </x:c>
      <x:c r="D8" s="419" t="str">
        <x:v>Retain seller/date/currency/configuration context; never average by model.</x:v>
      </x:c>
      <x:c r="E8" s="419" t="str">
        <x:v>GREEN</x:v>
      </x:c>
      <x:c r="F8" s="419" t="str">
        <x:v>Research lead</x:v>
      </x:c>
      <x:c r="G8" s="419" t="str">
        <x:v>v1.0 Price Observations</x:v>
      </x:c>
      <x:c r="H8" s="419" t="str">
        <x:v>No inflation adjustment performed.</x:v>
      </x:c>
    </x:row>
    <x:row r="9">
      <x:c r="A9" s="419" t="str">
        <x:v>Scope</x:v>
      </x:c>
      <x:c r="B9" s="419" t="str">
        <x:v>Flyer/promotional sequence records</x:v>
      </x:c>
      <x:c r="C9" s="419" t="n">
        <x:f>COUNTA('v0.9 Flyer Register'!A5:A100)</x:f>
        <x:v>12</x:v>
      </x:c>
      <x:c r="D9" s="419" t="str">
        <x:v>Preserve event, mailer, contest, dealer and tour types separately.</x:v>
      </x:c>
      <x:c r="E9" s="419" t="str">
        <x:v>GREEN</x:v>
      </x:c>
      <x:c r="F9" s="419" t="str">
        <x:v>Research lead</x:v>
      </x:c>
      <x:c r="G9" s="419" t="str">
        <x:v>v0.9 Flyer Register</x:v>
      </x:c>
      <x:c r="H9" s="419" t="str">
        <x:v>Personal street addresses intentionally excluded.</x:v>
      </x:c>
    </x:row>
    <x:row r="10">
      <x:c r="A10" s="419" t="str">
        <x:v>Rights</x:v>
      </x:c>
      <x:c r="B10" s="419" t="str">
        <x:v>Copied source scans/images</x:v>
      </x:c>
      <x:c r="C10" s="419" t="n">
        <x:v>0</x:v>
      </x:c>
      <x:c r="D10" s="419" t="str">
        <x:v>Continue link-only and metadata-only treatment absent permission or clear license.</x:v>
      </x:c>
      <x:c r="E10" s="419" t="str">
        <x:v>GREEN</x:v>
      </x:c>
      <x:c r="F10" s="419" t="str">
        <x:v>Rights review</x:v>
      </x:c>
      <x:c r="G10" s="419" t="str">
        <x:v>Method &amp; Rights</x:v>
      </x:c>
      <x:c r="H10" s="419" t="str">
        <x:v>No source scans embedded.</x:v>
      </x:c>
    </x:row>
    <x:row r="11">
      <x:c r="A11" s="419" t="str">
        <x:v>Rights</x:v>
      </x:c>
      <x:c r="B11" s="419" t="str">
        <x:v>BMXA/JMC imagery</x:v>
      </x:c>
      <x:c r="C11" s="419" t="str">
        <x:v>Permission controlled</x:v>
      </x:c>
      <x:c r="D11" s="419" t="str">
        <x:v>Seek Bob Osborn written permission before copying/reproducing BMXA images cited by JMC archive.</x:v>
      </x:c>
      <x:c r="E11" s="419" t="str">
        <x:v>RESTRICTED</x:v>
      </x:c>
      <x:c r="F11" s="419" t="str">
        <x:v>Rights review</x:v>
      </x:c>
      <x:c r="G11" s="419" t="str">
        <x:v>Method &amp; Rights</x:v>
      </x:c>
      <x:c r="H11" s="419" t="str">
        <x:v>Bibliographic facts may remain paraphrased.</x:v>
      </x:c>
    </x:row>
    <x:row r="12">
      <x:c r="A12" s="419" t="str">
        <x:v>Access</x:v>
      </x:c>
      <x:c r="B12" s="419" t="str">
        <x:v>BMXMuseum direct automated paths</x:v>
      </x:c>
      <x:c r="C12" s="419" t="str">
        <x:v>Blocked / not bypassed</x:v>
      </x:c>
      <x:c r="D12" s="419" t="str">
        <x:v>Use public indexing, canonical backlinks, official sources and bounded permission requests.</x:v>
      </x:c>
      <x:c r="E12" s="419" t="str">
        <x:v>GREEN</x:v>
      </x:c>
      <x:c r="F12" s="419" t="str">
        <x:v>Technical review</x:v>
      </x:c>
      <x:c r="G12" s="419" t="str">
        <x:v>Method &amp; Rights</x:v>
      </x:c>
      <x:c r="H12" s="419" t="str">
        <x:v>No robots, login or block circumvention.</x:v>
      </x:c>
    </x:row>
    <x:row r="13">
      <x:c r="A13" s="419" t="str">
        <x:v>Dependency</x:v>
      </x:c>
      <x:c r="B13" s="419" t="str">
        <x:v>External source register</x:v>
      </x:c>
      <x:c r="C13" s="419" t="n">
        <x:f>COUNTA('v1.0 Source Register'!A5:A200)</x:f>
        <x:v>57</x:v>
      </x:c>
      <x:c r="D13" s="419" t="str">
        <x:v>Archive URLs, access dates, domains and use counts.</x:v>
      </x:c>
      <x:c r="E13" s="419" t="str">
        <x:v>GREEN</x:v>
      </x:c>
      <x:c r="F13" s="419" t="str">
        <x:v>Preservation lead</x:v>
      </x:c>
      <x:c r="G13" s="419" t="str">
        <x:v>v1.0 Source Register</x:v>
      </x:c>
      <x:c r="H13" s="419" t="str">
        <x:v>Prioritize high-use sources for local bibliographic capture, subject to rights.</x:v>
      </x:c>
    </x:row>
    <x:row r="14">
      <x:c r="A14" s="419" t="str">
        <x:v>Integrity</x:v>
      </x:c>
      <x:c r="B14" s="419" t="str">
        <x:v>Duplicate control</x:v>
      </x:c>
      <x:c r="C14" s="419" t="n">
        <x:f>COUNTA('v1.0 Audit'!J5:J100)</x:f>
        <x:v>10</x:v>
      </x:c>
      <x:c r="D14" s="419" t="str">
        <x:v>Merge identity only when group is reviewed; never discard evidence occurrences.</x:v>
      </x:c>
      <x:c r="E14" s="419" t="str">
        <x:v>GREEN</x:v>
      </x:c>
      <x:c r="F14" s="419" t="str">
        <x:v>Data steward</x:v>
      </x:c>
      <x:c r="G14" s="419" t="str">
        <x:v>v1.0 Audit</x:v>
      </x:c>
      <x:c r="H14" s="419" t="str">
        <x:v>Ten reviewed duplicate groups.</x:v>
      </x:c>
    </x:row>
    <x:row r="15">
      <x:c r="A15" s="419" t="str">
        <x:v>Integrity</x:v>
      </x:c>
      <x:c r="B15" s="419" t="str">
        <x:v>Open-question preservation</x:v>
      </x:c>
      <x:c r="C15" s="419" t="str">
        <x:v>Active</x:v>
      </x:c>
      <x:c r="D15" s="419" t="str">
        <x:v>Retain unresolved exact IDs, dates, models and price bases as explicit fields.</x:v>
      </x:c>
      <x:c r="E15" s="419" t="str">
        <x:v>GREEN</x:v>
      </x:c>
      <x:c r="F15" s="419" t="str">
        <x:v>Research lead</x:v>
      </x:c>
      <x:c r="G15" s="419" t="str">
        <x:v>Master/Audit</x:v>
      </x:c>
      <x:c r="H15" s="419" t="str">
        <x:v>Zero result is not absence.</x:v>
      </x:c>
    </x:row>
    <x:row r="16">
      <x:c r="A16" s="419" t="str">
        <x:v>Integrity</x:v>
      </x:c>
      <x:c r="B16" s="419" t="str">
        <x:v>Formula verification</x:v>
      </x:c>
      <x:c r="C16" s="419" t="str">
        <x:v>PASS — 0 formula-error cells</x:v>
      </x:c>
      <x:c r="D16" s="419" t="str">
        <x:v>Final workbook-wide scan completed before release.</x:v>
      </x:c>
      <x:c r="E16" s="419" t="str">
        <x:v>GREEN</x:v>
      </x:c>
      <x:c r="F16" s="419" t="str">
        <x:v>Data steward</x:v>
      </x:c>
      <x:c r="G16" s="419" t="str">
        <x:v>v1.0 Audit</x:v>
      </x:c>
      <x:c r="H16" s="419" t="str">
        <x:v>Audit status updated after verification.</x:v>
      </x:c>
    </x:row>
    <x:row r="17">
      <x:c r="A17" s="419" t="str">
        <x:v>Packaging</x:v>
      </x:c>
      <x:c r="B17" s="419" t="str">
        <x:v>Companion checksum</x:v>
      </x:c>
      <x:c r="C17" s="419" t="str">
        <x:v>SHA-256 text manifest</x:v>
      </x:c>
      <x:c r="D17" s="419" t="str">
        <x:v>Store beside authoritative workbook and all version snapshots.</x:v>
      </x:c>
      <x:c r="E17" s="419" t="str">
        <x:v>GREEN</x:v>
      </x:c>
      <x:c r="F17" s="419" t="str">
        <x:v>Preservation lead</x:v>
      </x:c>
      <x:c r="G17" s="419" t="str">
        <x:v>Generated companion file</x:v>
      </x:c>
      <x:c r="H17" s="419" t="str">
        <x:v>Hash covers final exported workbook bytes.</x:v>
      </x:c>
    </x:row>
    <x:row r="18">
      <x:c r="A18" s="419" t="str">
        <x:v>Packaging</x:v>
      </x:c>
      <x:c r="B18" s="419" t="str">
        <x:v>Version snapshots</x:v>
      </x:c>
      <x:c r="C18" s="419" t="str">
        <x:v>v0.6, v0.7, v0.8, v0.9 retained</x:v>
      </x:c>
      <x:c r="D18" s="419" t="str">
        <x:v>Keep sequence snapshots read-only for provenance and rollback.</x:v>
      </x:c>
      <x:c r="E18" s="419" t="str">
        <x:v>GREEN</x:v>
      </x:c>
      <x:c r="F18" s="419" t="str">
        <x:v>Lititz BMX</x:v>
      </x:c>
      <x:c r="G18" s="419" t="str">
        <x:v>Download package</x:v>
      </x:c>
      <x:c r="H18" s="419" t="str">
        <x:v>Do not overwrite snapshots with later data.</x:v>
      </x:c>
    </x:row>
    <x:row r="19">
      <x:c r="A19" s="419" t="str">
        <x:v>Future</x:v>
      </x:c>
      <x:c r="B19" s="419" t="str">
        <x:v>Permission pathway</x:v>
      </x:c>
      <x:c r="C19" s="419" t="str">
        <x:v>Bounded metadata/export request</x:v>
      </x:c>
      <x:c r="D19" s="419" t="str">
        <x:v>Request authorized access rather than circumvent technical controls.</x:v>
      </x:c>
      <x:c r="E19" s="419" t="str">
        <x:v>GREEN</x:v>
      </x:c>
      <x:c r="F19" s="419" t="str">
        <x:v>Lititz BMX</x:v>
      </x:c>
      <x:c r="G19" s="419" t="str">
        <x:v>Method &amp; Rights</x:v>
      </x:c>
      <x:c r="H19" s="419" t="str">
        <x:v>Target exact references and metadata fields first.</x:v>
      </x:c>
    </x:row>
  </x:sheetData>
  <x:mergeCells>
    <x:mergeCell ref="A1:H1"/>
    <x:mergeCell ref="A2:H2"/>
  </x:mergeCells>
  <x:pageMargins left="0.7" right="0.7" top="0.75" bottom="0.75" header="0.3" footer="0.3"/>
  <x:tableParts count="1">
    <x:tablePart xmlns:r="http://schemas.openxmlformats.org/officeDocument/2006/relationships" r:id="R3e388f1ebf7849a6"/>
  </x:tableParts>
</x:worksheet>
</file>

<file path=xl/worksheets/sheet52.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29" hidden="0" customWidth="1"/>
    <x:col min="5" max="5" width="41" hidden="0" customWidth="1"/>
    <x:col min="6" max="6" width="22" hidden="0" customWidth="1"/>
    <x:col min="7" max="7" width="62" hidden="0" customWidth="1"/>
    <x:col min="8" max="8" width="16" hidden="0" customWidth="1"/>
  </x:cols>
  <x:sheetData>
    <x:row r="1" ht="30" customHeight="1">
      <x:c r="A1" s="404" t="str">
        <x:v>Version Changelog — Price Sheets, Flyers &amp; Ephemera Sequence</x:v>
      </x:c>
    </x:row>
    <x:row r="2" ht="34" customHeight="1">
      <x:c r="A2" s="408" t="str">
        <x:v>Sequence snapshots document cumulative additions. Earlier versions remain preserved as provenance artifacts.</x:v>
      </x:c>
    </x:row>
    <x:row r="4" ht="34" customHeight="1">
      <x:c r="A4" s="414" t="str">
        <x:v>Version</x:v>
      </x:c>
      <x:c r="B4" s="414" t="str">
        <x:v>Stage</x:v>
      </x:c>
      <x:c r="C4" s="414" t="str">
        <x:v>Primary Additions</x:v>
      </x:c>
      <x:c r="D4" s="414" t="str">
        <x:v>Object / Row Counts</x:v>
      </x:c>
      <x:c r="E4" s="414" t="str">
        <x:v>Key Finding</x:v>
      </x:c>
      <x:c r="F4" s="414" t="str">
        <x:v>Safety Result</x:v>
      </x:c>
      <x:c r="G4" s="414" t="str">
        <x:v>Output Filename</x:v>
      </x:c>
      <x:c r="H4" s="414" t="str">
        <x:v>Status</x:v>
      </x:c>
    </x:row>
    <x:row r="5">
      <x:c r="A5" s="419" t="str">
        <x:v>v0.5</x:v>
      </x:c>
      <x:c r="B5" s="419" t="str">
        <x:v>Integrated starting point</x:v>
      </x:c>
      <x:c r="C5" s="419" t="str">
        <x:v>JMC ephemera, reference recovery, inherited price/flyer branch</x:v>
      </x:c>
      <x:c r="D5" s="419" t="str">
        <x:v>16 master ads; 4 price; 2 flyer; 19 relationships</x:v>
      </x:c>
      <x:c r="E5" s="419" t="str">
        <x:v>Ashtabula 5027 exact; JMC/GT/Haro IDs open</x:v>
      </x:c>
      <x:c r="F5" s="419" t="str">
        <x:v>0 copied scans</x:v>
      </x:c>
      <x:c r="G5" s="419" t="str">
        <x:v>Lititz_BMX_BMXMuseum_Public_Knowledge_Register_v0.5_Integrated_Ephemera_Expansion.xlsx</x:v>
      </x:c>
      <x:c r="H5" s="419" t="str">
        <x:v>LOCKED INPUT</x:v>
      </x:c>
    </x:row>
    <x:row r="6">
      <x:c r="A6" s="419" t="str">
        <x:v>v0.6</x:v>
      </x:c>
      <x:c r="B6" s="419" t="str">
        <x:v>GT/Dyno</x:v>
      </x:c>
      <x:c r="C6" s="419" t="str">
        <x:v>3 catalog targets, retailer ads, contest entry form, normalized prices</x:v>
      </x:c>
      <x:c r="D6" s="419" t="str">
        <x:v>6 objects; 21 price observations</x:v>
      </x:c>
      <x:c r="E6" s="419" t="str">
        <x:v>$319 model remains unresolved rather than guessed</x:v>
      </x:c>
      <x:c r="F6" s="419" t="str">
        <x:v>0 copied scans</x:v>
      </x:c>
      <x:c r="G6" s="419" t="str">
        <x:v>Lititz_BMX_BMXMuseum_Public_Knowledge_Register_v0.6_GTDyno.xlsx</x:v>
      </x:c>
      <x:c r="H6" s="419" t="str">
        <x:v>COMPLETE</x:v>
      </x:c>
    </x:row>
    <x:row r="7">
      <x:c r="A7" s="419" t="str">
        <x:v>v0.7</x:v>
      </x:c>
      <x:c r="B7" s="419" t="str">
        <x:v>Haro &amp; Ashtabula</x:v>
      </x:c>
      <x:c r="C7" s="419" t="str">
        <x:v>Official Haro catalog evidence, model discovery, exact Ashtabula reference/corroboration</x:v>
      </x:c>
      <x:c r="D7" s="419" t="str">
        <x:v>8 Haro; 5 Ashtabula; 5 Haro price context</x:v>
      </x:c>
      <x:c r="E7" s="419" t="str">
        <x:v>Official existence and reconstructed model claims kept separate</x:v>
      </x:c>
      <x:c r="F7" s="419" t="str">
        <x:v>0 copied scans</x:v>
      </x:c>
      <x:c r="G7" s="419" t="str">
        <x:v>Lititz_BMX_BMXMuseum_Public_Knowledge_Register_v0.7_Haro_Ashtabula.xlsx</x:v>
      </x:c>
      <x:c r="H7" s="419" t="str">
        <x:v>COMPLETE</x:v>
      </x:c>
    </x:row>
    <x:row r="8">
      <x:c r="A8" s="419" t="str">
        <x:v>v0.8</x:v>
      </x:c>
      <x:c r="B8" s="419" t="str">
        <x:v>Major brands</x:v>
      </x:c>
      <x:c r="C8" s="419" t="str">
        <x:v>Redline, Mongoose, SE Racing, Diamond Back, Torker</x:v>
      </x:c>
      <x:c r="D8" s="419" t="str">
        <x:v>14 objects; 8 price observations</x:v>
      </x:c>
      <x:c r="E8" s="419" t="str">
        <x:v>Manufacturer, archive, distributor and retailer roles separated</x:v>
      </x:c>
      <x:c r="F8" s="419" t="str">
        <x:v>0 copied scans</x:v>
      </x:c>
      <x:c r="G8" s="419" t="str">
        <x:v>Lititz_BMX_BMXMuseum_Public_Knowledge_Register_v0.8_Major_Brands.xlsx</x:v>
      </x:c>
      <x:c r="H8" s="419" t="str">
        <x:v>COMPLETE</x:v>
      </x:c>
    </x:row>
    <x:row r="9">
      <x:c r="A9" s="419" t="str">
        <x:v>v0.9</x:v>
      </x:c>
      <x:c r="B9" s="419" t="str">
        <x:v>Flyers</x:v>
      </x:c>
      <x:c r="C9" s="419" t="str">
        <x:v>Event, dealer, team, contest, mailer and tour records</x:v>
      </x:c>
      <x:c r="D9" s="419" t="str">
        <x:v>12 flyer/promotional records</x:v>
      </x:c>
      <x:c r="E9" s="419" t="str">
        <x:v>Event facts captured without unnecessary personal addresses</x:v>
      </x:c>
      <x:c r="F9" s="419" t="str">
        <x:v>0 copied scans</x:v>
      </x:c>
      <x:c r="G9" s="419" t="str">
        <x:v>Lititz_BMX_BMXMuseum_Public_Knowledge_Register_v0.9_Flyers.xlsx</x:v>
      </x:c>
      <x:c r="H9" s="419" t="str">
        <x:v>COMPLETE</x:v>
      </x:c>
    </x:row>
    <x:row r="10">
      <x:c r="A10" s="419" t="str">
        <x:v>v1.0</x:v>
      </x:c>
      <x:c r="B10" s="419" t="str">
        <x:v>Consolidation</x:v>
      </x:c>
      <x:c r="C10" s="419" t="str">
        <x:v>Master register, duplicate control, normalized prices, source register, chronology, preservation and audit</x:v>
      </x:c>
      <x:c r="D10" s="419" t="str">
        <x:v>61 source records; 38 prices; 57 sources</x:v>
      </x:c>
      <x:c r="E10" s="419" t="str">
        <x:v>Source occurrences preserved while duplicate identities are reviewed</x:v>
      </x:c>
      <x:c r="F10" s="419" t="str">
        <x:v>0 copied scans</x:v>
      </x:c>
      <x:c r="G10" s="419" t="str">
        <x:v>Lititz_BMX_BMXMuseum_Public_Knowledge_Register_v1.0_Consolidated_Ephemera.xlsx</x:v>
      </x:c>
      <x:c r="H10" s="419" t="str">
        <x:v>RELEASE</x:v>
      </x:c>
    </x:row>
    <x:row r="11" ht="64" customHeight="1">
      <x:c r="A11" s="458" t="str">
        <x:v>v1.1</x:v>
      </x:c>
      <x:c r="B11" s="458" t="str">
        <x:v>Authentication evidence integration</x:v>
      </x:c>
      <x:c r="C11" s="458" t="str">
        <x:v>Five artifact dossiers, 12 captured evidence files, SHA-256 manifest, claim grades, provisional conclusions and evidence gates</x:v>
      </x:c>
      <x:c r="D11" s="458" t="str">
        <x:v>12 evidence files; 21 graded claims; 14 open gates</x:v>
      </x:c>
      <x:c r="E11" s="458" t="str">
        <x:v>Official results and visible object evidence are prevented from silently authenticating rarity, production order or exact historical use</x:v>
      </x:c>
      <x:c r="F11" s="458" t="str">
        <x:v>Collection images captured; no BMXMuseum source images copied</x:v>
      </x:c>
      <x:c r="G11" s="458" t="str">
        <x:v>Lititz_BMX_BMXMuseum_Public_Knowledge_Register_v1.1_Authentication_Evidence_Integration.xlsx</x:v>
      </x:c>
      <x:c r="H11" s="458" t="str">
        <x:v>RELEASE</x:v>
      </x:c>
    </x:row>
    <x:row r="12" ht="50" customHeight="1">
      <x:c r="A12" s="26" t="str">
        <x:v>v1.5</x:v>
      </x:c>
      <x:c r="B12" s="26" t="str">
        <x:v>2026-07-30</x:v>
      </x:c>
      <x:c r="C12" s="26" t="str">
        <x:v>JMC production and reference deep dossier</x:v>
      </x:c>
      <x:c r="D12" s="26" t="str">
        <x:v>Added 14 JMC-focused sheets and locked major chronology/serial corrections.</x:v>
      </x:c>
      <x:c r="E12" s="26" t="str">
        <x:v>Permission-free public sources only.</x:v>
      </x:c>
      <x:c r="F12" s="26" t="str">
        <x:v>COMPLETE</x:v>
      </x:c>
      <x:c r="G12" s="26" t="str">
        <x:v>v1.6 GT/Dyno</x:v>
      </x:c>
      <x:c r="H12" s="26" t="str">
        <x:v>Lititz BMX</x:v>
      </x:c>
    </x:row>
    <x:row r="13" ht="50" customHeight="1">
      <x:c r="A13" s="26" t="str">
        <x:v>v1.6</x:v>
      </x:c>
      <x:c r="B13" s="26" t="str">
        <x:v>2026-07-30</x:v>
      </x:c>
      <x:c r="C13" s="26" t="str">
        <x:v>GT/Dyno catalog-controlled dossier</x:v>
      </x:c>
      <x:c r="D13" s="26" t="str">
        <x:v>Added 15 GT/Dyno-focused sheets, 28 exact/public objects and 15 locked corrections.</x:v>
      </x:c>
      <x:c r="E13" s="26" t="str">
        <x:v>Permission-free public sources only.</x:v>
      </x:c>
      <x:c r="F13" s="26" t="str">
        <x:v>COMPLETE</x:v>
      </x:c>
      <x:c r="G13" s="26" t="str">
        <x:v>v1.7 ephemera expansion</x:v>
      </x:c>
      <x:c r="H13" s="26" t="str">
        <x:v>Lititz BMX</x:v>
      </x:c>
    </x:row>
    <x:row r="14" ht="52" customHeight="1">
      <x:c r="A14" s="26" t="str">
        <x:v>v1.7</x:v>
      </x:c>
      <x:c r="B14" s="26" t="str">
        <x:v>2026-07-30</x:v>
      </x:c>
      <x:c r="C14" s="26" t="str">
        <x:v>Broad ephemera source expansion</x:v>
      </x:c>
      <x:c r="D14" s="26" t="str">
        <x:v>Added 13 source-type sheets across eight priority brands, 32 catalog objects and 16 normalized prices.</x:v>
      </x:c>
      <x:c r="E14" s="26" t="str">
        <x:v>Permission-free public sources only.</x:v>
      </x:c>
      <x:c r="F14" s="26" t="str">
        <x:v>COMPLETE</x:v>
      </x:c>
      <x:c r="G14" s="26" t="str">
        <x:v>Public-release schema / priority recovery</x:v>
      </x:c>
      <x:c r="H14" s="26" t="str">
        <x:v>Lititz BMX</x:v>
      </x:c>
    </x:row>
    <x:row r="15" ht="52" customHeight="1">
      <x:c r="A15" s="26" t="str">
        <x:v>v1.8</x:v>
      </x:c>
      <x:c r="B15" s="26" t="str">
        <x:v>2026-07-30</x:v>
      </x:c>
      <x:c r="C15" s="26" t="str">
        <x:v>Public release schema and recovery</x:v>
      </x:c>
      <x:c r="D15" s="26" t="str">
        <x:v>Added publication schema, formula-driven page queue, four prototype pages and ten recovery findings.</x:v>
      </x:c>
      <x:c r="E15" s="26" t="str">
        <x:v>Permission-free public sources only.</x:v>
      </x:c>
      <x:c r="F15" s="26" t="str">
        <x:v>COMPLETE</x:v>
      </x:c>
      <x:c r="G15" s="26" t="str">
        <x:v>Production page templates / first release batch</x:v>
      </x:c>
      <x:c r="H15" s="26" t="str">
        <x:v>Lititz BMX</x:v>
      </x:c>
    </x:row>
  </x:sheetData>
  <x:mergeCells>
    <x:mergeCell ref="A1:H1"/>
    <x:mergeCell ref="A2:H2"/>
  </x:mergeCells>
  <x:pageMargins left="0.7" right="0.7" top="0.75" bottom="0.75" header="0.3" footer="0.3"/>
  <x:tableParts count="1">
    <x:tablePart xmlns:r="http://schemas.openxmlformats.org/officeDocument/2006/relationships" r:id="R332772ac0374416a"/>
  </x:tableParts>
</x:worksheet>
</file>

<file path=xl/worksheets/sheet53.xml><?xml version="1.0" encoding="utf-8"?>
<x:worksheet xmlns:x="http://schemas.openxmlformats.org/spreadsheetml/2006/main">
  <x:sheetFormatPr defaultRowHeight="15"/>
  <x:cols>
    <x:col min="1" max="1" width="27" hidden="0" customWidth="1"/>
    <x:col min="2" max="2" width="13" hidden="0" customWidth="1"/>
    <x:col min="3" max="3" width="42" hidden="0" customWidth="1"/>
    <x:col min="4" max="4" width="34" hidden="0" customWidth="1"/>
    <x:col min="5" max="5" width="14" hidden="0" customWidth="1"/>
    <x:col min="6" max="6" width="26" hidden="0" customWidth="1"/>
    <x:col min="7" max="7" width="38" hidden="0" customWidth="1"/>
    <x:col min="8" max="8" width="12" hidden="0" customWidth="1"/>
    <x:col min="10" max="10" width="18" hidden="0" customWidth="1"/>
    <x:col min="11" max="11" width="17" hidden="0" customWidth="1"/>
  </x:cols>
  <x:sheetData>
    <x:row r="1" ht="30" customHeight="1">
      <x:c r="A1" s="404" t="str">
        <x:v>v1.0 — Consolidated Ephemera Release Dashboard</x:v>
      </x:c>
    </x:row>
    <x:row r="2" ht="34" customHeight="1">
      <x:c r="A2" s="408" t="str">
        <x:v>Price sheets, catalogs, flyers, advertisements, mailers and period price observations consolidated with duplicate control, chronology, source dependencies and preservation controls.</x:v>
      </x:c>
    </x:row>
    <x:row r="4" ht="34" customHeight="1">
      <x:c r="A4" s="414" t="str">
        <x:v>Metric</x:v>
      </x:c>
      <x:c r="B4" s="414" t="str">
        <x:v>Value</x:v>
      </x:c>
      <x:c r="C4" s="414" t="str">
        <x:v>Release Interpretation</x:v>
      </x:c>
      <x:c r="D4" s="414" t="str">
        <x:v>Control</x:v>
      </x:c>
      <x:c r="E4" s="414" t="str">
        <x:v>Status</x:v>
      </x:c>
      <x:c r="F4" s="414" t="str">
        <x:v>Evidence Sheet</x:v>
      </x:c>
      <x:c r="G4" s="414" t="str">
        <x:v>Next Priority</x:v>
      </x:c>
      <x:c r="H4" s="414" t="str">
        <x:v>Version</x:v>
      </x:c>
      <x:c r="J4" s="414" t="str">
        <x:v>Stage</x:v>
      </x:c>
      <x:c r="K4" s="414" t="str">
        <x:v>Source records</x:v>
      </x:c>
    </x:row>
    <x:row r="5">
      <x:c r="A5" s="419" t="str">
        <x:v>Master source records</x:v>
      </x:c>
      <x:c r="B5" s="419" t="n">
        <x:f>COUNTA('v1.0 Master Ephemera'!A5:A200)</x:f>
        <x:v>61</x:v>
      </x:c>
      <x:c r="C5" s="419" t="str">
        <x:v>Every inherited and sequence source occurrence remains visible.</x:v>
      </x:c>
      <x:c r="D5" s="419" t="str">
        <x:v>No destructive deduplication.</x:v>
      </x:c>
      <x:c r="E5" s="419" t="str">
        <x:v>GREEN</x:v>
      </x:c>
      <x:c r="F5" s="419" t="str">
        <x:v>v1.0 Master Ephemera</x:v>
      </x:c>
      <x:c r="G5" s="419" t="str">
        <x:v>Recover remaining exact reference IDs.</x:v>
      </x:c>
      <x:c r="H5" s="419" t="str">
        <x:v>v1.0</x:v>
      </x:c>
      <x:c r="J5" s="419" t="str">
        <x:v>v0.5 inherited</x:v>
      </x:c>
      <x:c r="K5" s="419" t="n">
        <x:f>COUNTIF('v1.0 Master Ephemera'!B5:B200,J5)</x:f>
        <x:v>16</x:v>
      </x:c>
    </x:row>
    <x:row r="6">
      <x:c r="A6" s="419" t="str">
        <x:v>Estimated canonical objects</x:v>
      </x:c>
      <x:c r="B6" s="419" t="n">
        <x:v>51</x:v>
      </x:c>
      <x:c r="C6" s="419" t="str">
        <x:v>Reviewed duplicate groups collapse identity only for reporting.</x:v>
      </x:c>
      <x:c r="D6" s="419" t="str">
        <x:v>Source occurrences retained.</x:v>
      </x:c>
      <x:c r="E6" s="419" t="str">
        <x:v>GREEN</x:v>
      </x:c>
      <x:c r="F6" s="419" t="str">
        <x:v>v1.0 Audit</x:v>
      </x:c>
      <x:c r="G6" s="419" t="str">
        <x:v>Review new overlaps manually.</x:v>
      </x:c>
      <x:c r="H6" s="419" t="str">
        <x:v>v1.0</x:v>
      </x:c>
      <x:c r="J6" s="419" t="str">
        <x:v>v0.6</x:v>
      </x:c>
      <x:c r="K6" s="419" t="n">
        <x:f>COUNTIF('v1.0 Master Ephemera'!B5:B200,J6)</x:f>
        <x:v>6</x:v>
      </x:c>
    </x:row>
    <x:row r="7">
      <x:c r="A7" s="419" t="str">
        <x:v>Reviewed duplicate groups</x:v>
      </x:c>
      <x:c r="B7" s="419" t="n">
        <x:f>COUNTA('v1.0 Audit'!J5:J100)</x:f>
        <x:v>10</x:v>
      </x:c>
      <x:c r="C7" s="419" t="str">
        <x:v>Known cross-stage overlaps are labeled and auditable.</x:v>
      </x:c>
      <x:c r="D7" s="419" t="str">
        <x:v>No fuzzy auto-merge.</x:v>
      </x:c>
      <x:c r="E7" s="419" t="str">
        <x:v>GREEN</x:v>
      </x:c>
      <x:c r="F7" s="419" t="str">
        <x:v>v1.0 Audit</x:v>
      </x:c>
      <x:c r="G7" s="419" t="str">
        <x:v>Expand groups only with evidence.</x:v>
      </x:c>
      <x:c r="H7" s="419" t="str">
        <x:v>v1.0</x:v>
      </x:c>
      <x:c r="J7" s="419" t="str">
        <x:v>v0.7</x:v>
      </x:c>
      <x:c r="K7" s="419" t="n">
        <x:f>COUNTIF('v1.0 Master Ephemera'!B5:B200,J7)</x:f>
        <x:v>13</x:v>
      </x:c>
    </x:row>
    <x:row r="8">
      <x:c r="A8" s="419" t="str">
        <x:v>Normalized price observations</x:v>
      </x:c>
      <x:c r="B8" s="419" t="n">
        <x:f>COUNTA('v1.0 Price Observations'!A5:A200)</x:f>
        <x:v>38</x:v>
      </x:c>
      <x:c r="C8" s="419" t="str">
        <x:v>Prices retain model, date, currency, seller and price-basis context.</x:v>
      </x:c>
      <x:c r="D8" s="419" t="str">
        <x:v>No averaging / no inflation adjustment.</x:v>
      </x:c>
      <x:c r="E8" s="419" t="str">
        <x:v>GREEN</x:v>
      </x:c>
      <x:c r="F8" s="419" t="str">
        <x:v>v1.0 Price Observations</x:v>
      </x:c>
      <x:c r="G8" s="419" t="str">
        <x:v>Inspect OCR-uncertain pages.</x:v>
      </x:c>
      <x:c r="H8" s="419" t="str">
        <x:v>v1.0</x:v>
      </x:c>
      <x:c r="J8" s="419" t="str">
        <x:v>v0.8</x:v>
      </x:c>
      <x:c r="K8" s="419" t="n">
        <x:f>COUNTIF('v1.0 Master Ephemera'!B5:B200,J8)</x:f>
        <x:v>14</x:v>
      </x:c>
    </x:row>
    <x:row r="9">
      <x:c r="A9" s="419" t="str">
        <x:v>Flyer/promotional records</x:v>
      </x:c>
      <x:c r="B9" s="419" t="n">
        <x:f>COUNTA('v0.9 Flyer Register'!A5:A100)</x:f>
        <x:v>12</x:v>
      </x:c>
      <x:c r="C9" s="419" t="str">
        <x:v>Events, dealers, teams, contests, mailers and tours are distinct.</x:v>
      </x:c>
      <x:c r="D9" s="419" t="str">
        <x:v>Privacy-minimized.</x:v>
      </x:c>
      <x:c r="E9" s="419" t="str">
        <x:v>GREEN</x:v>
      </x:c>
      <x:c r="F9" s="419" t="str">
        <x:v>v0.9 Flyer Register</x:v>
      </x:c>
      <x:c r="G9" s="419" t="str">
        <x:v>Resolve dates/venues and surviving pack contents.</x:v>
      </x:c>
      <x:c r="H9" s="419" t="str">
        <x:v>v1.0</x:v>
      </x:c>
      <x:c r="J9" s="419" t="str">
        <x:v>v0.9</x:v>
      </x:c>
      <x:c r="K9" s="419" t="n">
        <x:f>COUNTIF('v1.0 Master Ephemera'!B5:B200,J9)</x:f>
        <x:v>12</x:v>
      </x:c>
    </x:row>
    <x:row r="10">
      <x:c r="A10" s="419" t="str">
        <x:v>Registered source URLs</x:v>
      </x:c>
      <x:c r="B10" s="419" t="n">
        <x:f>COUNTA('v1.0 Source Register'!A5:A200)</x:f>
        <x:v>57</x:v>
      </x:c>
      <x:c r="C10" s="419" t="str">
        <x:v>External dependencies have domains, use counts and preservation priorities.</x:v>
      </x:c>
      <x:c r="D10" s="419" t="str">
        <x:v>Plain-text URLs.</x:v>
      </x:c>
      <x:c r="E10" s="419" t="str">
        <x:v>GREEN</x:v>
      </x:c>
      <x:c r="F10" s="419" t="str">
        <x:v>v1.0 Source Register</x:v>
      </x:c>
      <x:c r="G10" s="419" t="str">
        <x:v>Prioritize high-use sources.</x:v>
      </x:c>
      <x:c r="H10" s="419" t="str">
        <x:v>v1.0</x:v>
      </x:c>
    </x:row>
    <x:row r="11">
      <x:c r="A11" s="419" t="str">
        <x:v>Chronology rows</x:v>
      </x:c>
      <x:c r="B11" s="419" t="n">
        <x:f>COUNTA('v1.0 Chronology'!A5:A200)</x:f>
        <x:v>61</x:v>
      </x:c>
      <x:c r="C11" s="419" t="str">
        <x:v>Every source record receives dated or provisional placement.</x:v>
      </x:c>
      <x:c r="D11" s="419" t="str">
        <x:v>Uncertain dates remain marked.</x:v>
      </x:c>
      <x:c r="E11" s="419" t="str">
        <x:v>GREEN</x:v>
      </x:c>
      <x:c r="F11" s="419" t="str">
        <x:v>v1.0 Chronology</x:v>
      </x:c>
      <x:c r="G11" s="419" t="str">
        <x:v>Add page/issue details.</x:v>
      </x:c>
      <x:c r="H11" s="419" t="str">
        <x:v>v1.0</x:v>
      </x:c>
    </x:row>
    <x:row r="12">
      <x:c r="A12" s="419" t="str">
        <x:v>Exact reference IDs</x:v>
      </x:c>
      <x:c r="B12" s="419" t="n">
        <x:f>'v1.0 Audit'!B11</x:f>
        <x:v>2</x:v>
      </x:c>
      <x:c r="C12" s="419" t="str">
        <x:v>Canonical BMXMuseum IDs are counted only when explicitly exposed.</x:v>
      </x:c>
      <x:c r="D12" s="419" t="str">
        <x:v>No title-to-ID inference.</x:v>
      </x:c>
      <x:c r="E12" s="419" t="str">
        <x:v>GREEN</x:v>
      </x:c>
      <x:c r="F12" s="419" t="str">
        <x:v>v1.0 Master Ephemera</x:v>
      </x:c>
      <x:c r="G12" s="419" t="str">
        <x:v>Continue bounded public recovery.</x:v>
      </x:c>
      <x:c r="H12" s="419" t="str">
        <x:v>v1.0</x:v>
      </x:c>
    </x:row>
    <x:row r="13">
      <x:c r="A13" s="419" t="str">
        <x:v>Open / unresolved records</x:v>
      </x:c>
      <x:c r="B13" s="419" t="n">
        <x:f>'v1.0 Audit'!B12</x:f>
        <x:v>20</x:v>
      </x:c>
      <x:c r="C13" s="419" t="str">
        <x:v>Research gaps are preserved as data, not hidden.</x:v>
      </x:c>
      <x:c r="D13" s="419" t="str">
        <x:v>Zero result is not absence.</x:v>
      </x:c>
      <x:c r="E13" s="419" t="str">
        <x:v>OPEN</x:v>
      </x:c>
      <x:c r="F13" s="419" t="str">
        <x:v>v1.0 Audit</x:v>
      </x:c>
      <x:c r="G13" s="419" t="str">
        <x:v>Prioritize GT/Dyno, Haro and JMC IDs.</x:v>
      </x:c>
      <x:c r="H13" s="419" t="str">
        <x:v>v1.0</x:v>
      </x:c>
    </x:row>
    <x:row r="14">
      <x:c r="A14" s="419" t="str">
        <x:v>Copied scans / images</x:v>
      </x:c>
      <x:c r="B14" s="419" t="n">
        <x:v>0</x:v>
      </x:c>
      <x:c r="C14" s="419" t="str">
        <x:v>No source scan, flyer, catalog page or advertisement image embedded.</x:v>
      </x:c>
      <x:c r="D14" s="419" t="str">
        <x:v>Green boundary preserved.</x:v>
      </x:c>
      <x:c r="E14" s="419" t="str">
        <x:v>GREEN</x:v>
      </x:c>
      <x:c r="F14" s="419" t="str">
        <x:v>v1.0 Preservation</x:v>
      </x:c>
      <x:c r="G14" s="419" t="str">
        <x:v>Seek permission before copying.</x:v>
      </x:c>
      <x:c r="H14" s="419" t="str">
        <x:v>v1.0</x:v>
      </x:c>
    </x:row>
    <x:row r="15">
      <x:c r="A15" s="419" t="str">
        <x:v>Personal street addresses</x:v>
      </x:c>
      <x:c r="B15" s="419" t="n">
        <x:v>0</x:v>
      </x:c>
      <x:c r="C15" s="419" t="str">
        <x:v>Period flyer contact roles retained without unnecessary addresses.</x:v>
      </x:c>
      <x:c r="D15" s="419" t="str">
        <x:v>Privacy safeguard.</x:v>
      </x:c>
      <x:c r="E15" s="419" t="str">
        <x:v>GREEN</x:v>
      </x:c>
      <x:c r="F15" s="419" t="str">
        <x:v>v0.9 Flyer Register</x:v>
      </x:c>
      <x:c r="G15" s="419" t="str">
        <x:v>Continue minimum-necessary capture.</x:v>
      </x:c>
      <x:c r="H15" s="419" t="str">
        <x:v>v1.0</x:v>
      </x:c>
    </x:row>
    <x:row r="16">
      <x:c r="A16" s="419" t="str">
        <x:v>Release package</x:v>
      </x:c>
      <x:c r="B16" s="419" t="n">
        <x:f>6</x:f>
        <x:v>6</x:v>
      </x:c>
      <x:c r="C16" s="419" t="str">
        <x:v>Four sequence snapshots, final workbook and checksum manifest.</x:v>
      </x:c>
      <x:c r="D16" s="419" t="str">
        <x:v>Versioned and hashable.</x:v>
      </x:c>
      <x:c r="E16" s="419" t="str">
        <x:v>LOCKED</x:v>
      </x:c>
      <x:c r="F16" s="419" t="str">
        <x:v>Version Changelog</x:v>
      </x:c>
      <x:c r="G16" s="419" t="str">
        <x:v>Archive release bundle.</x:v>
      </x:c>
      <x:c r="H16" s="419" t="str">
        <x:v>v1.0</x:v>
      </x:c>
    </x:row>
  </x:sheetData>
  <x:mergeCells>
    <x:mergeCell ref="A1:N1"/>
    <x:mergeCell ref="A2:N2"/>
  </x:mergeCells>
  <x:conditionalFormatting sqref="E5:E16">
    <x:cfRule type="expression" dxfId="27" priority="1">
      <x:formula>E5="GREEN"</x:formula>
    </x:cfRule>
    <x:cfRule type="expression" dxfId="28" priority="2">
      <x:formula>E5="OPEN"</x:formula>
    </x:cfRule>
    <x:cfRule type="expression" dxfId="29" priority="3">
      <x:formula>E5="LOCKED"</x:formula>
    </x:cfRule>
  </x:conditionalFormatting>
  <x:pageMargins left="0.7" right="0.7" top="0.75" bottom="0.75" header="0.3" footer="0.3"/>
  <x:drawing xmlns:r="http://schemas.openxmlformats.org/officeDocument/2006/relationships" r:id="R89cc6b87e5f347e1"/>
  <x:tableParts count="2">
    <x:tablePart xmlns:r="http://schemas.openxmlformats.org/officeDocument/2006/relationships" r:id="Rb3b8d4e35f19486e"/>
    <x:tablePart xmlns:r="http://schemas.openxmlformats.org/officeDocument/2006/relationships" r:id="R36bf50a3f4334e7c"/>
  </x:tableParts>
</x:worksheet>
</file>

<file path=xl/worksheets/sheet54.xml><?xml version="1.0" encoding="utf-8"?>
<x:worksheet xmlns:x="http://schemas.openxmlformats.org/spreadsheetml/2006/main">
  <x:sheetFormatPr defaultRowHeight="15"/>
  <x:cols>
    <x:col min="1" max="1" width="10" hidden="0" customWidth="1"/>
    <x:col min="2" max="2" width="22" hidden="0" customWidth="1"/>
    <x:col min="3" max="3" width="70" hidden="0" customWidth="1"/>
    <x:col min="4" max="4" width="54" hidden="0" customWidth="1"/>
  </x:cols>
  <x:sheetData>
    <x:row r="1" ht="30" customHeight="1">
      <x:c r="A1" s="446" t="str">
        <x:v>Authentication Grade Scale</x:v>
      </x:c>
      <x:c r="B1" s="446"/>
      <x:c r="C1" s="446"/>
      <x:c r="D1" s="446"/>
    </x:row>
    <x:row r="2" ht="30" customHeight="1">
      <x:c r="A2" s="451" t="str">
        <x:v>Grades apply to individual claims, not to monetary value or historical significance. Evidence is deliberately scoped so one verified fact cannot authenticate a neighboring claim.</x:v>
      </x:c>
      <x:c r="B2" s="451"/>
      <x:c r="C2" s="451"/>
      <x:c r="D2" s="451"/>
    </x:row>
    <x:row r="4">
      <x:c r="A4" s="457" t="str">
        <x:v>Grade</x:v>
      </x:c>
      <x:c r="B4" s="457" t="str">
        <x:v>Name</x:v>
      </x:c>
      <x:c r="C4" s="457" t="str">
        <x:v>Evidence Standard</x:v>
      </x:c>
      <x:c r="D4" s="457" t="str">
        <x:v>Publication Rule</x:v>
      </x:c>
    </x:row>
    <x:row r="5" ht="62" customHeight="1">
      <x:c r="A5" s="458" t="str">
        <x:v>A</x:v>
      </x:c>
      <x:c r="B5" s="458" t="str">
        <x:v>Authenticated</x:v>
      </x:c>
      <x:c r="C5" s="458" t="str">
        <x:v>Exact object or historical claim is closed by primary/official evidence and object-specific documentation.</x:v>
      </x:c>
      <x:c r="D5" s="458" t="str">
        <x:v>Safe to publish as verified, within the precise scope of the evidence.</x:v>
      </x:c>
    </x:row>
    <x:row r="6" ht="62" customHeight="1">
      <x:c r="A6" s="458" t="str">
        <x:v>B</x:v>
      </x:c>
      <x:c r="B6" s="458" t="str">
        <x:v>Strongly attributed</x:v>
      </x:c>
      <x:c r="C6" s="458" t="str">
        <x:v>Multiple converging evidence types support the claim; one material object-specific link remains open.</x:v>
      </x:c>
      <x:c r="D6" s="458" t="str">
        <x:v>Publish with a concise qualification naming the remaining gap.</x:v>
      </x:c>
    </x:row>
    <x:row r="7" ht="62" customHeight="1">
      <x:c r="A7" s="458" t="str">
        <x:v>C</x:v>
      </x:c>
      <x:c r="B7" s="458" t="str">
        <x:v>Credibly attributed</x:v>
      </x:c>
      <x:c r="C7" s="458" t="str">
        <x:v>Collection provenance and physical consistency support the claim, but independent or object-specific confirmation is missing.</x:v>
      </x:c>
      <x:c r="D7" s="458" t="str">
        <x:v>Attribute explicitly to collection provenance; do not state categorically.</x:v>
      </x:c>
    </x:row>
    <x:row r="8" ht="62" customHeight="1">
      <x:c r="A8" s="458" t="str">
        <x:v>D</x:v>
      </x:c>
      <x:c r="B8" s="458" t="str">
        <x:v>Unverified / conflicted</x:v>
      </x:c>
      <x:c r="C8" s="458" t="str">
        <x:v>Claim is recorded but insufficiently supported, unresolved, or contradicted by another record.</x:v>
      </x:c>
      <x:c r="D8" s="458" t="str">
        <x:v>Do not publish as fact; preserve as an open claim or conflict.</x:v>
      </x:c>
    </x:row>
    <x:row r="9" ht="62" customHeight="1">
      <x:c r="A9" s="458" t="str">
        <x:v>E</x:v>
      </x:c>
      <x:c r="B9" s="458" t="str">
        <x:v>Disproved / misattributed</x:v>
      </x:c>
      <x:c r="C9" s="458" t="str">
        <x:v>Available evidence materially contradicts the claim.</x:v>
      </x:c>
      <x:c r="D9" s="458" t="str">
        <x:v>Correct the public record and preserve the correction history.</x:v>
      </x:c>
    </x:row>
    <x:row r="12" ht="36" customHeight="1">
      <x:c r="A12" s="461" t="str">
        <x:v>“+” means the claim is approaching the next stronger grade; “−” means it is near the lower boundary. Grades assess authentication evidence, not monetary value, importance, or historical desirability.</x:v>
      </x:c>
      <x:c r="B12" s="461"/>
      <x:c r="C12" s="461"/>
      <x:c r="D12" s="461"/>
    </x:row>
    <x:row r="13" ht="36" customHeight="1">
      <x:c r="A13" s="461"/>
      <x:c r="B13" s="461"/>
      <x:c r="C13" s="461"/>
      <x:c r="D13" s="461"/>
    </x:row>
  </x:sheetData>
  <x:mergeCells>
    <x:mergeCell ref="A1:D1"/>
    <x:mergeCell ref="A2:D2"/>
    <x:mergeCell ref="A12:D13"/>
  </x:mergeCells>
  <x:pageMargins left="0.7" right="0.7" top="0.75" bottom="0.75" header="0.3" footer="0.3"/>
</x:worksheet>
</file>

<file path=xl/worksheets/sheet55.xml><?xml version="1.0" encoding="utf-8"?>
<x:worksheet xmlns:x="http://schemas.openxmlformats.org/spreadsheetml/2006/main">
  <x:sheetFormatPr defaultRowHeight="15"/>
  <x:cols>
    <x:col min="1" max="1" width="14" hidden="0" customWidth="1"/>
    <x:col min="2" max="2" width="12" hidden="0" customWidth="1"/>
    <x:col min="3" max="3" width="25" hidden="0" customWidth="1"/>
    <x:col min="4" max="4" width="42" hidden="0" customWidth="1"/>
    <x:col min="5" max="5" width="15" hidden="0" customWidth="1"/>
    <x:col min="6" max="6" width="68" hidden="0" customWidth="1"/>
    <x:col min="7" max="7" width="26" hidden="0" customWidth="1"/>
    <x:col min="8" max="8" width="42" hidden="0" customWidth="1"/>
    <x:col min="9" max="9" width="58" hidden="0" customWidth="1"/>
    <x:col min="10" max="10" width="58" hidden="0" customWidth="1"/>
    <x:col min="11" max="11" width="42" hidden="0" customWidth="1"/>
    <x:col min="12" max="12" width="14" hidden="0" customWidth="1"/>
  </x:cols>
  <x:sheetData>
    <x:row r="1" ht="30" customHeight="1">
      <x:c r="A1" s="446" t="str">
        <x:v>Captured Evidence and File Integrity Manifest</x:v>
      </x:c>
      <x:c r="B1" s="446"/>
      <x:c r="C1" s="446"/>
      <x:c r="D1" s="446"/>
      <x:c r="E1" s="446"/>
      <x:c r="F1" s="446"/>
      <x:c r="G1" s="446"/>
      <x:c r="H1" s="446"/>
      <x:c r="I1" s="446"/>
      <x:c r="J1" s="446"/>
      <x:c r="K1" s="446"/>
      <x:c r="L1" s="446"/>
    </x:row>
    <x:row r="2" ht="30" customHeight="1">
      <x:c r="A2" s="451" t="str">
        <x:v>Primary images were extracted from the authoritative Lititz BMX inventory PDF. Research derivatives are explicitly labeled. Hashes allow later integrity checking.</x:v>
      </x:c>
      <x:c r="B2" s="451"/>
      <x:c r="C2" s="451"/>
      <x:c r="D2" s="451"/>
      <x:c r="E2" s="451"/>
      <x:c r="F2" s="451"/>
      <x:c r="G2" s="451"/>
      <x:c r="H2" s="451"/>
      <x:c r="I2" s="451"/>
      <x:c r="J2" s="451"/>
      <x:c r="K2" s="451"/>
      <x:c r="L2" s="451"/>
    </x:row>
    <x:row r="4">
      <x:c r="A4" s="457" t="str">
        <x:v>Evidence ID</x:v>
      </x:c>
      <x:c r="B4" s="457" t="str">
        <x:v>Artifact ID</x:v>
      </x:c>
      <x:c r="C4" s="457" t="str">
        <x:v>Subject</x:v>
      </x:c>
      <x:c r="D4" s="457" t="str">
        <x:v>Package File</x:v>
      </x:c>
      <x:c r="E4" s="457" t="str">
        <x:v>Dimensions</x:v>
      </x:c>
      <x:c r="F4" s="457" t="str">
        <x:v>SHA-256</x:v>
      </x:c>
      <x:c r="G4" s="457" t="str">
        <x:v>Evidence Class</x:v>
      </x:c>
      <x:c r="H4" s="457" t="str">
        <x:v>Capture Method / Source</x:v>
      </x:c>
      <x:c r="I4" s="457" t="str">
        <x:v>What It Establishes</x:v>
      </x:c>
      <x:c r="J4" s="457" t="str">
        <x:v>What It Does Not Establish</x:v>
      </x:c>
      <x:c r="K4" s="457" t="str">
        <x:v>Rights / Use</x:v>
      </x:c>
      <x:c r="L4" s="457" t="str">
        <x:v>Captured</x:v>
      </x:c>
    </x:row>
    <x:row r="5" ht="62" customHeight="1">
      <x:c r="A5" s="458" t="str">
        <x:v>EVID-001</x:v>
      </x:c>
      <x:c r="B5" s="458" t="str">
        <x:v>26.0048</x:v>
      </x:c>
      <x:c r="C5" s="458" t="str">
        <x:v>Formula One / F-1</x:v>
      </x:c>
      <x:c r="D5" s="458" t="str">
        <x:v>26.0048_F1_Trophy_primary.jpg</x:v>
      </x:c>
      <x:c r="E5" s="458" t="str">
        <x:v>569 × 648</x:v>
      </x:c>
      <x:c r="F5" s="458" t="str">
        <x:v>85ccfcd1d7aa7c9eb8ee219119f184a5975bf3cc8679cd20c435eb7be14a8eb4</x:v>
      </x:c>
      <x:c r="G5" s="458" t="str">
        <x:v>PRIMARY-COLLECTION-IMAGE</x:v>
      </x:c>
      <x:c r="H5" s="458" t="str">
        <x:v>Embedded primary image extracted from inventory PDF page 7</x:v>
      </x:c>
      <x:c r="I5" s="458" t="str">
        <x:v>Confirms the physical silver trophy, black base, and a visible plaque headed “THE F-1 CHALLENGE ’86.”</x:v>
      </x:c>
      <x:c r="J5" s="458" t="str">
        <x:v>Does not identify recipient, class, promoter, sanction, or prove that the award was a championship title.</x:v>
      </x:c>
      <x:c r="K5" s="458" t="str">
        <x:v>Lititz BMX internal authentication record; do not republish outside the approved archive workflow without rights review.</x:v>
      </x:c>
      <x:c r="L5" s="458" t="str">
        <x:v>2026-07-30</x:v>
      </x:c>
    </x:row>
    <x:row r="6" ht="62" customHeight="1">
      <x:c r="A6" s="458" t="str">
        <x:v>EVID-002</x:v>
      </x:c>
      <x:c r="B6" s="458" t="str">
        <x:v>26.0048</x:v>
      </x:c>
      <x:c r="C6" s="458" t="str">
        <x:v>Formula One / F-1</x:v>
      </x:c>
      <x:c r="D6" s="458" t="str">
        <x:v>26.0048_F1_Plaque_highpass_derivative.png</x:v>
      </x:c>
      <x:c r="E6" s="458" t="str">
        <x:v>1580 × 880</x:v>
      </x:c>
      <x:c r="F6" s="458" t="str">
        <x:v>d28328151c70412e5cfd808439465791a815bb8b1da5aed7cbfabd4764225fd0</x:v>
      </x:c>
      <x:c r="G6" s="458" t="str">
        <x:v>DERIVATIVE-RESEARCH-IMAGE</x:v>
      </x:c>
      <x:c r="H6" s="458" t="str">
        <x:v>Research derivative from the primary trophy image; contrast/high-pass processing only</x:v>
      </x:c>
      <x:c r="I6" s="458" t="str">
        <x:v>Improves legibility of the plaque heading and date for research review.</x:v>
      </x:c>
      <x:c r="J6" s="458" t="str">
        <x:v>Smaller plaque lines remain insufficiently legible; derivative is not a substitute for new photography.</x:v>
      </x:c>
      <x:c r="K6" s="458" t="str">
        <x:v>Lititz BMX internal authentication record; do not republish outside the approved archive workflow without rights review.</x:v>
      </x:c>
      <x:c r="L6" s="458" t="str">
        <x:v>2026-07-30</x:v>
      </x:c>
    </x:row>
    <x:row r="7" ht="62" customHeight="1">
      <x:c r="A7" s="458" t="str">
        <x:v>EVID-003</x:v>
      </x:c>
      <x:c r="B7" s="458" t="str">
        <x:v>26.0054</x:v>
      </x:c>
      <x:c r="C7" s="458" t="str">
        <x:v>Felicia Stancil 2012 GT</x:v>
      </x:c>
      <x:c r="D7" s="458" t="str">
        <x:v>26.0054_Felicia_Stancil_GT_primary.jpg</x:v>
      </x:c>
      <x:c r="E7" s="458" t="str">
        <x:v>1032 × 1376</x:v>
      </x:c>
      <x:c r="F7" s="458" t="str">
        <x:v>7534d507dcec35b60df56d2dfddcd5100686fa0186ceeb989d9c3f8b6dbf9080</x:v>
      </x:c>
      <x:c r="G7" s="458" t="str">
        <x:v>PRIMARY-COLLECTION-IMAGE</x:v>
      </x:c>
      <x:c r="H7" s="458" t="str">
        <x:v>Embedded primary image extracted from inventory PDF page 7</x:v>
      </x:c>
      <x:c r="I7" s="458" t="str">
        <x:v>Confirms a GT BMX bicycle physically paired with a plate reading “TIME TRIAL &amp; RACE WORLD CHAMPION,” “Felicia Stancil,” and W1.</x:v>
      </x:c>
      <x:c r="J7" s="458" t="str">
        <x:v>Does not show frame serial, rear of plate, chain of custody, or a controlled match to 2012 Birmingham race-day imagery.</x:v>
      </x:c>
      <x:c r="K7" s="458" t="str">
        <x:v>Lititz BMX internal authentication record; do not republish outside the approved archive workflow without rights review.</x:v>
      </x:c>
      <x:c r="L7" s="458" t="str">
        <x:v>2026-07-30</x:v>
      </x:c>
    </x:row>
    <x:row r="8" ht="62" customHeight="1">
      <x:c r="A8" s="458" t="str">
        <x:v>EVID-004</x:v>
      </x:c>
      <x:c r="B8" s="458" t="str">
        <x:v>26.0055</x:v>
      </x:c>
      <x:c r="C8" s="458" t="str">
        <x:v>Boss CR01</x:v>
      </x:c>
      <x:c r="D8" s="458" t="str">
        <x:v>26.0055_Boss_Hogg_primary.jpg</x:v>
      </x:c>
      <x:c r="E8" s="458" t="str">
        <x:v>660 × 875</x:v>
      </x:c>
      <x:c r="F8" s="458" t="str">
        <x:v>f6ee66e5c39f616eae369f4ab6980c261fd5772073a8c552a772e7dd9eb918b4</x:v>
      </x:c>
      <x:c r="G8" s="458" t="str">
        <x:v>PRIMARY-COLLECTION-IMAGE</x:v>
      </x:c>
      <x:c r="H8" s="458" t="str">
        <x:v>Embedded primary image extracted from inventory PDF page 7</x:v>
      </x:c>
      <x:c r="I8" s="458" t="str">
        <x:v>Confirms a complete Boss Hogg-branded BMX build in its current white/pink configuration.</x:v>
      </x:c>
      <x:c r="J8" s="458" t="str">
        <x:v>Does not show serial CR01 and cannot establish first-production or first-Livermore chronology.</x:v>
      </x:c>
      <x:c r="K8" s="458" t="str">
        <x:v>Lititz BMX internal authentication record; do not republish outside the approved archive workflow without rights review.</x:v>
      </x:c>
      <x:c r="L8" s="458" t="str">
        <x:v>2026-07-30</x:v>
      </x:c>
    </x:row>
    <x:row r="9" ht="62" customHeight="1">
      <x:c r="A9" s="458" t="str">
        <x:v>EVID-005</x:v>
      </x:c>
      <x:c r="B9" s="458" t="str">
        <x:v>26.0071</x:v>
      </x:c>
      <x:c r="C9" s="458" t="str">
        <x:v>JAD Street Style Sherman</x:v>
      </x:c>
      <x:c r="D9" s="458" t="str">
        <x:v>26.0071_JAD_Street_Style_Sherman_primary.jpg</x:v>
      </x:c>
      <x:c r="E9" s="458" t="str">
        <x:v>959 × 911</x:v>
      </x:c>
      <x:c r="F9" s="458" t="str">
        <x:v>92ef065860a78bab0336c2cbd0ccdda63d5af464a0cafcb747f09cdd7d658add</x:v>
      </x:c>
      <x:c r="G9" s="458" t="str">
        <x:v>PRIMARY-COLLECTION-IMAGE</x:v>
      </x:c>
      <x:c r="H9" s="458" t="str">
        <x:v>Embedded primary image extracted from inventory PDF page 9</x:v>
      </x:c>
      <x:c r="I9" s="458" t="str">
        <x:v>Confirms a physical JAD Sherman-branded bicycle displayed with a paired black stand.</x:v>
      </x:c>
      <x:c r="J9" s="458" t="str">
        <x:v>Does not prove builder identity, production count, Street Style uniqueness, original pairing, or stand maker.</x:v>
      </x:c>
      <x:c r="K9" s="458" t="str">
        <x:v>Lititz BMX internal authentication record; do not republish outside the approved archive workflow without rights review.</x:v>
      </x:c>
      <x:c r="L9" s="458" t="str">
        <x:v>2026-07-30</x:v>
      </x:c>
    </x:row>
    <x:row r="10" ht="62" customHeight="1">
      <x:c r="A10" s="458" t="str">
        <x:v>EVID-006</x:v>
      </x:c>
      <x:c r="B10" s="458" t="str">
        <x:v>26.0006</x:v>
      </x:c>
      <x:c r="C10" s="458" t="str">
        <x:v>ELF Catalog</x:v>
      </x:c>
      <x:c r="D10" s="458" t="str">
        <x:v>26.0006_ELF_Catalog_primary.png</x:v>
      </x:c>
      <x:c r="E10" s="458" t="str">
        <x:v>1151 × 2500</x:v>
      </x:c>
      <x:c r="F10" s="458" t="str">
        <x:v>37c056c99bb71b35b4788a9522bac4df0d3a070596d0d6b94977c72108beda37</x:v>
      </x:c>
      <x:c r="G10" s="458" t="str">
        <x:v>PRIMARY-COLLECTION-IMAGE</x:v>
      </x:c>
      <x:c r="H10" s="458" t="str">
        <x:v>Embedded primary image extracted from inventory PDF page 1</x:v>
      </x:c>
      <x:c r="I10" s="458" t="str">
        <x:v>Confirms a physical ELF-branded mailed catalog or mailpiece with postal markings and an A-1 Cyclery address label.</x:v>
      </x:c>
      <x:c r="J10" s="458" t="str">
        <x:v>Does not yet establish publication year, edition, page count, catalog number, or complete contents.</x:v>
      </x:c>
      <x:c r="K10" s="458" t="str">
        <x:v>Lititz BMX internal authentication record; do not republish outside the approved archive workflow without rights review.</x:v>
      </x:c>
      <x:c r="L10" s="458" t="str">
        <x:v>2026-07-30</x:v>
      </x:c>
    </x:row>
    <x:row r="11" ht="62" customHeight="1">
      <x:c r="A11" s="458" t="str">
        <x:v>EVID-007</x:v>
      </x:c>
      <x:c r="B11" s="458" t="str">
        <x:v>26.0006</x:v>
      </x:c>
      <x:c r="C11" s="458" t="str">
        <x:v>ELF Catalog</x:v>
      </x:c>
      <x:c r="D11" s="458" t="str">
        <x:v>26.0006_ELF_address_label_crop.png</x:v>
      </x:c>
      <x:c r="E11" s="458" t="str">
        <x:v>515 × 290</x:v>
      </x:c>
      <x:c r="F11" s="458" t="str">
        <x:v>e4679576e9bb51a535916815a9a57f1447fd62c91d2232d3f5eb4e318b5edce5</x:v>
      </x:c>
      <x:c r="G11" s="458" t="str">
        <x:v>DERIVATIVE-RESEARCH-IMAGE</x:v>
      </x:c>
      <x:c r="H11" s="458" t="str">
        <x:v>Research crop from the primary ELF image</x:v>
      </x:c>
      <x:c r="I11" s="458" t="str">
        <x:v>Preserves the recipient-label area for later postal and dealer-provenance research.</x:v>
      </x:c>
      <x:c r="J11" s="458" t="str">
        <x:v>Some address characters remain uncertain and must not be silently normalized.</x:v>
      </x:c>
      <x:c r="K11" s="458" t="str">
        <x:v>Lititz BMX internal authentication record; do not republish outside the approved archive workflow without rights review.</x:v>
      </x:c>
      <x:c r="L11" s="458" t="str">
        <x:v>2026-07-30</x:v>
      </x:c>
    </x:row>
    <x:row r="12" ht="62" customHeight="1">
      <x:c r="A12" s="458" t="str">
        <x:v>EVID-008</x:v>
      </x:c>
      <x:c r="B12" s="458" t="str">
        <x:v>26.0006</x:v>
      </x:c>
      <x:c r="C12" s="458" t="str">
        <x:v>ELF Catalog</x:v>
      </x:c>
      <x:c r="D12" s="458" t="str">
        <x:v>26.0006_ELF_postage_stamp_crop.png</x:v>
      </x:c>
      <x:c r="E12" s="458" t="str">
        <x:v>245 × 270</x:v>
      </x:c>
      <x:c r="F12" s="458" t="str">
        <x:v>7c8c6ad3613b90b17a4c97f790fcfe8154974c878b3a1d4dcee8059def8bfa8b</x:v>
      </x:c>
      <x:c r="G12" s="458" t="str">
        <x:v>DERIVATIVE-RESEARCH-IMAGE</x:v>
      </x:c>
      <x:c r="H12" s="458" t="str">
        <x:v>Research crop from the primary ELF image</x:v>
      </x:c>
      <x:c r="I12" s="458" t="str">
        <x:v>Preserves the 29-cent LOVE postage-stamp area for controlled stamp identification.</x:v>
      </x:c>
      <x:c r="J12" s="458" t="str">
        <x:v>Exact stamp issue and mailing date remain unverified.</x:v>
      </x:c>
      <x:c r="K12" s="458" t="str">
        <x:v>Lititz BMX internal authentication record; do not republish outside the approved archive workflow without rights review.</x:v>
      </x:c>
      <x:c r="L12" s="458" t="str">
        <x:v>2026-07-30</x:v>
      </x:c>
    </x:row>
    <x:row r="13" ht="62" customHeight="1">
      <x:c r="A13" s="458" t="str">
        <x:v>EVID-009</x:v>
      </x:c>
      <x:c r="B13" s="458" t="str">
        <x:v>26.0006</x:v>
      </x:c>
      <x:c r="C13" s="458" t="str">
        <x:v>ELF Catalog</x:v>
      </x:c>
      <x:c r="D13" s="458" t="str">
        <x:v>26.0006_ELF_catalog_art_crop.png</x:v>
      </x:c>
      <x:c r="E13" s="458" t="str">
        <x:v>1151 × 1220</x:v>
      </x:c>
      <x:c r="F13" s="458" t="str">
        <x:v>9341c251b623124d4d8f10e3a277da32279384dbcabcdd0c24f60cefa14f9015</x:v>
      </x:c>
      <x:c r="G13" s="458" t="str">
        <x:v>DERIVATIVE-RESEARCH-IMAGE</x:v>
      </x:c>
      <x:c r="H13" s="458" t="str">
        <x:v>Research crop from the primary ELF image</x:v>
      </x:c>
      <x:c r="I13" s="458" t="str">
        <x:v>Preserves the central ELF graphic and mailpiece design.</x:v>
      </x:c>
      <x:c r="J13" s="458" t="str">
        <x:v>Does not establish edition or publication date.</x:v>
      </x:c>
      <x:c r="K13" s="458" t="str">
        <x:v>Lititz BMX internal authentication record; do not republish outside the approved archive workflow without rights review.</x:v>
      </x:c>
      <x:c r="L13" s="458" t="str">
        <x:v>2026-07-30</x:v>
      </x:c>
    </x:row>
    <x:row r="14" ht="62" customHeight="1">
      <x:c r="A14" s="458" t="str">
        <x:v>EVID-010</x:v>
      </x:c>
      <x:c r="B14" s="458" t="str">
        <x:v>MULTIPLE</x:v>
      </x:c>
      <x:c r="C14" s="458" t="str">
        <x:v>Inventory context</x:v>
      </x:c>
      <x:c r="D14" s="458" t="str">
        <x:v>Inventory_Page_1.png</x:v>
      </x:c>
      <x:c r="E14" s="458" t="str">
        <x:v>1700 × 2200</x:v>
      </x:c>
      <x:c r="F14" s="458" t="str">
        <x:v>cce3cae1e4a224286300f0bfece87b4522f547e5793987ea39844eaa01e52552</x:v>
      </x:c>
      <x:c r="G14" s="458" t="str">
        <x:v>SOURCE-PAGE-CAPTURE</x:v>
      </x:c>
      <x:c r="H14" s="458" t="str">
        <x:v>Rendered source page from the authoritative inventory PDF</x:v>
      </x:c>
      <x:c r="I14" s="458" t="str">
        <x:v>Preserves catalog-record context for artifact 26.0006.</x:v>
      </x:c>
      <x:c r="J14" s="458" t="str">
        <x:v>The page is a collection record, not independent authentication.</x:v>
      </x:c>
      <x:c r="K14" s="458" t="str">
        <x:v>Lititz BMX internal authentication record; do not republish outside the approved archive workflow without rights review.</x:v>
      </x:c>
      <x:c r="L14" s="458" t="str">
        <x:v>2026-07-30</x:v>
      </x:c>
    </x:row>
    <x:row r="15" ht="62" customHeight="1">
      <x:c r="A15" s="458" t="str">
        <x:v>EVID-011</x:v>
      </x:c>
      <x:c r="B15" s="458" t="str">
        <x:v>MULTIPLE</x:v>
      </x:c>
      <x:c r="C15" s="458" t="str">
        <x:v>Inventory context</x:v>
      </x:c>
      <x:c r="D15" s="458" t="str">
        <x:v>Inventory_Page_7.png</x:v>
      </x:c>
      <x:c r="E15" s="458" t="str">
        <x:v>1700 × 2200</x:v>
      </x:c>
      <x:c r="F15" s="458" t="str">
        <x:v>ffe5722579ecb53e4080a4444ef8d3d2ce76691b4b65370ed1264eebc29b9c48</x:v>
      </x:c>
      <x:c r="G15" s="458" t="str">
        <x:v>SOURCE-PAGE-CAPTURE</x:v>
      </x:c>
      <x:c r="H15" s="458" t="str">
        <x:v>Rendered source page from the authoritative inventory PDF</x:v>
      </x:c>
      <x:c r="I15" s="458" t="str">
        <x:v>Preserves catalog-record context for artifacts 26.0048, 26.0054, and 26.0055.</x:v>
      </x:c>
      <x:c r="J15" s="458" t="str">
        <x:v>The page is a collection record, not independent authentication.</x:v>
      </x:c>
      <x:c r="K15" s="458" t="str">
        <x:v>Lititz BMX internal authentication record; do not republish outside the approved archive workflow without rights review.</x:v>
      </x:c>
      <x:c r="L15" s="458" t="str">
        <x:v>2026-07-30</x:v>
      </x:c>
    </x:row>
    <x:row r="16" ht="62" customHeight="1">
      <x:c r="A16" s="458" t="str">
        <x:v>EVID-012</x:v>
      </x:c>
      <x:c r="B16" s="458" t="str">
        <x:v>MULTIPLE</x:v>
      </x:c>
      <x:c r="C16" s="458" t="str">
        <x:v>Inventory context</x:v>
      </x:c>
      <x:c r="D16" s="458" t="str">
        <x:v>Inventory_Page_9.png</x:v>
      </x:c>
      <x:c r="E16" s="458" t="str">
        <x:v>1700 × 2200</x:v>
      </x:c>
      <x:c r="F16" s="458" t="str">
        <x:v>996e7aa47510a54cd1d6bc67703a942cb6c4ea7bbf5b6cddb0a5eb8f3559071a</x:v>
      </x:c>
      <x:c r="G16" s="458" t="str">
        <x:v>SOURCE-PAGE-CAPTURE</x:v>
      </x:c>
      <x:c r="H16" s="458" t="str">
        <x:v>Rendered source page from the authoritative inventory PDF</x:v>
      </x:c>
      <x:c r="I16" s="458" t="str">
        <x:v>Preserves catalog-record context for artifact 26.0071.</x:v>
      </x:c>
      <x:c r="J16" s="458" t="str">
        <x:v>The page is a collection record, not independent authentication.</x:v>
      </x:c>
      <x:c r="K16" s="458" t="str">
        <x:v>Lititz BMX internal authentication record; do not republish outside the approved archive workflow without rights review.</x:v>
      </x:c>
      <x:c r="L16" s="458" t="str">
        <x:v>2026-07-30</x:v>
      </x:c>
    </x:row>
  </x:sheetData>
  <x:mergeCells>
    <x:mergeCell ref="A1:L1"/>
    <x:mergeCell ref="A2:L2"/>
  </x:mergeCells>
  <x:pageMargins left="0.7" right="0.7" top="0.75" bottom="0.75" header="0.3" footer="0.3"/>
</x:worksheet>
</file>

<file path=xl/worksheets/sheet56.xml><?xml version="1.0" encoding="utf-8"?>
<x:worksheet xmlns:x="http://schemas.openxmlformats.org/spreadsheetml/2006/main">
  <x:sheetFormatPr defaultRowHeight="15"/>
  <x:cols>
    <x:col min="1" max="1" width="15" hidden="0" customWidth="1"/>
    <x:col min="2" max="2" width="12" hidden="0" customWidth="1"/>
    <x:col min="3" max="3" width="28" hidden="0" customWidth="1"/>
    <x:col min="4" max="4" width="14" hidden="0" customWidth="1"/>
    <x:col min="5" max="5" width="46" hidden="0" customWidth="1"/>
    <x:col min="6" max="6" width="58" hidden="0" customWidth="1"/>
    <x:col min="7" max="7" width="58" hidden="0" customWidth="1"/>
    <x:col min="8" max="8" width="64" hidden="0" customWidth="1"/>
    <x:col min="9" max="9" width="20" hidden="0" customWidth="1"/>
  </x:cols>
  <x:sheetData>
    <x:row r="1" ht="30" customHeight="1">
      <x:c r="A1" s="446" t="str">
        <x:v>Provisional Artifact-Level Authentication Conclusions</x:v>
      </x:c>
      <x:c r="B1" s="446"/>
      <x:c r="C1" s="446"/>
      <x:c r="D1" s="446"/>
      <x:c r="E1" s="446"/>
      <x:c r="F1" s="446"/>
      <x:c r="G1" s="446"/>
      <x:c r="H1" s="446"/>
      <x:c r="I1" s="446"/>
    </x:row>
    <x:row r="2" ht="30" customHeight="1">
      <x:c r="A2" s="451" t="str">
        <x:v>These are evidence-bounded working conclusions. The claim-level sheet controls the exact scope; an overall grade is not permission to strengthen every associated statement.</x:v>
      </x:c>
      <x:c r="B2" s="451"/>
      <x:c r="C2" s="451"/>
      <x:c r="D2" s="451"/>
      <x:c r="E2" s="451"/>
      <x:c r="F2" s="451"/>
      <x:c r="G2" s="451"/>
      <x:c r="H2" s="451"/>
      <x:c r="I2" s="451"/>
    </x:row>
    <x:row r="4">
      <x:c r="A4" s="457" t="str">
        <x:v>Conclusion ID</x:v>
      </x:c>
      <x:c r="B4" s="457" t="str">
        <x:v>Artifact ID</x:v>
      </x:c>
      <x:c r="C4" s="457" t="str">
        <x:v>Dossier</x:v>
      </x:c>
      <x:c r="D4" s="457" t="str">
        <x:v>Overall Grade</x:v>
      </x:c>
      <x:c r="E4" s="457" t="str">
        <x:v>Controlling Conclusion</x:v>
      </x:c>
      <x:c r="F4" s="457" t="str">
        <x:v>Strongest Evidence</x:v>
      </x:c>
      <x:c r="G4" s="457" t="str">
        <x:v>Material Limitation</x:v>
      </x:c>
      <x:c r="H4" s="457" t="str">
        <x:v>Safe Public Wording</x:v>
      </x:c>
      <x:c r="I4" s="457" t="str">
        <x:v>Release Status</x:v>
      </x:c>
    </x:row>
    <x:row r="5" ht="62" customHeight="1">
      <x:c r="A5" s="458" t="str">
        <x:v>AUTH-001</x:v>
      </x:c>
      <x:c r="B5" s="458" t="str">
        <x:v>26.0055</x:v>
      </x:c>
      <x:c r="C5" s="458" t="str">
        <x:v>Boss CR01</x:v>
      </x:c>
      <x:c r="D5" s="462" t="str">
        <x:v>C+</x:v>
      </x:c>
      <x:c r="E5" s="458" t="str">
        <x:v>Credible Boss Hogg attribution; first-production status remains unverified.</x:v>
      </x:c>
      <x:c r="F5" s="458" t="str">
        <x:v>The physical image confirms a complete Boss Hogg-branded build. The collection record supplies CR01, C4 Labs restoration, and first-Livermore provenance.</x:v>
      </x:c>
      <x:c r="G5" s="458" t="str">
        <x:v>No serial photograph, restoration file, chain-of-custody packet, production ledger, or comparative Livermore serial sequence was recovered.</x:v>
      </x:c>
      <x:c r="H5" s="458" t="str">
        <x:v>Lititz BMX artifact 26.0055 is a Boss Hogg attributed in collection provenance as serial CR01 and the first Livermore-produced example. First-production status remains under authentication.</x:v>
      </x:c>
      <x:c r="I5" s="458" t="str">
        <x:v>HOLD QUALIFIED</x:v>
      </x:c>
    </x:row>
    <x:row r="6" ht="62" customHeight="1">
      <x:c r="A6" s="458" t="str">
        <x:v>AUTH-002</x:v>
      </x:c>
      <x:c r="B6" s="458" t="str">
        <x:v>26.0054</x:v>
      </x:c>
      <x:c r="C6" s="458" t="str">
        <x:v>Felicia Stancil 2012 Worlds GT</x:v>
      </x:c>
      <x:c r="D6" s="462" t="str">
        <x:v>B−</x:v>
      </x:c>
      <x:c r="E6" s="458" t="str">
        <x:v>Strongly attributed 2012 Worlds bicycle; exact-bike and race-day configuration are not yet closed.</x:v>
      </x:c>
      <x:c r="F6" s="458" t="str">
        <x:v>Official results verify both 2012 Junior Women’s world titles. The captured bicycle is a GT physically paired with a named Felicia Stancil dual-world-champion W1 plate.</x:v>
      </x:c>
      <x:c r="G6" s="458" t="str">
        <x:v>Frame serial, reverse plate, transfer provenance, component continuity, and controlled race-day image matching remain unrecovered.</x:v>
      </x:c>
      <x:c r="H6" s="458" t="str">
        <x:v>Artifact 26.0054 is strongly attributed as Felicia Stancil’s 2012 Worlds GT Speed Series and retains a named W1 plate; exact frame and race-day configuration authentication remain open.</x:v>
      </x:c>
      <x:c r="I6" s="458" t="str">
        <x:v>PUBLISH QUALIFIED</x:v>
      </x:c>
    </x:row>
    <x:row r="7" ht="62" customHeight="1">
      <x:c r="A7" s="458" t="str">
        <x:v>AUTH-003</x:v>
      </x:c>
      <x:c r="B7" s="458" t="str">
        <x:v>26.0048</x:v>
      </x:c>
      <x:c r="C7" s="458" t="str">
        <x:v>The F-1 Challenge ’86 Trophy</x:v>
      </x:c>
      <x:c r="D7" s="462" t="str">
        <x:v>B−</x:v>
      </x:c>
      <x:c r="E7" s="458" t="str">
        <x:v>Authentic 1986 F-1 Challenge trophy; exact award context remains unresolved.</x:v>
      </x:c>
      <x:c r="F7" s="458" t="str">
        <x:v>The primary image confirms the physical trophy and a plaque headed “THE F-1 CHALLENGE ’86.” Independent research confirms a BMX Formula 1 Challenge format existed.</x:v>
      </x:c>
      <x:c r="G7" s="458" t="str">
        <x:v>Recipient, class, promoter, sanction, venue, award level, and smaller plaque text are not securely established.</x:v>
      </x:c>
      <x:c r="H7" s="458" t="str">
        <x:v>Artifact 26.0048 is an authentic trophy bearing the title “The F-1 Challenge ’86.” Its recipient, class, sanction, and exact award level remain unresolved.</x:v>
      </x:c>
      <x:c r="I7" s="458" t="str">
        <x:v>PUBLISH QUALIFIED</x:v>
      </x:c>
    </x:row>
    <x:row r="8" ht="62" customHeight="1">
      <x:c r="A8" s="458" t="str">
        <x:v>AUTH-004</x:v>
      </x:c>
      <x:c r="B8" s="458" t="str">
        <x:v>26.0071</x:v>
      </x:c>
      <x:c r="C8" s="458" t="str">
        <x:v>JAD Street Style Sherman and Stand</x:v>
      </x:c>
      <x:c r="D8" s="462" t="str">
        <x:v>C+</x:v>
      </x:c>
      <x:c r="E8" s="458" t="str">
        <x:v>Credible JAD Sherman artifact; builder roles and rarity claims remain unverified.</x:v>
      </x:c>
      <x:c r="F8" s="458" t="str">
        <x:v>The physical image confirms a JAD Sherman-branded bicycle displayed with a stand. The collection record preserves Mike DiMartino association and rarity claims.</x:v>
      </x:c>
      <x:c r="G8" s="458" t="str">
        <x:v>No builder statement, production ledger, serial package, original order, comparison register, or reconciled stand-maker attribution was recovered.</x:v>
      </x:c>
      <x:c r="H8" s="458" t="str">
        <x:v>Artifact 26.0071 is a JAD Sherman with a paired stand, attributed through collection provenance to Mike DiMartino. The one-of-six, unique Street Style, and one-of-one stand claims remain under authentication.</x:v>
      </x:c>
      <x:c r="I8" s="458" t="str">
        <x:v>HOLD QUALIFIED</x:v>
      </x:c>
    </x:row>
    <x:row r="9" ht="62" customHeight="1">
      <x:c r="A9" s="458" t="str">
        <x:v>AUTH-005</x:v>
      </x:c>
      <x:c r="B9" s="458" t="str">
        <x:v>26.0006</x:v>
      </x:c>
      <x:c r="C9" s="458" t="str">
        <x:v>ELF Catalog / Mailpiece</x:v>
      </x:c>
      <x:c r="D9" s="462" t="str">
        <x:v>C+</x:v>
      </x:c>
      <x:c r="E9" s="458" t="str">
        <x:v>Authentic ELF mail catalog or mailpiece; edition and date remain unidentified.</x:v>
      </x:c>
      <x:c r="F9" s="458" t="str">
        <x:v>The captured object visibly carries ELF branding, postal indicia, a 29-cent LOVE stamp, and an A-1 Cyclery recipient label.</x:v>
      </x:c>
      <x:c r="G9" s="458" t="str">
        <x:v>Exact stamp issue, mailing date, publication year, edition, catalog number, page count, and contents remain unresolved.</x:v>
      </x:c>
      <x:c r="H9" s="458" t="str">
        <x:v>Artifact 26.0006 is an authentic ELF-branded mailed catalog or mailpiece. Its publication year, edition, and complete contents remain unidentified.</x:v>
      </x:c>
      <x:c r="I9" s="458" t="str">
        <x:v>PUBLISH QUALIFIED</x:v>
      </x:c>
    </x:row>
  </x:sheetData>
  <x:mergeCells>
    <x:mergeCell ref="A1:I1"/>
    <x:mergeCell ref="A2:I2"/>
  </x:mergeCells>
  <x:conditionalFormatting sqref="D5:D9">
    <x:cfRule type="expression" dxfId="31" priority="1">
      <x:formula>LEFT(D5,1)="A"</x:formula>
    </x:cfRule>
    <x:cfRule type="expression" dxfId="32" priority="2">
      <x:formula>LEFT(D5,1)="B"</x:formula>
    </x:cfRule>
    <x:cfRule type="expression" dxfId="33" priority="3">
      <x:formula>LEFT(D5,1)="C"</x:formula>
    </x:cfRule>
    <x:cfRule type="expression" dxfId="34" priority="4">
      <x:formula>LEFT(D5,1)="D"</x:formula>
    </x:cfRule>
  </x:conditionalFormatting>
  <x:pageMargins left="0.7" right="0.7" top="0.75" bottom="0.75" header="0.3" footer="0.3"/>
</x:worksheet>
</file>

<file path=xl/worksheets/sheet57.xml><?xml version="1.0" encoding="utf-8"?>
<x:worksheet xmlns:x="http://schemas.openxmlformats.org/spreadsheetml/2006/main">
  <x:sheetFormatPr defaultRowHeight="15"/>
  <x:cols>
    <x:col min="1" max="1" width="16" hidden="0" customWidth="1"/>
    <x:col min="2" max="2" width="12" hidden="0" customWidth="1"/>
    <x:col min="3" max="3" width="24" hidden="0" customWidth="1"/>
    <x:col min="4" max="4" width="52" hidden="0" customWidth="1"/>
    <x:col min="5" max="5" width="10" hidden="0" customWidth="1"/>
    <x:col min="6" max="6" width="32" hidden="0" customWidth="1"/>
    <x:col min="7" max="7" width="48" hidden="0" customWidth="1"/>
    <x:col min="8" max="8" width="52" hidden="0" customWidth="1"/>
    <x:col min="9" max="9" width="20" hidden="0" customWidth="1"/>
  </x:cols>
  <x:sheetData>
    <x:row r="1" ht="30" customHeight="1">
      <x:c r="A1" s="446" t="str">
        <x:v>Claim-Level Authentication Grades</x:v>
      </x:c>
      <x:c r="B1" s="446"/>
      <x:c r="C1" s="446"/>
      <x:c r="D1" s="446"/>
      <x:c r="E1" s="446"/>
      <x:c r="F1" s="446"/>
      <x:c r="G1" s="446"/>
      <x:c r="H1" s="446"/>
      <x:c r="I1" s="446"/>
    </x:row>
    <x:row r="2" ht="30" customHeight="1">
      <x:c r="A2" s="451" t="str">
        <x:v>Each row is independently graded. This prevents official athlete results, visible branding, or collection provenance from silently proving an exact bicycle, production count, or award level.</x:v>
      </x:c>
      <x:c r="B2" s="451"/>
      <x:c r="C2" s="451"/>
      <x:c r="D2" s="451"/>
      <x:c r="E2" s="451"/>
      <x:c r="F2" s="451"/>
      <x:c r="G2" s="451"/>
      <x:c r="H2" s="451"/>
      <x:c r="I2" s="451"/>
    </x:row>
    <x:row r="4">
      <x:c r="A4" s="457" t="str">
        <x:v>Claim ID</x:v>
      </x:c>
      <x:c r="B4" s="457" t="str">
        <x:v>Artifact ID</x:v>
      </x:c>
      <x:c r="C4" s="457" t="str">
        <x:v>Dossier</x:v>
      </x:c>
      <x:c r="D4" s="457" t="str">
        <x:v>Claim</x:v>
      </x:c>
      <x:c r="E4" s="457" t="str">
        <x:v>Grade</x:v>
      </x:c>
      <x:c r="F4" s="457" t="str">
        <x:v>Evidence Basis</x:v>
      </x:c>
      <x:c r="G4" s="457" t="str">
        <x:v>What Supports It</x:v>
      </x:c>
      <x:c r="H4" s="457" t="str">
        <x:v>Open Limitation</x:v>
      </x:c>
      <x:c r="I4" s="457" t="str">
        <x:v>Status</x:v>
      </x:c>
    </x:row>
    <x:row r="5" ht="62" customHeight="1">
      <x:c r="A5" s="458" t="str">
        <x:v>CLM-BOSS-01</x:v>
      </x:c>
      <x:c r="B5" s="458" t="str">
        <x:v>26.0055</x:v>
      </x:c>
      <x:c r="C5" s="458" t="str">
        <x:v>Boss CR01</x:v>
      </x:c>
      <x:c r="D5" s="458" t="str">
        <x:v>Physical bicycle is Boss Hogg-branded</x:v>
      </x:c>
      <x:c r="E5" s="463" t="str">
        <x:v>B−</x:v>
      </x:c>
      <x:c r="F5" s="458" t="str">
        <x:v>Primary collection image + inventory record</x:v>
      </x:c>
      <x:c r="G5" s="458" t="str">
        <x:v>Visible BOSS/HOGG graphics and complete build</x:v>
      </x:c>
      <x:c r="H5" s="458" t="str">
        <x:v>Serial/model-period comparison still absent</x:v>
      </x:c>
      <x:c r="I5" s="458" t="str">
        <x:v>QUALIFIED</x:v>
      </x:c>
    </x:row>
    <x:row r="6" ht="62" customHeight="1">
      <x:c r="A6" s="458" t="str">
        <x:v>CLM-BOSS-02</x:v>
      </x:c>
      <x:c r="B6" s="458" t="str">
        <x:v>26.0055</x:v>
      </x:c>
      <x:c r="C6" s="458" t="str">
        <x:v>Boss CR01</x:v>
      </x:c>
      <x:c r="D6" s="458" t="str">
        <x:v>Frame bears serial CR01</x:v>
      </x:c>
      <x:c r="E6" s="463" t="str">
        <x:v>C</x:v>
      </x:c>
      <x:c r="F6" s="458" t="str">
        <x:v>Collection record</x:v>
      </x:c>
      <x:c r="G6" s="458" t="str">
        <x:v>Specific serial is consistently recorded</x:v>
      </x:c>
      <x:c r="H6" s="458" t="str">
        <x:v>No captured serial macro photograph</x:v>
      </x:c>
      <x:c r="I6" s="458" t="str">
        <x:v>ATTRIBUTED</x:v>
      </x:c>
    </x:row>
    <x:row r="7" ht="62" customHeight="1">
      <x:c r="A7" s="458" t="str">
        <x:v>CLM-BOSS-03</x:v>
      </x:c>
      <x:c r="B7" s="458" t="str">
        <x:v>26.0055</x:v>
      </x:c>
      <x:c r="C7" s="458" t="str">
        <x:v>Boss CR01</x:v>
      </x:c>
      <x:c r="D7" s="458" t="str">
        <x:v>First Livermore-produced Boss Hogg</x:v>
      </x:c>
      <x:c r="E7" s="463" t="str">
        <x:v>D+</x:v>
      </x:c>
      <x:c r="F7" s="458" t="str">
        <x:v>Collection provenance</x:v>
      </x:c>
      <x:c r="G7" s="458" t="str">
        <x:v>Specific longstanding attribution</x:v>
      </x:c>
      <x:c r="H7" s="458" t="str">
        <x:v>No ledger, builder statement, or comparative serial sequence</x:v>
      </x:c>
      <x:c r="I7" s="458" t="str">
        <x:v>OPEN</x:v>
      </x:c>
    </x:row>
    <x:row r="8" ht="62" customHeight="1">
      <x:c r="A8" s="458" t="str">
        <x:v>CLM-BOSS-04</x:v>
      </x:c>
      <x:c r="B8" s="458" t="str">
        <x:v>26.0055</x:v>
      </x:c>
      <x:c r="C8" s="458" t="str">
        <x:v>Boss CR01</x:v>
      </x:c>
      <x:c r="D8" s="458" t="str">
        <x:v>Restored by C4 Labs</x:v>
      </x:c>
      <x:c r="E8" s="463" t="str">
        <x:v>C</x:v>
      </x:c>
      <x:c r="F8" s="458" t="str">
        <x:v>Collection record</x:v>
      </x:c>
      <x:c r="G8" s="458" t="str">
        <x:v>Specific restoration attribution</x:v>
      </x:c>
      <x:c r="H8" s="458" t="str">
        <x:v>No invoice, correspondence, or before/after file recovered</x:v>
      </x:c>
      <x:c r="I8" s="458" t="str">
        <x:v>ATTRIBUTED</x:v>
      </x:c>
    </x:row>
    <x:row r="9" ht="62" customHeight="1">
      <x:c r="A9" s="458" t="str">
        <x:v>CLM-FEL-01</x:v>
      </x:c>
      <x:c r="B9" s="458" t="str">
        <x:v>26.0054</x:v>
      </x:c>
      <x:c r="C9" s="458" t="str">
        <x:v>Felicia Stancil</x:v>
      </x:c>
      <x:c r="D9" s="458" t="str">
        <x:v>2012 Junior Women’s race and time-trial world titles</x:v>
      </x:c>
      <x:c r="E9" s="463" t="str">
        <x:v>A</x:v>
      </x:c>
      <x:c r="F9" s="458" t="str">
        <x:v>Official USA BMX report</x:v>
      </x:c>
      <x:c r="G9" s="458" t="str">
        <x:v>Both titles independently verified</x:v>
      </x:c>
      <x:c r="H9" s="458" t="str">
        <x:v>Add full UCI result sheets when recovered</x:v>
      </x:c>
      <x:c r="I9" s="458" t="str">
        <x:v>VERIFIED</x:v>
      </x:c>
    </x:row>
    <x:row r="10" ht="62" customHeight="1">
      <x:c r="A10" s="458" t="str">
        <x:v>CLM-FEL-02</x:v>
      </x:c>
      <x:c r="B10" s="458" t="str">
        <x:v>26.0054</x:v>
      </x:c>
      <x:c r="C10" s="458" t="str">
        <x:v>Felicia Stancil</x:v>
      </x:c>
      <x:c r="D10" s="458" t="str">
        <x:v>Plate names Felicia Stancil and identifies dual world-champion W1 status</x:v>
      </x:c>
      <x:c r="E10" s="463" t="str">
        <x:v>B+</x:v>
      </x:c>
      <x:c r="F10" s="458" t="str">
        <x:v>Primary collection image + official results</x:v>
      </x:c>
      <x:c r="G10" s="458" t="str">
        <x:v>Text and W1/GT marks visibly correspond to verified achievements</x:v>
      </x:c>
      <x:c r="H10" s="458" t="str">
        <x:v>Reverse, maker marks, and chain of custody absent</x:v>
      </x:c>
      <x:c r="I10" s="458" t="str">
        <x:v>STRONG</x:v>
      </x:c>
    </x:row>
    <x:row r="11" ht="62" customHeight="1">
      <x:c r="A11" s="458" t="str">
        <x:v>CLM-FEL-03</x:v>
      </x:c>
      <x:c r="B11" s="458" t="str">
        <x:v>26.0054</x:v>
      </x:c>
      <x:c r="C11" s="458" t="str">
        <x:v>Felicia Stancil</x:v>
      </x:c>
      <x:c r="D11" s="458" t="str">
        <x:v>Exact bicycle used for both Birmingham titles</x:v>
      </x:c>
      <x:c r="E11" s="463" t="str">
        <x:v>B−</x:v>
      </x:c>
      <x:c r="F11" s="458" t="str">
        <x:v>Collection provenance + physical pairing + official team/results context</x:v>
      </x:c>
      <x:c r="G11" s="458" t="str">
        <x:v>Converging evidence strongly supports attribution</x:v>
      </x:c>
      <x:c r="H11" s="458" t="str">
        <x:v>Serial, transfer record, and race-day controlled comparison absent</x:v>
      </x:c>
      <x:c r="I11" s="458" t="str">
        <x:v>OPEN-STRONG</x:v>
      </x:c>
    </x:row>
    <x:row r="12" ht="62" customHeight="1">
      <x:c r="A12" s="458" t="str">
        <x:v>CLM-FEL-04</x:v>
      </x:c>
      <x:c r="B12" s="458" t="str">
        <x:v>26.0054</x:v>
      </x:c>
      <x:c r="C12" s="458" t="str">
        <x:v>Felicia Stancil</x:v>
      </x:c>
      <x:c r="D12" s="458" t="str">
        <x:v>Plate is the original Birmingham race plate</x:v>
      </x:c>
      <x:c r="E12" s="463" t="str">
        <x:v>B−</x:v>
      </x:c>
      <x:c r="F12" s="458" t="str">
        <x:v>Collection provenance + physical wear/association</x:v>
      </x:c>
      <x:c r="G12" s="458" t="str">
        <x:v>Plausible and object-specific</x:v>
      </x:c>
      <x:c r="H12" s="458" t="str">
        <x:v>No reverse view, event photo match, or uninterrupted custody record</x:v>
      </x:c>
      <x:c r="I12" s="458" t="str">
        <x:v>OPEN-STRONG</x:v>
      </x:c>
    </x:row>
    <x:row r="13" ht="62" customHeight="1">
      <x:c r="A13" s="458" t="str">
        <x:v>CLM-F1-01</x:v>
      </x:c>
      <x:c r="B13" s="458" t="str">
        <x:v>26.0048</x:v>
      </x:c>
      <x:c r="C13" s="458" t="str">
        <x:v>Formula One / F-1</x:v>
      </x:c>
      <x:c r="D13" s="458" t="str">
        <x:v>Physical trophy exists</x:v>
      </x:c>
      <x:c r="E13" s="463" t="str">
        <x:v>A</x:v>
      </x:c>
      <x:c r="F13" s="458" t="str">
        <x:v>Primary collection image</x:v>
      </x:c>
      <x:c r="G13" s="458" t="str">
        <x:v>Object and plaque are directly documented</x:v>
      </x:c>
      <x:c r="H13" s="458" t="str">
        <x:v>None for existence</x:v>
      </x:c>
      <x:c r="I13" s="458" t="str">
        <x:v>VERIFIED</x:v>
      </x:c>
    </x:row>
    <x:row r="14" ht="62" customHeight="1">
      <x:c r="A14" s="458" t="str">
        <x:v>CLM-F1-02</x:v>
      </x:c>
      <x:c r="B14" s="458" t="str">
        <x:v>26.0048</x:v>
      </x:c>
      <x:c r="C14" s="458" t="str">
        <x:v>Formula One / F-1</x:v>
      </x:c>
      <x:c r="D14" s="458" t="str">
        <x:v>Plaque title/date read “THE F-1 CHALLENGE ’86”</x:v>
      </x:c>
      <x:c r="E14" s="463" t="str">
        <x:v>B+</x:v>
      </x:c>
      <x:c r="F14" s="458" t="str">
        <x:v>Primary image + research derivative</x:v>
      </x:c>
      <x:c r="G14" s="458" t="str">
        <x:v>Main title and date are visibly legible</x:v>
      </x:c>
      <x:c r="H14" s="458" t="str">
        <x:v>New straight-on macro photograph still desirable</x:v>
      </x:c>
      <x:c r="I14" s="458" t="str">
        <x:v>STRONG</x:v>
      </x:c>
    </x:row>
    <x:row r="15" ht="62" customHeight="1">
      <x:c r="A15" s="458" t="str">
        <x:v>CLM-F1-03</x:v>
      </x:c>
      <x:c r="B15" s="458" t="str">
        <x:v>26.0048</x:v>
      </x:c>
      <x:c r="C15" s="458" t="str">
        <x:v>Formula One / F-1</x:v>
      </x:c>
      <x:c r="D15" s="458" t="str">
        <x:v>Trophy recipient, class, promoter, sanction and venue</x:v>
      </x:c>
      <x:c r="E15" s="463" t="str">
        <x:v>D</x:v>
      </x:c>
      <x:c r="F15" s="458" t="str">
        <x:v>Current image and inventory</x:v>
      </x:c>
      <x:c r="G15" s="458" t="str">
        <x:v>Fields are historically material</x:v>
      </x:c>
      <x:c r="H15" s="458" t="str">
        <x:v>Smaller plaque text and event records unresolved</x:v>
      </x:c>
      <x:c r="I15" s="458" t="str">
        <x:v>OPEN</x:v>
      </x:c>
    </x:row>
    <x:row r="16" ht="62" customHeight="1">
      <x:c r="A16" s="458" t="str">
        <x:v>CLM-F1-04</x:v>
      </x:c>
      <x:c r="B16" s="458" t="str">
        <x:v>26.0048</x:v>
      </x:c>
      <x:c r="C16" s="458" t="str">
        <x:v>Formula One / F-1</x:v>
      </x:c>
      <x:c r="D16" s="458" t="str">
        <x:v>Trophy represents a championship title</x:v>
      </x:c>
      <x:c r="E16" s="463" t="str">
        <x:v>D</x:v>
      </x:c>
      <x:c r="F16" s="458" t="str">
        <x:v>Inventory wording only</x:v>
      </x:c>
      <x:c r="G16" s="458" t="str">
        <x:v>Claim is preserved</x:v>
      </x:c>
      <x:c r="H16" s="458" t="str">
        <x:v>Plaque/event evidence does not yet establish championship level</x:v>
      </x:c>
      <x:c r="I16" s="458" t="str">
        <x:v>OPEN</x:v>
      </x:c>
    </x:row>
    <x:row r="17" ht="62" customHeight="1">
      <x:c r="A17" s="458" t="str">
        <x:v>CLM-JAD-01</x:v>
      </x:c>
      <x:c r="B17" s="458" t="str">
        <x:v>26.0071</x:v>
      </x:c>
      <x:c r="C17" s="458" t="str">
        <x:v>JAD Sherman</x:v>
      </x:c>
      <x:c r="D17" s="458" t="str">
        <x:v>Physical bicycle is JAD Sherman-branded</x:v>
      </x:c>
      <x:c r="E17" s="463" t="str">
        <x:v>B+</x:v>
      </x:c>
      <x:c r="F17" s="458" t="str">
        <x:v>Primary collection image + inventory</x:v>
      </x:c>
      <x:c r="G17" s="458" t="str">
        <x:v>JAD Sherman marking is visible</x:v>
      </x:c>
      <x:c r="H17" s="458" t="str">
        <x:v>Serial and period/model comparison remain absent</x:v>
      </x:c>
      <x:c r="I17" s="458" t="str">
        <x:v>STRONG</x:v>
      </x:c>
    </x:row>
    <x:row r="18" ht="62" customHeight="1">
      <x:c r="A18" s="458" t="str">
        <x:v>CLM-JAD-02</x:v>
      </x:c>
      <x:c r="B18" s="458" t="str">
        <x:v>26.0071</x:v>
      </x:c>
      <x:c r="C18" s="458" t="str">
        <x:v>JAD Sherman</x:v>
      </x:c>
      <x:c r="D18" s="458" t="str">
        <x:v>Stand is physically paired with the bicycle in the collection</x:v>
      </x:c>
      <x:c r="E18" s="463" t="str">
        <x:v>B</x:v>
      </x:c>
      <x:c r="F18" s="458" t="str">
        <x:v>Primary collection image</x:v>
      </x:c>
      <x:c r="G18" s="458" t="str">
        <x:v>Paired display is directly documented</x:v>
      </x:c>
      <x:c r="H18" s="458" t="str">
        <x:v>Original historical pairing is not proven</x:v>
      </x:c>
      <x:c r="I18" s="458" t="str">
        <x:v>QUALIFIED</x:v>
      </x:c>
    </x:row>
    <x:row r="19" ht="62" customHeight="1">
      <x:c r="A19" s="458" t="str">
        <x:v>CLM-JAD-03</x:v>
      </x:c>
      <x:c r="B19" s="458" t="str">
        <x:v>26.0071</x:v>
      </x:c>
      <x:c r="C19" s="458" t="str">
        <x:v>JAD Sherman</x:v>
      </x:c>
      <x:c r="D19" s="458" t="str">
        <x:v>Frame fabricated by Mike DiMartino</x:v>
      </x:c>
      <x:c r="E19" s="463" t="str">
        <x:v>C</x:v>
      </x:c>
      <x:c r="F19" s="458" t="str">
        <x:v>Collection provenance</x:v>
      </x:c>
      <x:c r="G19" s="458" t="str">
        <x:v>Specific maker attribution is preserved</x:v>
      </x:c>
      <x:c r="H19" s="458" t="str">
        <x:v>No signed builder statement or build documentation</x:v>
      </x:c>
      <x:c r="I19" s="458" t="str">
        <x:v>ATTRIBUTED</x:v>
      </x:c>
    </x:row>
    <x:row r="20" ht="62" customHeight="1">
      <x:c r="A20" s="458" t="str">
        <x:v>CLM-JAD-04</x:v>
      </x:c>
      <x:c r="B20" s="458" t="str">
        <x:v>26.0071</x:v>
      </x:c>
      <x:c r="C20" s="458" t="str">
        <x:v>JAD Sherman</x:v>
      </x:c>
      <x:c r="D20" s="458" t="str">
        <x:v>One of six frames and only Street Style variant</x:v>
      </x:c>
      <x:c r="E20" s="463" t="str">
        <x:v>D+</x:v>
      </x:c>
      <x:c r="F20" s="458" t="str">
        <x:v>Collection rarity claim</x:v>
      </x:c>
      <x:c r="G20" s="458" t="str">
        <x:v>Specific and plausible claim</x:v>
      </x:c>
      <x:c r="H20" s="458" t="str">
        <x:v>No production list, scope definition, or known-survivor register</x:v>
      </x:c>
      <x:c r="I20" s="458" t="str">
        <x:v>OPEN</x:v>
      </x:c>
    </x:row>
    <x:row r="21" ht="62" customHeight="1">
      <x:c r="A21" s="458" t="str">
        <x:v>CLM-JAD-05</x:v>
      </x:c>
      <x:c r="B21" s="458" t="str">
        <x:v>26.0071</x:v>
      </x:c>
      <x:c r="C21" s="458" t="str">
        <x:v>JAD Sherman</x:v>
      </x:c>
      <x:c r="D21" s="458" t="str">
        <x:v>One-of-one original stand and stand maker</x:v>
      </x:c>
      <x:c r="E21" s="463" t="str">
        <x:v>D</x:v>
      </x:c>
      <x:c r="F21" s="458" t="str">
        <x:v>Conflicting collection fields</x:v>
      </x:c>
      <x:c r="G21" s="458" t="str">
        <x:v>Both Mike DiMartino and David Lesorgan are named</x:v>
      </x:c>
      <x:c r="H21" s="458" t="str">
        <x:v>Roles are unreconciled and originality/uniqueness unproven</x:v>
      </x:c>
      <x:c r="I21" s="458" t="str">
        <x:v>CONFLICT</x:v>
      </x:c>
    </x:row>
    <x:row r="22" ht="62" customHeight="1">
      <x:c r="A22" s="458" t="str">
        <x:v>CLM-ELF-01</x:v>
      </x:c>
      <x:c r="B22" s="458" t="str">
        <x:v>26.0006</x:v>
      </x:c>
      <x:c r="C22" s="458" t="str">
        <x:v>ELF Catalog</x:v>
      </x:c>
      <x:c r="D22" s="458" t="str">
        <x:v>Physical ELF-branded mail catalog or mailpiece exists</x:v>
      </x:c>
      <x:c r="E22" s="463" t="str">
        <x:v>A</x:v>
      </x:c>
      <x:c r="F22" s="458" t="str">
        <x:v>Primary collection image</x:v>
      </x:c>
      <x:c r="G22" s="458" t="str">
        <x:v>Object is directly documented</x:v>
      </x:c>
      <x:c r="H22" s="458" t="str">
        <x:v>None for existence</x:v>
      </x:c>
      <x:c r="I22" s="458" t="str">
        <x:v>VERIFIED</x:v>
      </x:c>
    </x:row>
    <x:row r="23" ht="62" customHeight="1">
      <x:c r="A23" s="458" t="str">
        <x:v>CLM-ELF-02</x:v>
      </x:c>
      <x:c r="B23" s="458" t="str">
        <x:v>26.0006</x:v>
      </x:c>
      <x:c r="C23" s="458" t="str">
        <x:v>ELF Catalog</x:v>
      </x:c>
      <x:c r="D23" s="458" t="str">
        <x:v>Mailpiece was addressed to A-1 Cyclery</x:v>
      </x:c>
      <x:c r="E23" s="463" t="str">
        <x:v>B+</x:v>
      </x:c>
      <x:c r="F23" s="458" t="str">
        <x:v>Primary image + address-label crop</x:v>
      </x:c>
      <x:c r="G23" s="458" t="str">
        <x:v>Dealer name is visible</x:v>
      </x:c>
      <x:c r="H23" s="458" t="str">
        <x:v>Some recipient/address characters remain uncertain</x:v>
      </x:c>
      <x:c r="I23" s="458" t="str">
        <x:v>STRONG</x:v>
      </x:c>
    </x:row>
    <x:row r="24" ht="62" customHeight="1">
      <x:c r="A24" s="458" t="str">
        <x:v>CLM-ELF-03</x:v>
      </x:c>
      <x:c r="B24" s="458" t="str">
        <x:v>26.0006</x:v>
      </x:c>
      <x:c r="C24" s="458" t="str">
        <x:v>ELF Catalog</x:v>
      </x:c>
      <x:c r="D24" s="458" t="str">
        <x:v>Publication or mailing year</x:v>
      </x:c>
      <x:c r="E24" s="463" t="str">
        <x:v>D</x:v>
      </x:c>
      <x:c r="F24" s="458" t="str">
        <x:v>29-cent LOVE stamp and postal appearance</x:v>
      </x:c>
      <x:c r="G24" s="458" t="str">
        <x:v>May ultimately constrain date</x:v>
      </x:c>
      <x:c r="H24" s="458" t="str">
        <x:v>Exact stamp issue and cancellation are not identified</x:v>
      </x:c>
      <x:c r="I24" s="458" t="str">
        <x:v>OPEN</x:v>
      </x:c>
    </x:row>
    <x:row r="25" ht="62" customHeight="1">
      <x:c r="A25" s="458" t="str">
        <x:v>CLM-ELF-04</x:v>
      </x:c>
      <x:c r="B25" s="458" t="str">
        <x:v>26.0006</x:v>
      </x:c>
      <x:c r="C25" s="458" t="str">
        <x:v>ELF Catalog</x:v>
      </x:c>
      <x:c r="D25" s="458" t="str">
        <x:v>Edition, catalog number, page count and complete model coverage</x:v>
      </x:c>
      <x:c r="E25" s="463" t="str">
        <x:v>D</x:v>
      </x:c>
      <x:c r="F25" s="458" t="str">
        <x:v>Single captured view</x:v>
      </x:c>
      <x:c r="G25" s="458" t="str">
        <x:v>Object type is clear</x:v>
      </x:c>
      <x:c r="H25" s="458" t="str">
        <x:v>No interior/back/imprint capture</x:v>
      </x:c>
      <x:c r="I25" s="458" t="str">
        <x:v>OPEN</x:v>
      </x:c>
    </x:row>
  </x:sheetData>
  <x:mergeCells>
    <x:mergeCell ref="A1:I1"/>
    <x:mergeCell ref="A2:I2"/>
  </x:mergeCells>
  <x:conditionalFormatting sqref="E5:E25">
    <x:cfRule type="expression" dxfId="35" priority="1">
      <x:formula>LEFT(E5,1)="A"</x:formula>
    </x:cfRule>
    <x:cfRule type="expression" dxfId="36" priority="2">
      <x:formula>LEFT(E5,1)="B"</x:formula>
    </x:cfRule>
    <x:cfRule type="expression" dxfId="37" priority="3">
      <x:formula>LEFT(E5,1)="C"</x:formula>
    </x:cfRule>
    <x:cfRule type="expression" dxfId="38" priority="4">
      <x:formula>LEFT(E5,1)="D"</x:formula>
    </x:cfRule>
  </x:conditionalFormatting>
  <x:pageMargins left="0.7" right="0.7" top="0.75" bottom="0.75" header="0.3" footer="0.3"/>
</x:worksheet>
</file>

<file path=xl/worksheets/sheet58.xml><?xml version="1.0" encoding="utf-8"?>
<x:worksheet xmlns:x="http://schemas.openxmlformats.org/spreadsheetml/2006/main">
  <x:sheetFormatPr defaultRowHeight="15"/>
  <x:cols>
    <x:col min="1" max="1" width="14" hidden="0" customWidth="1"/>
    <x:col min="2" max="2" width="12" hidden="0" customWidth="1"/>
    <x:col min="3" max="3" width="24" hidden="0" customWidth="1"/>
    <x:col min="4" max="4" width="38" hidden="0" customWidth="1"/>
    <x:col min="5" max="5" width="58" hidden="0" customWidth="1"/>
    <x:col min="6" max="6" width="14" hidden="0" customWidth="1"/>
    <x:col min="7" max="7" width="52" hidden="0" customWidth="1"/>
    <x:col min="8" max="8" width="16" hidden="0" customWidth="1"/>
  </x:cols>
  <x:sheetData>
    <x:row r="1" ht="30" customHeight="1">
      <x:c r="A1" s="446" t="str">
        <x:v>Remaining Evidence Gates</x:v>
      </x:c>
      <x:c r="B1" s="446"/>
      <x:c r="C1" s="446"/>
      <x:c r="D1" s="446"/>
      <x:c r="E1" s="446"/>
      <x:c r="F1" s="446"/>
      <x:c r="G1" s="446"/>
      <x:c r="H1" s="446"/>
    </x:row>
    <x:row r="2" ht="30" customHeight="1">
      <x:c r="A2" s="451" t="str">
        <x:v>These are the minimum evidence captures needed to raise grades. Requests are ranked by authentication value rather than convenience.</x:v>
      </x:c>
      <x:c r="B2" s="451"/>
      <x:c r="C2" s="451"/>
      <x:c r="D2" s="451"/>
      <x:c r="E2" s="451"/>
      <x:c r="F2" s="451"/>
      <x:c r="G2" s="451"/>
      <x:c r="H2" s="451"/>
    </x:row>
    <x:row r="4">
      <x:c r="A4" s="457" t="str">
        <x:v>Gate ID</x:v>
      </x:c>
      <x:c r="B4" s="457" t="str">
        <x:v>Artifact ID</x:v>
      </x:c>
      <x:c r="C4" s="457" t="str">
        <x:v>Dossier</x:v>
      </x:c>
      <x:c r="D4" s="457" t="str">
        <x:v>Evidence Needed</x:v>
      </x:c>
      <x:c r="E4" s="457" t="str">
        <x:v>Capture Standard</x:v>
      </x:c>
      <x:c r="F4" s="457" t="str">
        <x:v>Priority</x:v>
      </x:c>
      <x:c r="G4" s="457" t="str">
        <x:v>Authentication Effect</x:v>
      </x:c>
      <x:c r="H4" s="457" t="str">
        <x:v>Status</x:v>
      </x:c>
    </x:row>
    <x:row r="5" ht="62" customHeight="1">
      <x:c r="A5" s="458" t="str">
        <x:v>GATE-001</x:v>
      </x:c>
      <x:c r="B5" s="458" t="str">
        <x:v>26.0055</x:v>
      </x:c>
      <x:c r="C5" s="458" t="str">
        <x:v>Boss CR01</x:v>
      </x:c>
      <x:c r="D5" s="458" t="str">
        <x:v>Serial macro set</x:v>
      </x:c>
      <x:c r="E5" s="458" t="str">
        <x:v>Straight-on and oblique-light photographs of serial and full stamping context</x:v>
      </x:c>
      <x:c r="F5" s="458" t="str">
        <x:v>CRITICAL</x:v>
      </x:c>
      <x:c r="G5" s="458" t="str">
        <x:v>Would move CR01 serial from C toward B or A</x:v>
      </x:c>
      <x:c r="H5" s="458" t="str">
        <x:v>OPEN</x:v>
      </x:c>
    </x:row>
    <x:row r="6" ht="62" customHeight="1">
      <x:c r="A6" s="458" t="str">
        <x:v>GATE-002</x:v>
      </x:c>
      <x:c r="B6" s="458" t="str">
        <x:v>26.0055</x:v>
      </x:c>
      <x:c r="C6" s="458" t="str">
        <x:v>Boss CR01</x:v>
      </x:c>
      <x:c r="D6" s="458" t="str">
        <x:v>C4 Labs restoration file</x:v>
      </x:c>
      <x:c r="E6" s="458" t="str">
        <x:v>Invoice, correspondence, before/after images, repair and coating notes</x:v>
      </x:c>
      <x:c r="F6" s="458" t="str">
        <x:v>CRITICAL</x:v>
      </x:c>
      <x:c r="G6" s="458" t="str">
        <x:v>Would close restoration history and protect original-evidence interpretation</x:v>
      </x:c>
      <x:c r="H6" s="458" t="str">
        <x:v>OPEN</x:v>
      </x:c>
    </x:row>
    <x:row r="7" ht="62" customHeight="1">
      <x:c r="A7" s="458" t="str">
        <x:v>GATE-003</x:v>
      </x:c>
      <x:c r="B7" s="458" t="str">
        <x:v>26.0055</x:v>
      </x:c>
      <x:c r="C7" s="458" t="str">
        <x:v>Boss CR01</x:v>
      </x:c>
      <x:c r="D7" s="458" t="str">
        <x:v>Livermore serial comparison</x:v>
      </x:c>
      <x:c r="E7" s="458" t="str">
        <x:v>Documented neighboring Boss Hogg/Livermore serials and factory/builder statement</x:v>
      </x:c>
      <x:c r="F7" s="458" t="str">
        <x:v>CRITICAL</x:v>
      </x:c>
      <x:c r="G7" s="458" t="str">
        <x:v>Required for any first-production conclusion</x:v>
      </x:c>
      <x:c r="H7" s="458" t="str">
        <x:v>OPEN</x:v>
      </x:c>
    </x:row>
    <x:row r="8" ht="62" customHeight="1">
      <x:c r="A8" s="458" t="str">
        <x:v>GATE-004</x:v>
      </x:c>
      <x:c r="B8" s="458" t="str">
        <x:v>26.0054</x:v>
      </x:c>
      <x:c r="C8" s="458" t="str">
        <x:v>Felicia Stancil</x:v>
      </x:c>
      <x:c r="D8" s="458" t="str">
        <x:v>Frame/fork serial and markings</x:v>
      </x:c>
      <x:c r="E8" s="458" t="str">
        <x:v>Full macro package with dimensions and component date codes</x:v>
      </x:c>
      <x:c r="F8" s="458" t="str">
        <x:v>CRITICAL</x:v>
      </x:c>
      <x:c r="G8" s="458" t="str">
        <x:v>Required to identify the exact frame and production period</x:v>
      </x:c>
      <x:c r="H8" s="458" t="str">
        <x:v>OPEN</x:v>
      </x:c>
    </x:row>
    <x:row r="9" ht="62" customHeight="1">
      <x:c r="A9" s="458" t="str">
        <x:v>GATE-005</x:v>
      </x:c>
      <x:c r="B9" s="458" t="str">
        <x:v>26.0054</x:v>
      </x:c>
      <x:c r="C9" s="458" t="str">
        <x:v>Felicia Stancil</x:v>
      </x:c>
      <x:c r="D9" s="458" t="str">
        <x:v>Plate forensic set</x:v>
      </x:c>
      <x:c r="E9" s="458" t="str">
        <x:v>Front, rear, edges, maker marks, fasteners and mounting wear</x:v>
      </x:c>
      <x:c r="F9" s="458" t="str">
        <x:v>CRITICAL</x:v>
      </x:c>
      <x:c r="G9" s="458" t="str">
        <x:v>Could move plate identity toward A</x:v>
      </x:c>
      <x:c r="H9" s="458" t="str">
        <x:v>OPEN</x:v>
      </x:c>
    </x:row>
    <x:row r="10" ht="62" customHeight="1">
      <x:c r="A10" s="458" t="str">
        <x:v>GATE-006</x:v>
      </x:c>
      <x:c r="B10" s="458" t="str">
        <x:v>26.0054</x:v>
      </x:c>
      <x:c r="C10" s="458" t="str">
        <x:v>Felicia Stancil</x:v>
      </x:c>
      <x:c r="D10" s="458" t="str">
        <x:v>2012 race-day controlled comparison</x:v>
      </x:c>
      <x:c r="E10" s="458" t="str">
        <x:v>Official images/video stills mapped feature-by-feature to the artifact</x:v>
      </x:c>
      <x:c r="F10" s="458" t="str">
        <x:v>CRITICAL</x:v>
      </x:c>
      <x:c r="G10" s="458" t="str">
        <x:v>Required for exact race-day configuration closure</x:v>
      </x:c>
      <x:c r="H10" s="458" t="str">
        <x:v>OPEN</x:v>
      </x:c>
    </x:row>
    <x:row r="11" ht="62" customHeight="1">
      <x:c r="A11" s="458" t="str">
        <x:v>GATE-007</x:v>
      </x:c>
      <x:c r="B11" s="458" t="str">
        <x:v>26.0054</x:v>
      </x:c>
      <x:c r="C11" s="458" t="str">
        <x:v>Felicia Stancil</x:v>
      </x:c>
      <x:c r="D11" s="458" t="str">
        <x:v>Transfer provenance</x:v>
      </x:c>
      <x:c r="E11" s="458" t="str">
        <x:v>Dated custody images, seller/donor communications, rider/team confirmation</x:v>
      </x:c>
      <x:c r="F11" s="458" t="str">
        <x:v>CRITICAL</x:v>
      </x:c>
      <x:c r="G11" s="458" t="str">
        <x:v>Required to close exact-bike attribution</x:v>
      </x:c>
      <x:c r="H11" s="458" t="str">
        <x:v>OPEN</x:v>
      </x:c>
    </x:row>
    <x:row r="12" ht="62" customHeight="1">
      <x:c r="A12" s="458" t="str">
        <x:v>GATE-008</x:v>
      </x:c>
      <x:c r="B12" s="458" t="str">
        <x:v>26.0048</x:v>
      </x:c>
      <x:c r="C12" s="458" t="str">
        <x:v>Formula One / F-1</x:v>
      </x:c>
      <x:c r="D12" s="458" t="str">
        <x:v>New trophy photography</x:v>
      </x:c>
      <x:c r="E12" s="458" t="str">
        <x:v>Straight-on macro of every plaque line, rear, sides, base underside and maker marks</x:v>
      </x:c>
      <x:c r="F12" s="458" t="str">
        <x:v>CRITICAL</x:v>
      </x:c>
      <x:c r="G12" s="458" t="str">
        <x:v>Could identify recipient/class and move title/date to A</x:v>
      </x:c>
      <x:c r="H12" s="458" t="str">
        <x:v>OPEN</x:v>
      </x:c>
    </x:row>
    <x:row r="13" ht="62" customHeight="1">
      <x:c r="A13" s="458" t="str">
        <x:v>GATE-009</x:v>
      </x:c>
      <x:c r="B13" s="458" t="str">
        <x:v>26.0048</x:v>
      </x:c>
      <x:c r="C13" s="458" t="str">
        <x:v>Formula One / F-1</x:v>
      </x:c>
      <x:c r="D13" s="458" t="str">
        <x:v>Exact event record</x:v>
      </x:c>
      <x:c r="E13" s="458" t="str">
        <x:v>Period ad, entry form, program, results or promoter record matching plaque text</x:v>
      </x:c>
      <x:c r="F13" s="458" t="str">
        <x:v>CRITICAL</x:v>
      </x:c>
      <x:c r="G13" s="458" t="str">
        <x:v>Required for sanction, venue and award-level conclusion</x:v>
      </x:c>
      <x:c r="H13" s="458" t="str">
        <x:v>OPEN</x:v>
      </x:c>
    </x:row>
    <x:row r="14" ht="62" customHeight="1">
      <x:c r="A14" s="458" t="str">
        <x:v>GATE-010</x:v>
      </x:c>
      <x:c r="B14" s="458" t="str">
        <x:v>26.0071</x:v>
      </x:c>
      <x:c r="C14" s="458" t="str">
        <x:v>JAD Sherman</x:v>
      </x:c>
      <x:c r="D14" s="458" t="str">
        <x:v>Builder-role statement</x:v>
      </x:c>
      <x:c r="E14" s="458" t="str">
        <x:v>Signed or recorded statements defining Mike DiMartino and David Lesorgan roles</x:v>
      </x:c>
      <x:c r="F14" s="458" t="str">
        <x:v>CRITICAL</x:v>
      </x:c>
      <x:c r="G14" s="458" t="str">
        <x:v>Required to resolve maker/source/stand conflict</x:v>
      </x:c>
      <x:c r="H14" s="458" t="str">
        <x:v>OPEN</x:v>
      </x:c>
    </x:row>
    <x:row r="15" ht="62" customHeight="1">
      <x:c r="A15" s="458" t="str">
        <x:v>GATE-011</x:v>
      </x:c>
      <x:c r="B15" s="458" t="str">
        <x:v>26.0071</x:v>
      </x:c>
      <x:c r="C15" s="458" t="str">
        <x:v>JAD Sherman</x:v>
      </x:c>
      <x:c r="D15" s="458" t="str">
        <x:v>Production and survivor register</x:v>
      </x:c>
      <x:c r="E15" s="458" t="str">
        <x:v>Serials, photos, geometry and provenance for all known comparable frames</x:v>
      </x:c>
      <x:c r="F15" s="458" t="str">
        <x:v>CRITICAL</x:v>
      </x:c>
      <x:c r="G15" s="458" t="str">
        <x:v>Required for one-of-six and only-variant grading</x:v>
      </x:c>
      <x:c r="H15" s="458" t="str">
        <x:v>OPEN</x:v>
      </x:c>
    </x:row>
    <x:row r="16" ht="62" customHeight="1">
      <x:c r="A16" s="458" t="str">
        <x:v>GATE-012</x:v>
      </x:c>
      <x:c r="B16" s="458" t="str">
        <x:v>26.0071</x:v>
      </x:c>
      <x:c r="C16" s="458" t="str">
        <x:v>JAD Sherman</x:v>
      </x:c>
      <x:c r="D16" s="458" t="str">
        <x:v>Physical marking package</x:v>
      </x:c>
      <x:c r="E16" s="458" t="str">
        <x:v>Serials, dropouts, welds, gussets, tubing, stand marks and measurements</x:v>
      </x:c>
      <x:c r="F16" s="458" t="str">
        <x:v>HIGH</x:v>
      </x:c>
      <x:c r="G16" s="458" t="str">
        <x:v>Needed for repeatable object comparison</x:v>
      </x:c>
      <x:c r="H16" s="458" t="str">
        <x:v>OPEN</x:v>
      </x:c>
    </x:row>
    <x:row r="17" ht="62" customHeight="1">
      <x:c r="A17" s="458" t="str">
        <x:v>GATE-013</x:v>
      </x:c>
      <x:c r="B17" s="458" t="str">
        <x:v>26.0006</x:v>
      </x:c>
      <x:c r="C17" s="458" t="str">
        <x:v>ELF Catalog</x:v>
      </x:c>
      <x:c r="D17" s="458" t="str">
        <x:v>Complete publication capture</x:v>
      </x:c>
      <x:c r="E17" s="458" t="str">
        <x:v>Front/back, every page/panel, imprint, copyright, catalog number and dealer data</x:v>
      </x:c>
      <x:c r="F17" s="458" t="str">
        <x:v>CRITICAL</x:v>
      </x:c>
      <x:c r="G17" s="458" t="str">
        <x:v>Required for edition and contents identification</x:v>
      </x:c>
      <x:c r="H17" s="458" t="str">
        <x:v>OPEN</x:v>
      </x:c>
    </x:row>
    <x:row r="18" ht="62" customHeight="1">
      <x:c r="A18" s="458" t="str">
        <x:v>GATE-014</x:v>
      </x:c>
      <x:c r="B18" s="458" t="str">
        <x:v>26.0006</x:v>
      </x:c>
      <x:c r="C18" s="458" t="str">
        <x:v>ELF Catalog</x:v>
      </x:c>
      <x:c r="D18" s="458" t="str">
        <x:v>Postal dating</x:v>
      </x:c>
      <x:c r="E18" s="458" t="str">
        <x:v>High-resolution stamp/cancellation and exact address/imprint transcription</x:v>
      </x:c>
      <x:c r="F18" s="458" t="str">
        <x:v>HIGH</x:v>
      </x:c>
      <x:c r="G18" s="458" t="str">
        <x:v>May establish earliest/latest mailing window</x:v>
      </x:c>
      <x:c r="H18" s="458" t="str">
        <x:v>OPEN</x:v>
      </x:c>
    </x:row>
  </x:sheetData>
  <x:mergeCells>
    <x:mergeCell ref="A1:H1"/>
    <x:mergeCell ref="A2:H2"/>
  </x:mergeCells>
  <x:conditionalFormatting sqref="F5:F18">
    <x:cfRule type="expression" dxfId="39" priority="1">
      <x:formula>F5="CRITICAL"</x:formula>
    </x:cfRule>
    <x:cfRule type="expression" dxfId="40" priority="2">
      <x:formula>F5="HIGH"</x:formula>
    </x:cfRule>
  </x:conditionalFormatting>
  <x:pageMargins left="0.7" right="0.7" top="0.75" bottom="0.75" header="0.3" footer="0.3"/>
</x:worksheet>
</file>

<file path=xl/worksheets/sheet59.xml><?xml version="1.0" encoding="utf-8"?>
<x:worksheet xmlns:x="http://schemas.openxmlformats.org/spreadsheetml/2006/main">
  <x:sheetFormatPr defaultRowHeight="15"/>
  <x:cols>
    <x:col min="1" max="1" width="16" hidden="0" customWidth="1"/>
    <x:col min="2" max="2" width="34" hidden="0" customWidth="1"/>
    <x:col min="3" max="3" width="34" hidden="0" customWidth="1"/>
    <x:col min="4" max="4" width="24" hidden="0" customWidth="1"/>
    <x:col min="5" max="5" width="48" hidden="0" customWidth="1"/>
    <x:col min="6" max="6" width="62" hidden="0" customWidth="1"/>
    <x:col min="7" max="7" width="52" hidden="0" customWidth="1"/>
    <x:col min="8" max="8" width="14" hidden="0" customWidth="1"/>
  </x:cols>
  <x:sheetData>
    <x:row r="1" ht="30" customHeight="1">
      <x:c r="A1" s="446" t="str">
        <x:v>Authentication Source Register</x:v>
      </x:c>
      <x:c r="B1" s="446"/>
      <x:c r="C1" s="446"/>
      <x:c r="D1" s="446"/>
      <x:c r="E1" s="446"/>
      <x:c r="F1" s="446"/>
      <x:c r="G1" s="446"/>
      <x:c r="H1" s="446"/>
    </x:row>
    <x:row r="2" ht="30" customHeight="1">
      <x:c r="A2" s="451" t="str">
        <x:v>Sources are classified by role. Collection-authored records preserve provenance; official and first-person sources establish different kinds of facts and are not interchangeable.</x:v>
      </x:c>
      <x:c r="B2" s="451"/>
      <x:c r="C2" s="451"/>
      <x:c r="D2" s="451"/>
      <x:c r="E2" s="451"/>
      <x:c r="F2" s="451"/>
      <x:c r="G2" s="451"/>
      <x:c r="H2" s="451"/>
    </x:row>
    <x:row r="4">
      <x:c r="A4" s="457" t="str">
        <x:v>Source ID</x:v>
      </x:c>
      <x:c r="B4" s="457" t="str">
        <x:v>Source</x:v>
      </x:c>
      <x:c r="C4" s="457" t="str">
        <x:v>Role</x:v>
      </x:c>
      <x:c r="D4" s="457" t="str">
        <x:v>Source Class</x:v>
      </x:c>
      <x:c r="E4" s="457" t="str">
        <x:v>Claims Supported</x:v>
      </x:c>
      <x:c r="F4" s="457" t="str">
        <x:v>URL / Location</x:v>
      </x:c>
      <x:c r="G4" s="457" t="str">
        <x:v>Limitation</x:v>
      </x:c>
      <x:c r="H4" s="457" t="str">
        <x:v>Reviewed</x:v>
      </x:c>
    </x:row>
    <x:row r="5" ht="62" customHeight="1">
      <x:c r="A5" s="458" t="str">
        <x:v>SRC-AUTH-001</x:v>
      </x:c>
      <x:c r="B5" s="458" t="str">
        <x:v>Lititz BMX Inventory PDF</x:v>
      </x:c>
      <x:c r="C5" s="458" t="str">
        <x:v>Collection inventory and embedded artifact images</x:v>
      </x:c>
      <x:c r="D5" s="458" t="str">
        <x:v>PRIMARY COLLECTION RECORD</x:v>
      </x:c>
      <x:c r="E5" s="458" t="str">
        <x:v>Artifacts 26.0006, 26.0048, 26.0054, 26.0055 and 26.0071</x:v>
      </x:c>
      <x:c r="F5" s="458" t="str">
        <x:v>Internal/library file; page captures in evidence package</x:v>
      </x:c>
      <x:c r="G5" s="458" t="str">
        <x:v>Collection-authored; does not independently prove rarity or exact historical use</x:v>
      </x:c>
      <x:c r="H5" s="458" t="str">
        <x:v>2026-07-30</x:v>
      </x:c>
    </x:row>
    <x:row r="6" ht="62" customHeight="1">
      <x:c r="A6" s="458" t="str">
        <x:v>SRC-AUTH-002</x:v>
      </x:c>
      <x:c r="B6" s="458" t="str">
        <x:v>Lititz BMX public artifact dataset</x:v>
      </x:c>
      <x:c r="C6" s="458" t="str">
        <x:v>Public HTML record and image checksum layer</x:v>
      </x:c>
      <x:c r="D6" s="458" t="str">
        <x:v>PRIMARY COLLECTION RECORD</x:v>
      </x:c>
      <x:c r="E6" s="458" t="str">
        <x:v>Artifact descriptions, image paths and checksums</x:v>
      </x:c>
      <x:c r="F6" s="458" t="str">
        <x:v>https://sitemap.lititzbmx.com/datasets/artifact-inventory/</x:v>
      </x:c>
      <x:c r="G6" s="458" t="str">
        <x:v>Collection-authored; useful for record integrity, not independent authentication</x:v>
      </x:c>
      <x:c r="H6" s="458" t="str">
        <x:v>2026-07-30</x:v>
      </x:c>
    </x:row>
    <x:row r="7" ht="62" customHeight="1">
      <x:c r="A7" s="458" t="str">
        <x:v>SRC-AUTH-003</x:v>
      </x:c>
      <x:c r="B7" s="458" t="str">
        <x:v>USA BMX — UCI Worlds Update</x:v>
      </x:c>
      <x:c r="C7" s="458" t="str">
        <x:v>Official sanctioning-body report</x:v>
      </x:c>
      <x:c r="D7" s="458" t="str">
        <x:v>OFFICIAL</x:v>
      </x:c>
      <x:c r="E7" s="458" t="str">
        <x:v>Felicia Stancil’s 2012 Junior Women’s race and time-trial titles</x:v>
      </x:c>
      <x:c r="F7" s="458" t="str">
        <x:v>https://www.usabmx.com/news-and-media/6/2012-05-27/UCI-Worlds-Update?id=586</x:v>
      </x:c>
      <x:c r="G7" s="458" t="str">
        <x:v>Official results authenticate achievements, not the surviving bicycle</x:v>
      </x:c>
      <x:c r="H7" s="458" t="str">
        <x:v>2026-07-30</x:v>
      </x:c>
    </x:row>
    <x:row r="8" ht="62" customHeight="1">
      <x:c r="A8" s="458" t="str">
        <x:v>SRC-AUTH-004</x:v>
      </x:c>
      <x:c r="B8" s="458" t="str">
        <x:v>British Cycling — 2012 UCI BMX World Championships</x:v>
      </x:c>
      <x:c r="C8" s="458" t="str">
        <x:v>Official event page</x:v>
      </x:c>
      <x:c r="D8" s="458" t="str">
        <x:v>OFFICIAL</x:v>
      </x:c>
      <x:c r="E8" s="458" t="str">
        <x:v>Birmingham event location and 24–27 May 2012 dates</x:v>
      </x:c>
      <x:c r="F8" s="458" t="str">
        <x:v>https://www.britishcycling.org.uk/events/details/71537/2012-UCI-BMX-World-Championships</x:v>
      </x:c>
      <x:c r="G8" s="458" t="str">
        <x:v>Event context only</x:v>
      </x:c>
      <x:c r="H8" s="458" t="str">
        <x:v>2026-07-30</x:v>
      </x:c>
    </x:row>
    <x:row r="9" ht="62" customHeight="1">
      <x:c r="A9" s="458" t="str">
        <x:v>SRC-AUTH-005</x:v>
      </x:c>
      <x:c r="B9" s="458" t="str">
        <x:v>Steve Emig first-person history</x:v>
      </x:c>
      <x:c r="C9" s="458" t="str">
        <x:v>First-person BMX industry account</x:v>
      </x:c>
      <x:c r="D9" s="458" t="str">
        <x:v>FIRST-PERSON</x:v>
      </x:c>
      <x:c r="E9" s="458" t="str">
        <x:v>Existence of a BMX Formula 1 Challenge format and Irvine Meadows event recollection</x:v>
      </x:c>
      <x:c r="F9" s="458" t="str">
        <x:v>https://steveemigthewhitebear.blogspot.com/2018/01/</x:v>
      </x:c>
      <x:c r="G9" s="458" t="str">
        <x:v>Does not identify the 1986 Lititz trophy</x:v>
      </x:c>
      <x:c r="H9" s="458" t="str">
        <x:v>2026-07-30</x:v>
      </x:c>
    </x:row>
    <x:row r="10" ht="62" customHeight="1">
      <x:c r="A10" s="458" t="str">
        <x:v>SRC-AUTH-006</x:v>
      </x:c>
      <x:c r="B10" s="458" t="str">
        <x:v>ELF current first-party history</x:v>
      </x:c>
      <x:c r="C10" s="458" t="str">
        <x:v>Current company heritage material</x:v>
      </x:c>
      <x:c r="D10" s="458" t="str">
        <x:v>FIRST-PARTY CONTEXT</x:v>
      </x:c>
      <x:c r="E10" s="458" t="str">
        <x:v>ELF brand chronology context</x:v>
      </x:c>
      <x:c r="F10" s="458" t="str">
        <x:v>https://www.elfbmxproducts.com/about-elf</x:v>
      </x:c>
      <x:c r="G10" s="458" t="str">
        <x:v>Does not date catalog 26.0006</x:v>
      </x:c>
      <x:c r="H10" s="458" t="str">
        <x:v>2026-07-30</x:v>
      </x:c>
    </x:row>
  </x:sheetData>
  <x:mergeCells>
    <x:mergeCell ref="A1:H1"/>
    <x:mergeCell ref="A2:H2"/>
  </x:mergeCells>
  <x:pageMargins left="0.7" right="0.7" top="0.75" bottom="0.75" header="0.3" footer="0.3"/>
</x:worksheet>
</file>

<file path=xl/worksheets/sheet60.xml><?xml version="1.0" encoding="utf-8"?>
<x:worksheet xmlns:x="http://schemas.openxmlformats.org/spreadsheetml/2006/main">
  <x:sheetFormatPr defaultRowHeight="15"/>
  <x:cols>
    <x:col min="1" max="1" width="20" hidden="0" customWidth="1"/>
    <x:col min="2" max="2" width="26" hidden="0" customWidth="1"/>
    <x:col min="4" max="4" width="26" hidden="0" customWidth="1"/>
    <x:col min="5" max="5" width="26" hidden="0" customWidth="1"/>
    <x:col min="6" max="6" width="26" hidden="0" customWidth="1"/>
    <x:col min="8" max="8" width="32" hidden="0" customWidth="1"/>
    <x:col min="9" max="9" width="58" hidden="0" customWidth="1"/>
    <x:col min="3" max="3" width="26" hidden="0" customWidth="1"/>
  </x:cols>
  <x:sheetData>
    <x:row r="1">
      <x:c r="A1" s="446" t="str">
        <x:v>BMXMuseum Public Knowledge Register v1.1 — Authentication Evidence Integration</x:v>
      </x:c>
      <x:c r="B1" s="446"/>
      <x:c r="C1" s="446"/>
      <x:c r="D1" s="446"/>
      <x:c r="E1" s="446"/>
      <x:c r="F1" s="446"/>
      <x:c r="G1" s="446"/>
      <x:c r="H1" s="446"/>
      <x:c r="I1" s="446"/>
      <x:c r="J1" s="446"/>
      <x:c r="K1" s="446"/>
      <x:c r="L1" s="446"/>
      <x:c r="M1" s="446"/>
      <x:c r="N1" s="446"/>
    </x:row>
    <x:row r="2">
      <x:c r="A2" s="451" t="str">
        <x:v>Five Lititz BMX artifact dossiers now include captured primary images, integrity hashes, claim-level grades, provisional conclusions and explicit evidence gates.</x:v>
      </x:c>
      <x:c r="B2" s="451"/>
      <x:c r="C2" s="451"/>
      <x:c r="D2" s="451"/>
      <x:c r="E2" s="451"/>
      <x:c r="F2" s="451"/>
      <x:c r="G2" s="451"/>
      <x:c r="H2" s="451"/>
      <x:c r="I2" s="451"/>
      <x:c r="J2" s="451"/>
      <x:c r="K2" s="451"/>
      <x:c r="L2" s="451"/>
      <x:c r="M2" s="451"/>
      <x:c r="N2" s="451"/>
    </x:row>
    <x:row r="4">
      <x:c r="A4" s="457" t="str">
        <x:v>Work Product</x:v>
      </x:c>
      <x:c r="B4" s="457" t="str">
        <x:v>Count</x:v>
      </x:c>
      <x:c r="D4" s="457" t="str">
        <x:v>Dossier</x:v>
      </x:c>
      <x:c r="E4" s="457" t="str">
        <x:v>Grade</x:v>
      </x:c>
      <x:c r="F4" s="457" t="str">
        <x:v>Controlling Conclusion</x:v>
      </x:c>
      <x:c r="H4" s="457" t="str">
        <x:v>Access / Rights Rule</x:v>
      </x:c>
      <x:c r="I4" s="457" t="str">
        <x:v>Determination</x:v>
      </x:c>
      <x:c r="K4" s="457" t="str">
        <x:v>Grade Family</x:v>
      </x:c>
      <x:c r="L4" s="457" t="str">
        <x:v>Claims</x:v>
      </x:c>
    </x:row>
    <x:row r="5">
      <x:c r="A5" s="458" t="str">
        <x:v>Captured evidence files</x:v>
      </x:c>
      <x:c r="B5" s="458" t="n">
        <x:f>COUNTA('Captured Evidence'!A5:A16)</x:f>
        <x:v>12</x:v>
      </x:c>
      <x:c r="D5" s="458" t="str">
        <x:v>Boss CR01</x:v>
      </x:c>
      <x:c r="E5" s="462" t="str">
        <x:v>C+</x:v>
      </x:c>
      <x:c r="F5" s="458" t="str">
        <x:v>Credible Boss Hogg attribution; first-production status remains unverified.</x:v>
      </x:c>
      <x:c r="H5" s="458" t="str">
        <x:v>Direct BMXMuseum automated access</x:v>
      </x:c>
      <x:c r="I5" s="458" t="str">
        <x:v>Not used.</x:v>
      </x:c>
      <x:c r="K5" s="464" t="str">
        <x:v>A</x:v>
      </x:c>
      <x:c r="L5" s="464" t="n">
        <x:v>3</x:v>
      </x:c>
    </x:row>
    <x:row r="6">
      <x:c r="A6" s="458" t="str">
        <x:v>Artifact dossiers</x:v>
      </x:c>
      <x:c r="B6" s="458" t="n">
        <x:f>COUNTA('Provisional Conclusions'!A5:A9)</x:f>
        <x:v>5</x:v>
      </x:c>
      <x:c r="D6" s="458" t="str">
        <x:v>Felicia Stancil 2012 Worlds GT</x:v>
      </x:c>
      <x:c r="E6" s="462" t="str">
        <x:v>B−</x:v>
      </x:c>
      <x:c r="F6" s="458" t="str">
        <x:v>Strongly attributed 2012 Worlds bicycle; exact-bike and race-day configuration are not yet closed.</x:v>
      </x:c>
      <x:c r="H6" s="458" t="str">
        <x:v>Robots and access controls</x:v>
      </x:c>
      <x:c r="I6" s="458" t="str">
        <x:v>Respected; no bypass or proxy retrieval.</x:v>
      </x:c>
      <x:c r="K6" s="464" t="str">
        <x:v>B</x:v>
      </x:c>
      <x:c r="L6" s="464" t="n">
        <x:v>8</x:v>
      </x:c>
    </x:row>
    <x:row r="7">
      <x:c r="A7" s="458" t="str">
        <x:v>Claim-level grades</x:v>
      </x:c>
      <x:c r="B7" s="458" t="n">
        <x:f>COUNTA('Claim Grades'!A5:A25)</x:f>
        <x:v>21</x:v>
      </x:c>
      <x:c r="D7" s="458" t="str">
        <x:v>The F-1 Challenge ’86 Trophy</x:v>
      </x:c>
      <x:c r="E7" s="462" t="str">
        <x:v>B−</x:v>
      </x:c>
      <x:c r="F7" s="458" t="str">
        <x:v>Authentic 1986 F-1 Challenge trophy; exact award context remains unresolved.</x:v>
      </x:c>
      <x:c r="H7" s="458" t="str">
        <x:v>Collection images</x:v>
      </x:c>
      <x:c r="I7" s="458" t="str">
        <x:v>Captured from Lititz BMX’s own authoritative inventory record.</x:v>
      </x:c>
      <x:c r="K7" s="464" t="str">
        <x:v>C</x:v>
      </x:c>
      <x:c r="L7" s="464" t="n">
        <x:v>3</x:v>
      </x:c>
    </x:row>
    <x:row r="8">
      <x:c r="A8" s="458" t="str">
        <x:v>Grade A claims</x:v>
      </x:c>
      <x:c r="B8" s="458" t="n">
        <x:v>3</x:v>
      </x:c>
      <x:c r="D8" s="458" t="str">
        <x:v>JAD Street Style Sherman and Stand</x:v>
      </x:c>
      <x:c r="E8" s="462" t="str">
        <x:v>C+</x:v>
      </x:c>
      <x:c r="F8" s="458" t="str">
        <x:v>Credible JAD Sherman artifact; builder roles and rarity claims remain unverified.</x:v>
      </x:c>
      <x:c r="H8" s="458" t="str">
        <x:v>Research derivatives</x:v>
      </x:c>
      <x:c r="I8" s="458" t="str">
        <x:v>Clearly labeled; never treated as primary evidence.</x:v>
      </x:c>
      <x:c r="K8" s="464" t="str">
        <x:v>D</x:v>
      </x:c>
      <x:c r="L8" s="464" t="n">
        <x:v>7</x:v>
      </x:c>
    </x:row>
    <x:row r="9">
      <x:c r="A9" s="458" t="str">
        <x:v>Grade B claims</x:v>
      </x:c>
      <x:c r="B9" s="458" t="n">
        <x:v>8</x:v>
      </x:c>
      <x:c r="D9" s="458" t="str">
        <x:v>ELF Catalog / Mailpiece</x:v>
      </x:c>
      <x:c r="E9" s="462" t="str">
        <x:v>C+</x:v>
      </x:c>
      <x:c r="F9" s="458" t="str">
        <x:v>Authentic ELF mail catalog or mailpiece; edition and date remain unidentified.</x:v>
      </x:c>
      <x:c r="H9" s="458" t="str">
        <x:v>Official results</x:v>
      </x:c>
      <x:c r="I9" s="458" t="str">
        <x:v>Authenticate achievements, not physical artifacts.</x:v>
      </x:c>
    </x:row>
    <x:row r="10">
      <x:c r="A10" s="458" t="str">
        <x:v>Grade C claims</x:v>
      </x:c>
      <x:c r="B10" s="458" t="n">
        <x:v>3</x:v>
      </x:c>
      <x:c r="H10" s="458" t="str">
        <x:v>Zero-result rule</x:v>
      </x:c>
      <x:c r="I10" s="458" t="str">
        <x:v>No recovered BMXMuseum ID means unresolved discovery, never absence.</x:v>
      </x:c>
    </x:row>
    <x:row r="11">
      <x:c r="A11" s="458" t="str">
        <x:v>Grade D claims</x:v>
      </x:c>
      <x:c r="B11" s="458" t="n">
        <x:v>7</x:v>
      </x:c>
      <x:c r="H11" s="458" t="str">
        <x:v>Public wording</x:v>
      </x:c>
      <x:c r="I11" s="458" t="str">
        <x:v>Controlled by the claim-level grade and safe wording field.</x:v>
      </x:c>
    </x:row>
    <x:row r="14">
      <x:c r="A14" s="467" t="str">
        <x:v>Critical next evidence gate</x:v>
      </x:c>
      <x:c r="B14" s="467"/>
      <x:c r="C14" s="467"/>
      <x:c r="D14" s="467"/>
      <x:c r="E14" s="467"/>
      <x:c r="F14" s="467"/>
    </x:row>
    <x:row r="15">
      <x:c r="A15" s="463" t="str">
        <x:v>Boss</x:v>
      </x:c>
      <x:c r="B15" s="458" t="str">
        <x:v>Serial macro + restoration file + comparative Livermore serials</x:v>
      </x:c>
      <x:c r="C15" s="458"/>
      <x:c r="D15" s="458"/>
      <x:c r="E15" s="458"/>
      <x:c r="F15" s="458"/>
    </x:row>
    <x:row r="16">
      <x:c r="A16" s="463" t="str">
        <x:v>Felicia</x:v>
      </x:c>
      <x:c r="B16" s="458" t="str">
        <x:v>Frame serial + plate reverse + transfer record + 2012 race-day comparison</x:v>
      </x:c>
      <x:c r="C16" s="458"/>
      <x:c r="D16" s="458"/>
      <x:c r="E16" s="458"/>
      <x:c r="F16" s="458"/>
    </x:row>
    <x:row r="17">
      <x:c r="A17" s="463" t="str">
        <x:v>F-1</x:v>
      </x:c>
      <x:c r="B17" s="458" t="str">
        <x:v>New plaque macro + period event record matching exact wording</x:v>
      </x:c>
      <x:c r="C17" s="458"/>
      <x:c r="D17" s="458"/>
      <x:c r="E17" s="458"/>
      <x:c r="F17" s="458"/>
    </x:row>
    <x:row r="18">
      <x:c r="A18" s="463" t="str">
        <x:v>JAD</x:v>
      </x:c>
      <x:c r="B18" s="458" t="str">
        <x:v>Builder-role statement + production/survivor register + marking package</x:v>
      </x:c>
      <x:c r="C18" s="458"/>
      <x:c r="D18" s="458"/>
      <x:c r="E18" s="458"/>
      <x:c r="F18" s="458"/>
    </x:row>
    <x:row r="19">
      <x:c r="A19" s="463" t="str">
        <x:v>ELF</x:v>
      </x:c>
      <x:c r="B19" s="458" t="str">
        <x:v>Complete catalog capture + stamp/cancellation and imprint identification</x:v>
      </x:c>
      <x:c r="C19" s="458"/>
      <x:c r="D19" s="458"/>
      <x:c r="E19" s="458"/>
      <x:c r="F19" s="458"/>
    </x:row>
  </x:sheetData>
  <x:mergeCells>
    <x:mergeCell ref="A1:N1"/>
    <x:mergeCell ref="A2:N2"/>
    <x:mergeCell ref="A14:F14"/>
    <x:mergeCell ref="B15:F15"/>
    <x:mergeCell ref="B16:F16"/>
    <x:mergeCell ref="B17:F17"/>
    <x:mergeCell ref="B18:F18"/>
    <x:mergeCell ref="B19:F19"/>
  </x:mergeCells>
  <x:pageMargins left="0.7" right="0.7" top="0.75" bottom="0.75" header="0.3" footer="0.3"/>
  <x:drawing xmlns:r="http://schemas.openxmlformats.org/officeDocument/2006/relationships" r:id="R90a9ac2b02e74675"/>
</x:worksheet>
</file>

<file path=xl/worksheets/sheet61.xml><?xml version="1.0" encoding="utf-8"?>
<x:worksheet xmlns:x="http://schemas.openxmlformats.org/spreadsheetml/2006/main">
  <x:sheetFormatPr defaultRowHeight="15"/>
  <x:cols>
    <x:col min="1" max="1" width="15" hidden="0" customWidth="1"/>
    <x:col min="2" max="2" width="13" hidden="0" customWidth="1"/>
    <x:col min="3" max="3" width="30" hidden="0" customWidth="1"/>
    <x:col min="4" max="4" width="19" hidden="0" customWidth="1"/>
    <x:col min="5" max="5" width="34" hidden="0" customWidth="1"/>
    <x:col min="6" max="6" width="48" hidden="0" customWidth="1"/>
    <x:col min="7" max="7" width="10" hidden="0" customWidth="1"/>
    <x:col min="8" max="8" width="16" hidden="0" customWidth="1"/>
    <x:col min="9" max="9" width="18" hidden="0" customWidth="1"/>
    <x:col min="10" max="10" width="18" hidden="0" customWidth="1"/>
    <x:col min="11" max="11" width="35" hidden="0" customWidth="1"/>
    <x:col min="12" max="12" width="28" hidden="0" customWidth="1"/>
    <x:col min="13" max="13" width="34" hidden="0" customWidth="1"/>
    <x:col min="14" max="14" width="38" hidden="0" customWidth="1"/>
  </x:cols>
  <x:sheetData>
    <x:row r="1" ht="30" customHeight="1">
      <x:c r="A1" s="485" t="str">
        <x:v>Physical Evidence Roadmap — Hands-On Work Parked Without Blocking Research</x:v>
      </x:c>
      <x:c r="B1" s="485"/>
      <x:c r="C1" s="485"/>
      <x:c r="D1" s="485"/>
      <x:c r="E1" s="485"/>
      <x:c r="F1" s="485"/>
      <x:c r="G1" s="485"/>
      <x:c r="H1" s="485"/>
      <x:c r="I1" s="485"/>
      <x:c r="J1" s="485"/>
      <x:c r="K1" s="485"/>
      <x:c r="L1" s="485"/>
      <x:c r="M1" s="485"/>
      <x:c r="N1" s="485"/>
    </x:row>
    <x:row r="2" ht="30" customHeight="1">
      <x:c r="A2" s="490" t="str">
        <x:v>Every serial, reverse side, plaque, tag, dimension, document and comparison task is scheduled here. Online research continues independently; physical work changes grades only when the evidence is actually captured.</x:v>
      </x:c>
      <x:c r="B2" s="490"/>
      <x:c r="C2" s="490"/>
      <x:c r="D2" s="490"/>
      <x:c r="E2" s="490"/>
      <x:c r="F2" s="490"/>
      <x:c r="G2" s="490"/>
      <x:c r="H2" s="490"/>
      <x:c r="I2" s="490"/>
      <x:c r="J2" s="490"/>
      <x:c r="K2" s="490"/>
      <x:c r="L2" s="490"/>
      <x:c r="M2" s="490"/>
      <x:c r="N2" s="490"/>
    </x:row>
    <x:row r="4">
      <x:c r="A4" s="495" t="str">
        <x:v>Task ID</x:v>
      </x:c>
      <x:c r="B4" s="495" t="str">
        <x:v>Artifact ID</x:v>
      </x:c>
      <x:c r="C4" s="495" t="str">
        <x:v>Artifact / Cluster</x:v>
      </x:c>
      <x:c r="D4" s="495" t="str">
        <x:v>Workstream</x:v>
      </x:c>
      <x:c r="E4" s="495" t="str">
        <x:v>Physical Action</x:v>
      </x:c>
      <x:c r="F4" s="495" t="str">
        <x:v>Capture / Documentation Standard</x:v>
      </x:c>
      <x:c r="G4" s="495" t="str">
        <x:v>Priority</x:v>
      </x:c>
      <x:c r="H4" s="495" t="str">
        <x:v>Status</x:v>
      </x:c>
      <x:c r="I4" s="495" t="str">
        <x:v>Owner</x:v>
      </x:c>
      <x:c r="J4" s="495" t="str">
        <x:v>Estimated Hands-On Time</x:v>
      </x:c>
      <x:c r="K4" s="495" t="str">
        <x:v>Grade / Research Impact</x:v>
      </x:c>
      <x:c r="L4" s="495" t="str">
        <x:v>Dependency</x:v>
      </x:c>
      <x:c r="M4" s="495" t="str">
        <x:v>File Naming / Output</x:v>
      </x:c>
      <x:c r="N4" s="495" t="str">
        <x:v>Notes</x:v>
      </x:c>
    </x:row>
    <x:row r="5" ht="68" customHeight="1">
      <x:c r="A5" s="26" t="str">
        <x:v>PHYS-0001</x:v>
      </x:c>
      <x:c r="B5" s="26" t="str"/>
      <x:c r="C5" s="26" t="str">
        <x:v>All physical artifacts</x:v>
      </x:c>
      <x:c r="D5" s="26" t="str">
        <x:v>Capture setup</x:v>
      </x:c>
      <x:c r="E5" s="26" t="str">
        <x:v>Establish repeatable photo station</x:v>
      </x:c>
      <x:c r="F5" s="26" t="str">
        <x:v>Neutral nonreflective background; two diffuse lights at roughly 45°; camera square to object; no filters or portrait mode.</x:v>
      </x:c>
      <x:c r="G5" s="26" t="str">
        <x:v>P0</x:v>
      </x:c>
      <x:c r="H5" s="26" t="str">
        <x:v>Ready</x:v>
      </x:c>
      <x:c r="I5" s="26" t="str">
        <x:v>Kyle / Lititz BMX</x:v>
      </x:c>
      <x:c r="J5" s="26" t="str">
        <x:v>30–45 min</x:v>
      </x:c>
      <x:c r="K5" s="26" t="str">
        <x:v>Improves reliability across every dossier</x:v>
      </x:c>
      <x:c r="L5" s="26" t="str">
        <x:v>Space and lighting</x:v>
      </x:c>
      <x:c r="M5" s="26" t="str">
        <x:v>YYYYMMDD_capture_setup_overview.jpg</x:v>
      </x:c>
      <x:c r="N5" s="26" t="str">
        <x:v>Photograph the setup once for the evidence-method record.</x:v>
      </x:c>
    </x:row>
    <x:row r="6" ht="68" customHeight="1">
      <x:c r="A6" s="26" t="str">
        <x:v>PHYS-0002</x:v>
      </x:c>
      <x:c r="B6" s="26" t="str"/>
      <x:c r="C6" s="26" t="str">
        <x:v>All physical artifacts</x:v>
      </x:c>
      <x:c r="D6" s="26" t="str">
        <x:v>Capture setup</x:v>
      </x:c>
      <x:c r="E6" s="26" t="str">
        <x:v>Add scale, color and identification card</x:v>
      </x:c>
      <x:c r="F6" s="26" t="str">
        <x:v>Include metric ruler or scale, neutral gray/color reference, artifact ID card and capture date in at least one master image per object.</x:v>
      </x:c>
      <x:c r="G6" s="26" t="str">
        <x:v>P0</x:v>
      </x:c>
      <x:c r="H6" s="26" t="str">
        <x:v>Ready</x:v>
      </x:c>
      <x:c r="I6" s="26" t="str">
        <x:v>Kyle / Lititz BMX</x:v>
      </x:c>
      <x:c r="J6" s="26" t="str">
        <x:v>10 min setup</x:v>
      </x:c>
      <x:c r="K6" s="26" t="str">
        <x:v>Supports dimensions, color comparison and chain of custody</x:v>
      </x:c>
      <x:c r="L6" s="26" t="str">
        <x:v>PHYS-0001</x:v>
      </x:c>
      <x:c r="M6" s="26" t="str">
        <x:v>&lt;artifactID&gt;_master_with_scale_&lt;view&gt;.jpg</x:v>
      </x:c>
      <x:c r="N6" s="26" t="str">
        <x:v>Do not cover markings or meaningful surfaces.</x:v>
      </x:c>
    </x:row>
    <x:row r="7" ht="68" customHeight="1">
      <x:c r="A7" s="26" t="str">
        <x:v>PHYS-0003</x:v>
      </x:c>
      <x:c r="B7" s="26" t="str"/>
      <x:c r="C7" s="26" t="str">
        <x:v>All physical artifacts</x:v>
      </x:c>
      <x:c r="D7" s="26" t="str">
        <x:v>Metadata</x:v>
      </x:c>
      <x:c r="E7" s="26" t="str">
        <x:v>Record capture metadata</x:v>
      </x:c>
      <x:c r="F7" s="26" t="str">
        <x:v>Record operator, device, native resolution, date/time, location, lighting notes and whether the object was moved, cleaned or disassembled.</x:v>
      </x:c>
      <x:c r="G7" s="26" t="str">
        <x:v>P0</x:v>
      </x:c>
      <x:c r="H7" s="26" t="str">
        <x:v>Ready</x:v>
      </x:c>
      <x:c r="I7" s="26" t="str">
        <x:v>Kyle / Lititz BMX</x:v>
      </x:c>
      <x:c r="J7" s="26" t="str">
        <x:v>2–3 min/object</x:v>
      </x:c>
      <x:c r="K7" s="26" t="str">
        <x:v>Supports reproducibility and evidentiary integrity</x:v>
      </x:c>
      <x:c r="L7" s="26" t="str">
        <x:v>Photo session</x:v>
      </x:c>
      <x:c r="M7" s="26" t="str">
        <x:v>&lt;artifactID&gt;_capture_metadata.txt</x:v>
      </x:c>
      <x:c r="N7" s="26" t="str">
        <x:v>A simple text file is sufficient.</x:v>
      </x:c>
    </x:row>
    <x:row r="8" ht="68" customHeight="1">
      <x:c r="A8" s="26" t="str">
        <x:v>PHYS-0004</x:v>
      </x:c>
      <x:c r="B8" s="26" t="str"/>
      <x:c r="C8" s="26" t="str">
        <x:v>All physical artifacts</x:v>
      </x:c>
      <x:c r="D8" s="26" t="str">
        <x:v>Preservation</x:v>
      </x:c>
      <x:c r="E8" s="26" t="str">
        <x:v>Preserve untouched master files</x:v>
      </x:c>
      <x:c r="F8" s="26" t="str">
        <x:v>Keep original camera files unchanged; create crops/enhancements only as labeled derivatives; retain EXIF when available.</x:v>
      </x:c>
      <x:c r="G8" s="26" t="str">
        <x:v>P0</x:v>
      </x:c>
      <x:c r="H8" s="26" t="str">
        <x:v>Ready</x:v>
      </x:c>
      <x:c r="I8" s="26" t="str">
        <x:v>Kyle / Lititz BMX</x:v>
      </x:c>
      <x:c r="J8" s="26" t="str">
        <x:v>5 min/session</x:v>
      </x:c>
      <x:c r="K8" s="26" t="str">
        <x:v>Prevents derivatives from replacing primary evidence</x:v>
      </x:c>
      <x:c r="L8" s="26" t="str">
        <x:v>Camera download</x:v>
      </x:c>
      <x:c r="M8" s="26" t="str">
        <x:v>masters/&lt;artifactID&gt;/ ; derivatives/&lt;artifactID&gt;/</x:v>
      </x:c>
      <x:c r="N8" s="26" t="str">
        <x:v>Never overwrite the master.</x:v>
      </x:c>
    </x:row>
    <x:row r="9" ht="68" customHeight="1">
      <x:c r="A9" s="26" t="str">
        <x:v>PHYS-0005</x:v>
      </x:c>
      <x:c r="B9" s="26" t="str"/>
      <x:c r="C9" s="26" t="str">
        <x:v>All physical artifacts</x:v>
      </x:c>
      <x:c r="D9" s="26" t="str">
        <x:v>Integrity</x:v>
      </x:c>
      <x:c r="E9" s="26" t="str">
        <x:v>Generate SHA-256 checksums and duplicate backup</x:v>
      </x:c>
      <x:c r="F9" s="26" t="str">
        <x:v>Hash all masters and documents; store one local working copy and one separate preservation copy.</x:v>
      </x:c>
      <x:c r="G9" s="26" t="str">
        <x:v>P0</x:v>
      </x:c>
      <x:c r="H9" s="26" t="str">
        <x:v>Ready</x:v>
      </x:c>
      <x:c r="I9" s="26" t="str">
        <x:v>Kyle / Lititz BMX</x:v>
      </x:c>
      <x:c r="J9" s="26" t="str">
        <x:v>10–20 min/session</x:v>
      </x:c>
      <x:c r="K9" s="26" t="str">
        <x:v>Closes evidence-integrity requirements</x:v>
      </x:c>
      <x:c r="L9" s="26" t="str">
        <x:v>PHYS-0004</x:v>
      </x:c>
      <x:c r="M9" s="26" t="str">
        <x:v>EVIDENCE-MANIFEST.csv; SHA256SUMS.txt</x:v>
      </x:c>
      <x:c r="N9" s="26" t="str">
        <x:v>The current v1.1 package provides the model.</x:v>
      </x:c>
    </x:row>
    <x:row r="10" ht="68" customHeight="1">
      <x:c r="A10" s="26" t="str">
        <x:v>PHYS-0006</x:v>
      </x:c>
      <x:c r="B10" s="26" t="str"/>
      <x:c r="C10" s="26" t="str">
        <x:v>All physical artifacts</x:v>
      </x:c>
      <x:c r="D10" s="26" t="str">
        <x:v>Handling</x:v>
      </x:c>
      <x:c r="E10" s="26" t="str">
        <x:v>Follow minimal-intervention handling rule</x:v>
      </x:c>
      <x:c r="F10" s="26" t="str">
        <x:v>Do not polish, repaint, remove decals, disassemble, scrape, or expose hidden surfaces unless the action is safe, necessary and separately documented.</x:v>
      </x:c>
      <x:c r="G10" s="26" t="str">
        <x:v>P0</x:v>
      </x:c>
      <x:c r="H10" s="26" t="str">
        <x:v>Locked rule</x:v>
      </x:c>
      <x:c r="I10" s="26" t="str">
        <x:v>Kyle / Lititz BMX</x:v>
      </x:c>
      <x:c r="J10" s="26" t="str">
        <x:v>Ongoing</x:v>
      </x:c>
      <x:c r="K10" s="26" t="str">
        <x:v>Protects both object condition and historical evidence</x:v>
      </x:c>
      <x:c r="L10" s="26" t="str">
        <x:v>None</x:v>
      </x:c>
      <x:c r="M10" s="26" t="str">
        <x:v>handling_log.csv</x:v>
      </x:c>
      <x:c r="N10" s="26" t="str">
        <x:v>Photograph pre- and post-condition if any intervention occurs.</x:v>
      </x:c>
    </x:row>
    <x:row r="11" ht="68" customHeight="1">
      <x:c r="A11" s="26" t="str">
        <x:v>PHYS-BOSS-01</x:v>
      </x:c>
      <x:c r="B11" s="26" t="str">
        <x:v>26.0055</x:v>
      </x:c>
      <x:c r="C11" s="26" t="str">
        <x:v>Boss Hogg CR01</x:v>
      </x:c>
      <x:c r="D11" s="26" t="str">
        <x:v>Photography</x:v>
      </x:c>
      <x:c r="E11" s="26" t="str">
        <x:v>Complete 360° bicycle capture</x:v>
      </x:c>
      <x:c r="F11" s="26" t="str">
        <x:v>Both sides, front, rear, three-quarter views, top, underside where safely visible, and full bike with scale card.</x:v>
      </x:c>
      <x:c r="G11" s="26" t="str">
        <x:v>P1</x:v>
      </x:c>
      <x:c r="H11" s="26" t="str">
        <x:v>Roadmapped</x:v>
      </x:c>
      <x:c r="I11" s="26" t="str">
        <x:v>Kyle / Lititz BMX</x:v>
      </x:c>
      <x:c r="J11" s="26" t="str">
        <x:v>25–35 min</x:v>
      </x:c>
      <x:c r="K11" s="26" t="str">
        <x:v>Raises overall attribution and condition confidence</x:v>
      </x:c>
      <x:c r="L11" s="26" t="str">
        <x:v>Common capture setup</x:v>
      </x:c>
      <x:c r="M11" s="26" t="str">
        <x:v>26.0055_Boss_Hogg_master_&lt;view&gt;.jpg</x:v>
      </x:c>
      <x:c r="N11" s="26" t="str">
        <x:v>Existing inventory image counts only as a partial front/side record.</x:v>
      </x:c>
    </x:row>
    <x:row r="12" ht="68" customHeight="1">
      <x:c r="A12" s="26" t="str">
        <x:v>PHYS-BOSS-02</x:v>
      </x:c>
      <x:c r="B12" s="26" t="str">
        <x:v>26.0055</x:v>
      </x:c>
      <x:c r="C12" s="26" t="str">
        <x:v>Boss Hogg CR01</x:v>
      </x:c>
      <x:c r="D12" s="26" t="str">
        <x:v>Markings</x:v>
      </x:c>
      <x:c r="E12" s="26" t="str">
        <x:v>Capture serial CR01 in macro detail</x:v>
      </x:c>
      <x:c r="F12" s="26" t="str">
        <x:v>Straight-on, raking-light and contextual images showing serial location; include scale and an uncropped neighboring-frame view.</x:v>
      </x:c>
      <x:c r="G12" s="26" t="str">
        <x:v>P0</x:v>
      </x:c>
      <x:c r="H12" s="26" t="str">
        <x:v>Blocking</x:v>
      </x:c>
      <x:c r="I12" s="26" t="str">
        <x:v>Kyle / Lititz BMX</x:v>
      </x:c>
      <x:c r="J12" s="26" t="str">
        <x:v>10–15 min</x:v>
      </x:c>
      <x:c r="K12" s="26" t="str">
        <x:v>Required to evaluate CR01 and production-position claims</x:v>
      </x:c>
      <x:c r="L12" s="26" t="str">
        <x:v>Safe access to serial</x:v>
      </x:c>
      <x:c r="M12" s="26" t="str">
        <x:v>26.0055_Boss_CR01_serial_&lt;view&gt;.jpg</x:v>
      </x:c>
      <x:c r="N12" s="26" t="str">
        <x:v>Do not enhance the master; derivatives may adjust contrast and must be labeled.</x:v>
      </x:c>
    </x:row>
    <x:row r="13" ht="68" customHeight="1">
      <x:c r="A13" s="26" t="str">
        <x:v>PHYS-BOSS-03</x:v>
      </x:c>
      <x:c r="B13" s="26" t="str">
        <x:v>26.0055</x:v>
      </x:c>
      <x:c r="C13" s="26" t="str">
        <x:v>Boss Hogg CR01</x:v>
      </x:c>
      <x:c r="D13" s="26" t="str">
        <x:v>Construction</x:v>
      </x:c>
      <x:c r="E13" s="26" t="str">
        <x:v>Document frame/fork markings, welds and manufacturing details</x:v>
      </x:c>
      <x:c r="F13" s="26" t="str">
        <x:v>Head tube, bottom bracket, dropouts, gussets, brake mounts, seat cluster, fork crown/dropouts and all stickers or stamps.</x:v>
      </x:c>
      <x:c r="G13" s="26" t="str">
        <x:v>P1</x:v>
      </x:c>
      <x:c r="H13" s="26" t="str">
        <x:v>Roadmapped</x:v>
      </x:c>
      <x:c r="I13" s="26" t="str">
        <x:v>Kyle / Lititz BMX</x:v>
      </x:c>
      <x:c r="J13" s="26" t="str">
        <x:v>20–30 min</x:v>
      </x:c>
      <x:c r="K13" s="26" t="str">
        <x:v>Enables comparison with other Livermore examples</x:v>
      </x:c>
      <x:c r="L13" s="26" t="str">
        <x:v>PHYS-BOSS-01</x:v>
      </x:c>
      <x:c r="M13" s="26" t="str">
        <x:v>26.0055_Boss_detail_&lt;location&gt;.jpg</x:v>
      </x:c>
      <x:c r="N13" s="26" t="str">
        <x:v>Record repaint/restoration effects separately.</x:v>
      </x:c>
    </x:row>
    <x:row r="14" ht="68" customHeight="1">
      <x:c r="A14" s="26" t="str">
        <x:v>PHYS-BOSS-04</x:v>
      </x:c>
      <x:c r="B14" s="26" t="str">
        <x:v>26.0055</x:v>
      </x:c>
      <x:c r="C14" s="26" t="str">
        <x:v>Boss Hogg CR01</x:v>
      </x:c>
      <x:c r="D14" s="26" t="str">
        <x:v>Measurement</x:v>
      </x:c>
      <x:c r="E14" s="26" t="str">
        <x:v>Record geometry and tube dimensions</x:v>
      </x:c>
      <x:c r="F14" s="26" t="str">
        <x:v>Top tube, chainstay, wheelbase, head tube, seat tube, dropout spacing and wheel size; photograph each measurement.</x:v>
      </x:c>
      <x:c r="G14" s="26" t="str">
        <x:v>P2</x:v>
      </x:c>
      <x:c r="H14" s="26" t="str">
        <x:v>Roadmapped</x:v>
      </x:c>
      <x:c r="I14" s="26" t="str">
        <x:v>Kyle / Lititz BMX</x:v>
      </x:c>
      <x:c r="J14" s="26" t="str">
        <x:v>30–45 min</x:v>
      </x:c>
      <x:c r="K14" s="26" t="str">
        <x:v>Supports model and production comparison</x:v>
      </x:c>
      <x:c r="L14" s="26" t="str">
        <x:v>Bike stand and metric tape</x:v>
      </x:c>
      <x:c r="M14" s="26" t="str">
        <x:v>26.0055_Boss_measurements.csv</x:v>
      </x:c>
      <x:c r="N14" s="26" t="str">
        <x:v>Avoid claiming factory geometry from one surviving build.</x:v>
      </x:c>
    </x:row>
    <x:row r="15" ht="68" customHeight="1">
      <x:c r="A15" s="26" t="str">
        <x:v>PHYS-BOSS-05</x:v>
      </x:c>
      <x:c r="B15" s="26" t="str">
        <x:v>26.0055</x:v>
      </x:c>
      <x:c r="C15" s="26" t="str">
        <x:v>Boss Hogg CR01</x:v>
      </x:c>
      <x:c r="D15" s="26" t="str">
        <x:v>Documentation</x:v>
      </x:c>
      <x:c r="E15" s="26" t="str">
        <x:v>Recover C4 Labs restoration file</x:v>
      </x:c>
      <x:c r="F15" s="26" t="str">
        <x:v>Invoice, correspondence, before/after photographs, coating/color description, serial images and scope of work.</x:v>
      </x:c>
      <x:c r="G15" s="26" t="str">
        <x:v>P0</x:v>
      </x:c>
      <x:c r="H15" s="26" t="str">
        <x:v>Blocking</x:v>
      </x:c>
      <x:c r="I15" s="26" t="str">
        <x:v>Kyle / Lititz BMX</x:v>
      </x:c>
      <x:c r="J15" s="26" t="str">
        <x:v>30–90 min search</x:v>
      </x:c>
      <x:c r="K15" s="26" t="str">
        <x:v>Separates original evidence from restored surfaces</x:v>
      </x:c>
      <x:c r="L15" s="26" t="str">
        <x:v>Access to email/files</x:v>
      </x:c>
      <x:c r="M15" s="26" t="str">
        <x:v>26.0055_C4Labs_restoration_record.pdf</x:v>
      </x:c>
      <x:c r="N15" s="26" t="str">
        <x:v>Preserve original emails or exported PDF with headers.</x:v>
      </x:c>
    </x:row>
    <x:row r="16" ht="68" customHeight="1">
      <x:c r="A16" s="26" t="str">
        <x:v>PHYS-BOSS-06</x:v>
      </x:c>
      <x:c r="B16" s="26" t="str">
        <x:v>26.0055</x:v>
      </x:c>
      <x:c r="C16" s="26" t="str">
        <x:v>Boss Hogg CR01</x:v>
      </x:c>
      <x:c r="D16" s="26" t="str">
        <x:v>Provenance</x:v>
      </x:c>
      <x:c r="E16" s="26" t="str">
        <x:v>Build chain-of-custody packet</x:v>
      </x:c>
      <x:c r="F16" s="26" t="str">
        <x:v>Previous owners, dates, sale/listing records, shipping documents, restoration transfer and acquisition narrative.</x:v>
      </x:c>
      <x:c r="G16" s="26" t="str">
        <x:v>P0</x:v>
      </x:c>
      <x:c r="H16" s="26" t="str">
        <x:v>Blocking</x:v>
      </x:c>
      <x:c r="I16" s="26" t="str">
        <x:v>Kyle / Lititz BMX</x:v>
      </x:c>
      <x:c r="J16" s="26" t="str">
        <x:v>1–2 hr</x:v>
      </x:c>
      <x:c r="K16" s="26" t="str">
        <x:v>Needed for first-Livermore attribution</x:v>
      </x:c>
      <x:c r="L16" s="26" t="str">
        <x:v>Personal records and prior owner contacts</x:v>
      </x:c>
      <x:c r="M16" s="26" t="str">
        <x:v>26.0055_Boss_chain_of_custody.pdf</x:v>
      </x:c>
      <x:c r="N16" s="26" t="str">
        <x:v>Clearly separate first-person recollection from documentary evidence.</x:v>
      </x:c>
    </x:row>
    <x:row r="17" ht="68" customHeight="1">
      <x:c r="A17" s="26" t="str">
        <x:v>PHYS-BOSS-07</x:v>
      </x:c>
      <x:c r="B17" s="26" t="str">
        <x:v>26.0055</x:v>
      </x:c>
      <x:c r="C17" s="26" t="str">
        <x:v>Boss Hogg CR01</x:v>
      </x:c>
      <x:c r="D17" s="26" t="str">
        <x:v>Component audit</x:v>
      </x:c>
      <x:c r="E17" s="26" t="str">
        <x:v>Inventory current components and restoration-era additions</x:v>
      </x:c>
      <x:c r="F17" s="26" t="str">
        <x:v>Photograph and list frame, fork, bars, stem, cranks, wheels, brakes, seat, post, pads and decals; mark known non-original additions.</x:v>
      </x:c>
      <x:c r="G17" s="26" t="str">
        <x:v>P2</x:v>
      </x:c>
      <x:c r="H17" s="26" t="str">
        <x:v>Roadmapped</x:v>
      </x:c>
      <x:c r="I17" s="26" t="str">
        <x:v>Kyle / Lititz BMX</x:v>
      </x:c>
      <x:c r="J17" s="26" t="str">
        <x:v>30–45 min</x:v>
      </x:c>
      <x:c r="K17" s="26" t="str">
        <x:v>Prevents complete-build appearance from being mistaken for factory specification</x:v>
      </x:c>
      <x:c r="L17" s="26" t="str">
        <x:v>PHYS-BOSS-01</x:v>
      </x:c>
      <x:c r="M17" s="26" t="str">
        <x:v>26.0055_Boss_component_inventory.csv</x:v>
      </x:c>
      <x:c r="N17" s="26" t="str">
        <x:v>The frame claim and current build claim are separate.</x:v>
      </x:c>
    </x:row>
    <x:row r="18" ht="68" customHeight="1">
      <x:c r="A18" s="26" t="str">
        <x:v>PHYS-FEL-01</x:v>
      </x:c>
      <x:c r="B18" s="26" t="str">
        <x:v>26.0054</x:v>
      </x:c>
      <x:c r="C18" s="26" t="str">
        <x:v>Felicia Stancil 2012 Worlds GT</x:v>
      </x:c>
      <x:c r="D18" s="26" t="str">
        <x:v>Photography</x:v>
      </x:c>
      <x:c r="E18" s="26" t="str">
        <x:v>Complete 360° bicycle capture</x:v>
      </x:c>
      <x:c r="F18" s="26" t="str">
        <x:v>Both sides, front, rear, top, underside and three-quarter views; plate mounted and bike alone where safe.</x:v>
      </x:c>
      <x:c r="G18" s="26" t="str">
        <x:v>P1</x:v>
      </x:c>
      <x:c r="H18" s="26" t="str">
        <x:v>Roadmapped</x:v>
      </x:c>
      <x:c r="I18" s="26" t="str">
        <x:v>Kyle / Lititz BMX</x:v>
      </x:c>
      <x:c r="J18" s="26" t="str">
        <x:v>25–35 min</x:v>
      </x:c>
      <x:c r="K18" s="26" t="str">
        <x:v>Documents condition and configuration</x:v>
      </x:c>
      <x:c r="L18" s="26" t="str">
        <x:v>Common capture setup</x:v>
      </x:c>
      <x:c r="M18" s="26" t="str">
        <x:v>26.0054_Felicia_GT_master_&lt;view&gt;.jpg</x:v>
      </x:c>
      <x:c r="N18" s="26" t="str">
        <x:v>Existing image is a partial view.</x:v>
      </x:c>
    </x:row>
    <x:row r="19" ht="68" customHeight="1">
      <x:c r="A19" s="26" t="str">
        <x:v>PHYS-FEL-02</x:v>
      </x:c>
      <x:c r="B19" s="26" t="str">
        <x:v>26.0054</x:v>
      </x:c>
      <x:c r="C19" s="26" t="str">
        <x:v>Felicia Stancil 2012 Worlds GT</x:v>
      </x:c>
      <x:c r="D19" s="26" t="str">
        <x:v>Markings</x:v>
      </x:c>
      <x:c r="E19" s="26" t="str">
        <x:v>Capture frame and fork serials/stamps</x:v>
      </x:c>
      <x:c r="F19" s="26" t="str">
        <x:v>Macro, raking-light and contextual photographs of every number, stamp, sticker and maker mark.</x:v>
      </x:c>
      <x:c r="G19" s="26" t="str">
        <x:v>P0</x:v>
      </x:c>
      <x:c r="H19" s="26" t="str">
        <x:v>Blocking</x:v>
      </x:c>
      <x:c r="I19" s="26" t="str">
        <x:v>Kyle / Lititz BMX</x:v>
      </x:c>
      <x:c r="J19" s="26" t="str">
        <x:v>15–25 min</x:v>
      </x:c>
      <x:c r="K19" s="26" t="str">
        <x:v>Central to exact-bike authentication</x:v>
      </x:c>
      <x:c r="L19" s="26" t="str">
        <x:v>Safe access</x:v>
      </x:c>
      <x:c r="M19" s="26" t="str">
        <x:v>26.0054_Felicia_serial_&lt;location&gt;.jpg</x:v>
      </x:c>
      <x:c r="N19" s="26" t="str">
        <x:v>Record any coating over serials without disturbing it.</x:v>
      </x:c>
    </x:row>
    <x:row r="20" ht="68" customHeight="1">
      <x:c r="A20" s="26" t="str">
        <x:v>PHYS-FEL-03</x:v>
      </x:c>
      <x:c r="B20" s="26" t="str">
        <x:v>26.0054</x:v>
      </x:c>
      <x:c r="C20" s="26" t="str">
        <x:v>Felicia Stancil 2012 Worlds GT</x:v>
      </x:c>
      <x:c r="D20" s="26" t="str">
        <x:v>Plate evidence</x:v>
      </x:c>
      <x:c r="E20" s="26" t="str">
        <x:v>Capture W1 plate front, reverse and mounting evidence</x:v>
      </x:c>
      <x:c r="F20" s="26" t="str">
        <x:v>Straight-on front/reverse, edge profile, maker marks, decals, fasteners, wear patterns and mounting points.</x:v>
      </x:c>
      <x:c r="G20" s="26" t="str">
        <x:v>P0</x:v>
      </x:c>
      <x:c r="H20" s="26" t="str">
        <x:v>Blocking</x:v>
      </x:c>
      <x:c r="I20" s="26" t="str">
        <x:v>Kyle / Lititz BMX</x:v>
      </x:c>
      <x:c r="J20" s="26" t="str">
        <x:v>15–20 min</x:v>
      </x:c>
      <x:c r="K20" s="26" t="str">
        <x:v>Tests plate identity and continuity</x:v>
      </x:c>
      <x:c r="L20" s="26" t="str">
        <x:v>Safe plate removal only if non-destructive</x:v>
      </x:c>
      <x:c r="M20" s="26" t="str">
        <x:v>26.0054_W1_plate_&lt;view&gt;.jpg</x:v>
      </x:c>
      <x:c r="N20" s="26" t="str">
        <x:v>Do not remove if doing so risks damage; document in place instead.</x:v>
      </x:c>
    </x:row>
    <x:row r="21" ht="68" customHeight="1">
      <x:c r="A21" s="26" t="str">
        <x:v>PHYS-FEL-04</x:v>
      </x:c>
      <x:c r="B21" s="26" t="str">
        <x:v>26.0054</x:v>
      </x:c>
      <x:c r="C21" s="26" t="str">
        <x:v>Felicia Stancil 2012 Worlds GT</x:v>
      </x:c>
      <x:c r="D21" s="26" t="str">
        <x:v>Component audit</x:v>
      </x:c>
      <x:c r="E21" s="26" t="str">
        <x:v>Create detailed component and date-code inventory</x:v>
      </x:c>
      <x:c r="F21" s="26" t="str">
        <x:v>Frame/fork, cockpit, drivetrain, wheels, tires, brakes, pedals, seat/post and all date codes; photograph each.</x:v>
      </x:c>
      <x:c r="G21" s="26" t="str">
        <x:v>P1</x:v>
      </x:c>
      <x:c r="H21" s="26" t="str">
        <x:v>Roadmapped</x:v>
      </x:c>
      <x:c r="I21" s="26" t="str">
        <x:v>Kyle / Lititz BMX</x:v>
      </x:c>
      <x:c r="J21" s="26" t="str">
        <x:v>45–75 min</x:v>
      </x:c>
      <x:c r="K21" s="26" t="str">
        <x:v>Supports race-day configuration comparison</x:v>
      </x:c>
      <x:c r="L21" s="26" t="str">
        <x:v>PHYS-FEL-01</x:v>
      </x:c>
      <x:c r="M21" s="26" t="str">
        <x:v>26.0054_Felicia_component_inventory.csv</x:v>
      </x:c>
      <x:c r="N21" s="26" t="str">
        <x:v>Mark present configuration versus claimed Birmingham configuration.</x:v>
      </x:c>
    </x:row>
    <x:row r="22" ht="68" customHeight="1">
      <x:c r="A22" s="26" t="str">
        <x:v>PHYS-FEL-05</x:v>
      </x:c>
      <x:c r="B22" s="26" t="str">
        <x:v>26.0054</x:v>
      </x:c>
      <x:c r="C22" s="26" t="str">
        <x:v>Felicia Stancil 2012 Worlds GT</x:v>
      </x:c>
      <x:c r="D22" s="26" t="str">
        <x:v>Provenance</x:v>
      </x:c>
      <x:c r="E22" s="26" t="str">
        <x:v>Recover transfer/acquisition documentation</x:v>
      </x:c>
      <x:c r="F22" s="26" t="str">
        <x:v>Seller/source identity, transfer date, correspondence, certificate, payment/shipping records and any rider/team statements.</x:v>
      </x:c>
      <x:c r="G22" s="26" t="str">
        <x:v>P0</x:v>
      </x:c>
      <x:c r="H22" s="26" t="str">
        <x:v>Blocking</x:v>
      </x:c>
      <x:c r="I22" s="26" t="str">
        <x:v>Kyle / Lititz BMX</x:v>
      </x:c>
      <x:c r="J22" s="26" t="str">
        <x:v>1–2 hr</x:v>
      </x:c>
      <x:c r="K22" s="26" t="str">
        <x:v>Moves exact-bike attribution toward stronger grade</x:v>
      </x:c>
      <x:c r="L22" s="26" t="str">
        <x:v>Personal records</x:v>
      </x:c>
      <x:c r="M22" s="26" t="str">
        <x:v>26.0054_Felicia_chain_of_custody.pdf</x:v>
      </x:c>
      <x:c r="N22" s="26" t="str">
        <x:v>Redact private contact details from public derivatives.</x:v>
      </x:c>
    </x:row>
    <x:row r="23" ht="68" customHeight="1">
      <x:c r="A23" s="26" t="str">
        <x:v>PHYS-FEL-06</x:v>
      </x:c>
      <x:c r="B23" s="26" t="str">
        <x:v>26.0054</x:v>
      </x:c>
      <x:c r="C23" s="26" t="str">
        <x:v>Felicia Stancil 2012 Worlds GT</x:v>
      </x:c>
      <x:c r="D23" s="26" t="str">
        <x:v>Comparison</x:v>
      </x:c>
      <x:c r="E23" s="26" t="str">
        <x:v>Build controlled race-day visual match</x:v>
      </x:c>
      <x:c r="F23" s="26" t="str">
        <x:v>Match frame markings, plate, decals, component shapes and wear against official Birmingham photos/video; log each match and mismatch.</x:v>
      </x:c>
      <x:c r="G23" s="26" t="str">
        <x:v>P0</x:v>
      </x:c>
      <x:c r="H23" s="26" t="str">
        <x:v>Blocking after capture</x:v>
      </x:c>
      <x:c r="I23" s="26" t="str">
        <x:v>Research</x:v>
      </x:c>
      <x:c r="J23" s="26" t="str">
        <x:v>2–4 hr</x:v>
      </x:c>
      <x:c r="K23" s="26" t="str">
        <x:v>Critical exact-bike/race-day conclusion</x:v>
      </x:c>
      <x:c r="L23" s="26" t="str">
        <x:v>PHYS-FEL-02 through 04</x:v>
      </x:c>
      <x:c r="M23" s="26" t="str">
        <x:v>26.0054_Felicia_raceday_comparison.xlsx</x:v>
      </x:c>
      <x:c r="N23" s="26" t="str">
        <x:v>A result record authenticates the achievement, not automatically the bicycle.</x:v>
      </x:c>
    </x:row>
    <x:row r="24" ht="68" customHeight="1">
      <x:c r="A24" s="26" t="str">
        <x:v>PHYS-FEL-07</x:v>
      </x:c>
      <x:c r="B24" s="26" t="str">
        <x:v>26.0054</x:v>
      </x:c>
      <x:c r="C24" s="26" t="str">
        <x:v>Felicia Stancil 2012 Worlds GT</x:v>
      </x:c>
      <x:c r="D24" s="26" t="str">
        <x:v>Condition</x:v>
      </x:c>
      <x:c r="E24" s="26" t="str">
        <x:v>Document post-race changes and current condition</x:v>
      </x:c>
      <x:c r="F24" s="26" t="str">
        <x:v>List replacements, repairs, refinishing, missing parts and preservation risks; photograph all damage and alterations.</x:v>
      </x:c>
      <x:c r="G24" s="26" t="str">
        <x:v>P1</x:v>
      </x:c>
      <x:c r="H24" s="26" t="str">
        <x:v>Roadmapped</x:v>
      </x:c>
      <x:c r="I24" s="26" t="str">
        <x:v>Kyle / Lititz BMX</x:v>
      </x:c>
      <x:c r="J24" s="26" t="str">
        <x:v>20–30 min</x:v>
      </x:c>
      <x:c r="K24" s="26" t="str">
        <x:v>Clarifies continuity and public wording</x:v>
      </x:c>
      <x:c r="L24" s="26" t="str">
        <x:v>Component audit</x:v>
      </x:c>
      <x:c r="M24" s="26" t="str">
        <x:v>26.0054_Felicia_condition_report.pdf</x:v>
      </x:c>
      <x:c r="N24" s="26" t="str">
        <x:v>Use 'current configuration' and 'race-day configuration' separately.</x:v>
      </x:c>
    </x:row>
    <x:row r="25" ht="68" customHeight="1">
      <x:c r="A25" s="26" t="str">
        <x:v>PHYS-F1-01</x:v>
      </x:c>
      <x:c r="B25" s="26" t="str">
        <x:v>26.0048</x:v>
      </x:c>
      <x:c r="C25" s="26" t="str">
        <x:v>The F-1 Challenge ’86 Trophy</x:v>
      </x:c>
      <x:c r="D25" s="26" t="str">
        <x:v>Photography</x:v>
      </x:c>
      <x:c r="E25" s="26" t="str">
        <x:v>Capture trophy from all sides with scale</x:v>
      </x:c>
      <x:c r="F25" s="26" t="str">
        <x:v>Front, rear, left, right, top, base and three-quarter views; neutral background and metric scale.</x:v>
      </x:c>
      <x:c r="G25" s="26" t="str">
        <x:v>P1</x:v>
      </x:c>
      <x:c r="H25" s="26" t="str">
        <x:v>Roadmapped</x:v>
      </x:c>
      <x:c r="I25" s="26" t="str">
        <x:v>Kyle / Lititz BMX</x:v>
      </x:c>
      <x:c r="J25" s="26" t="str">
        <x:v>15–20 min</x:v>
      </x:c>
      <x:c r="K25" s="26" t="str">
        <x:v>Documents object construction and condition</x:v>
      </x:c>
      <x:c r="L25" s="26" t="str">
        <x:v>Common capture setup</x:v>
      </x:c>
      <x:c r="M25" s="26" t="str">
        <x:v>26.0048_F1_trophy_master_&lt;view&gt;.jpg</x:v>
      </x:c>
      <x:c r="N25" s="26" t="str">
        <x:v>Existing image confirms only part of the front.</x:v>
      </x:c>
    </x:row>
    <x:row r="26" ht="68" customHeight="1">
      <x:c r="A26" s="26" t="str">
        <x:v>PHYS-F1-02</x:v>
      </x:c>
      <x:c r="B26" s="26" t="str">
        <x:v>26.0048</x:v>
      </x:c>
      <x:c r="C26" s="26" t="str">
        <x:v>The F-1 Challenge ’86 Trophy</x:v>
      </x:c>
      <x:c r="D26" s="26" t="str">
        <x:v>Inscription</x:v>
      </x:c>
      <x:c r="E26" s="26" t="str">
        <x:v>Create straight-on high-resolution plaque macro set</x:v>
      </x:c>
      <x:c r="F26" s="26" t="str">
        <x:v>Each plaque separately, perpendicular camera, diffuse and raking light, multiple exposures without glare.</x:v>
      </x:c>
      <x:c r="G26" s="26" t="str">
        <x:v>P0</x:v>
      </x:c>
      <x:c r="H26" s="26" t="str">
        <x:v>Blocking</x:v>
      </x:c>
      <x:c r="I26" s="26" t="str">
        <x:v>Kyle / Lititz BMX</x:v>
      </x:c>
      <x:c r="J26" s="26" t="str">
        <x:v>15–25 min</x:v>
      </x:c>
      <x:c r="K26" s="26" t="str">
        <x:v>Required to identify recipient, class and award level</x:v>
      </x:c>
      <x:c r="L26" s="26" t="str">
        <x:v>Stable support</x:v>
      </x:c>
      <x:c r="M26" s="26" t="str">
        <x:v>26.0048_F1_plaque_&lt;position&gt;_&lt;lighting&gt;.jpg</x:v>
      </x:c>
      <x:c r="N26" s="26" t="str">
        <x:v>Do not rely on OCR as the primary reading.</x:v>
      </x:c>
    </x:row>
    <x:row r="27" ht="68" customHeight="1">
      <x:c r="A27" s="26" t="str">
        <x:v>PHYS-F1-03</x:v>
      </x:c>
      <x:c r="B27" s="26" t="str">
        <x:v>26.0048</x:v>
      </x:c>
      <x:c r="C27" s="26" t="str">
        <x:v>The F-1 Challenge ’86 Trophy</x:v>
      </x:c>
      <x:c r="D27" s="26" t="str">
        <x:v>Transcription</x:v>
      </x:c>
      <x:c r="E27" s="26" t="str">
        <x:v>Transcribe every visible line exactly</x:v>
      </x:c>
      <x:c r="F27" s="26" t="str">
        <x:v>Two-pass human transcription preserving capitalization, punctuation, abbreviations and uncertain characters in brackets.</x:v>
      </x:c>
      <x:c r="G27" s="26" t="str">
        <x:v>P0</x:v>
      </x:c>
      <x:c r="H27" s="26" t="str">
        <x:v>Blocking after capture</x:v>
      </x:c>
      <x:c r="I27" s="26" t="str">
        <x:v>Research</x:v>
      </x:c>
      <x:c r="J27" s="26" t="str">
        <x:v>20–40 min</x:v>
      </x:c>
      <x:c r="K27" s="26" t="str">
        <x:v>Enables exact-phrase period search</x:v>
      </x:c>
      <x:c r="L27" s="26" t="str">
        <x:v>PHYS-F1-02</x:v>
      </x:c>
      <x:c r="M27" s="26" t="str">
        <x:v>26.0048_F1_inscription_transcription.txt</x:v>
      </x:c>
      <x:c r="N27" s="26" t="str">
        <x:v>Keep interpretation separate from transcription.</x:v>
      </x:c>
    </x:row>
    <x:row r="28" ht="68" customHeight="1">
      <x:c r="A28" s="26" t="str">
        <x:v>PHYS-F1-04</x:v>
      </x:c>
      <x:c r="B28" s="26" t="str">
        <x:v>26.0048</x:v>
      </x:c>
      <x:c r="C28" s="26" t="str">
        <x:v>The F-1 Challenge ’86 Trophy</x:v>
      </x:c>
      <x:c r="D28" s="26" t="str">
        <x:v>Maker evidence</x:v>
      </x:c>
      <x:c r="E28" s="26" t="str">
        <x:v>Document underside, labels, maker marks and construction</x:v>
      </x:c>
      <x:c r="F28" s="26" t="str">
        <x:v>Base underside, felt, fasteners, trophy manufacturer labels, component mold marks and any date codes.</x:v>
      </x:c>
      <x:c r="G28" s="26" t="str">
        <x:v>P1</x:v>
      </x:c>
      <x:c r="H28" s="26" t="str">
        <x:v>Roadmapped</x:v>
      </x:c>
      <x:c r="I28" s="26" t="str">
        <x:v>Kyle / Lititz BMX</x:v>
      </x:c>
      <x:c r="J28" s="26" t="str">
        <x:v>10–15 min</x:v>
      </x:c>
      <x:c r="K28" s="26" t="str">
        <x:v>May identify trophy supplier or regional event network</x:v>
      </x:c>
      <x:c r="L28" s="26" t="str">
        <x:v>PHYS-F1-01</x:v>
      </x:c>
      <x:c r="M28" s="26" t="str">
        <x:v>26.0048_F1_maker_marks_&lt;view&gt;.jpg</x:v>
      </x:c>
      <x:c r="N28" s="26" t="str">
        <x:v>Do not remove felt or labels.</x:v>
      </x:c>
    </x:row>
    <x:row r="29" ht="68" customHeight="1">
      <x:c r="A29" s="26" t="str">
        <x:v>PHYS-F1-05</x:v>
      </x:c>
      <x:c r="B29" s="26" t="str">
        <x:v>26.0048</x:v>
      </x:c>
      <x:c r="C29" s="26" t="str">
        <x:v>The F-1 Challenge ’86 Trophy</x:v>
      </x:c>
      <x:c r="D29" s="26" t="str">
        <x:v>Measurement</x:v>
      </x:c>
      <x:c r="E29" s="26" t="str">
        <x:v>Record dimensions and weight</x:v>
      </x:c>
      <x:c r="F29" s="26" t="str">
        <x:v>Height, base dimensions, plaque dimensions and total weight; photograph scale placement.</x:v>
      </x:c>
      <x:c r="G29" s="26" t="str">
        <x:v>P2</x:v>
      </x:c>
      <x:c r="H29" s="26" t="str">
        <x:v>Roadmapped</x:v>
      </x:c>
      <x:c r="I29" s="26" t="str">
        <x:v>Kyle / Lititz BMX</x:v>
      </x:c>
      <x:c r="J29" s="26" t="str">
        <x:v>10–15 min</x:v>
      </x:c>
      <x:c r="K29" s="26" t="str">
        <x:v>Supports comparison with event trophy sets</x:v>
      </x:c>
      <x:c r="L29" s="26" t="str">
        <x:v>PHYS-F1-01</x:v>
      </x:c>
      <x:c r="M29" s="26" t="str">
        <x:v>26.0048_F1_measurements.csv</x:v>
      </x:c>
      <x:c r="N29" s="26" t="str">
        <x:v>Measurement does not establish award level.</x:v>
      </x:c>
    </x:row>
    <x:row r="30" ht="68" customHeight="1">
      <x:c r="A30" s="26" t="str">
        <x:v>PHYS-JAD-01</x:v>
      </x:c>
      <x:c r="B30" s="26" t="str">
        <x:v>26.0071</x:v>
      </x:c>
      <x:c r="C30" s="26" t="str">
        <x:v>JAD Street Style Sherman and Stand</x:v>
      </x:c>
      <x:c r="D30" s="26" t="str">
        <x:v>Photography</x:v>
      </x:c>
      <x:c r="E30" s="26" t="str">
        <x:v>Capture bicycle and stand together and separately</x:v>
      </x:c>
      <x:c r="F30" s="26" t="str">
        <x:v>Complete bicycle views, stand alone from all sides, and contextual paired display views.</x:v>
      </x:c>
      <x:c r="G30" s="26" t="str">
        <x:v>P1</x:v>
      </x:c>
      <x:c r="H30" s="26" t="str">
        <x:v>Roadmapped</x:v>
      </x:c>
      <x:c r="I30" s="26" t="str">
        <x:v>Kyle / Lititz BMX</x:v>
      </x:c>
      <x:c r="J30" s="26" t="str">
        <x:v>30–45 min</x:v>
      </x:c>
      <x:c r="K30" s="26" t="str">
        <x:v>Separates artifact identities and current pairing</x:v>
      </x:c>
      <x:c r="L30" s="26" t="str">
        <x:v>Common capture setup</x:v>
      </x:c>
      <x:c r="M30" s="26" t="str">
        <x:v>26.0071_JAD_&lt;bike_or_stand&gt;_&lt;view&gt;.jpg</x:v>
      </x:c>
      <x:c r="N30" s="26" t="str">
        <x:v>Existing image is a partial paired view.</x:v>
      </x:c>
    </x:row>
    <x:row r="31" ht="68" customHeight="1">
      <x:c r="A31" s="26" t="str">
        <x:v>PHYS-JAD-02</x:v>
      </x:c>
      <x:c r="B31" s="26" t="str">
        <x:v>26.0071</x:v>
      </x:c>
      <x:c r="C31" s="26" t="str">
        <x:v>JAD Street Style Sherman and Stand</x:v>
      </x:c>
      <x:c r="D31" s="26" t="str">
        <x:v>Markings</x:v>
      </x:c>
      <x:c r="E31" s="26" t="str">
        <x:v>Capture frame/fork serials and all JAD/Sherman markings</x:v>
      </x:c>
      <x:c r="F31" s="26" t="str">
        <x:v>Macro plus contextual images of serials, logos, weld signatures, stamps, dropouts and distinctive construction.</x:v>
      </x:c>
      <x:c r="G31" s="26" t="str">
        <x:v>P0</x:v>
      </x:c>
      <x:c r="H31" s="26" t="str">
        <x:v>Blocking</x:v>
      </x:c>
      <x:c r="I31" s="26" t="str">
        <x:v>Kyle / Lititz BMX</x:v>
      </x:c>
      <x:c r="J31" s="26" t="str">
        <x:v>20–30 min</x:v>
      </x:c>
      <x:c r="K31" s="26" t="str">
        <x:v>Core model and survivor comparison evidence</x:v>
      </x:c>
      <x:c r="L31" s="26" t="str">
        <x:v>Safe access</x:v>
      </x:c>
      <x:c r="M31" s="26" t="str">
        <x:v>26.0071_JAD_marking_&lt;location&gt;.jpg</x:v>
      </x:c>
      <x:c r="N31" s="26" t="str">
        <x:v>Do not infer production count from serial alone.</x:v>
      </x:c>
    </x:row>
    <x:row r="32" ht="68" customHeight="1">
      <x:c r="A32" s="26" t="str">
        <x:v>PHYS-JAD-03</x:v>
      </x:c>
      <x:c r="B32" s="26" t="str">
        <x:v>26.0071</x:v>
      </x:c>
      <x:c r="C32" s="26" t="str">
        <x:v>JAD Street Style Sherman and Stand</x:v>
      </x:c>
      <x:c r="D32" s="26" t="str">
        <x:v>Stand evidence</x:v>
      </x:c>
      <x:c r="E32" s="26" t="str">
        <x:v>Capture stand markings, welds and attachment/contact points</x:v>
      </x:c>
      <x:c r="F32" s="26" t="str">
        <x:v>All sides, underside, labels, fasteners, welds, material and dimensions.</x:v>
      </x:c>
      <x:c r="G32" s="26" t="str">
        <x:v>P0</x:v>
      </x:c>
      <x:c r="H32" s="26" t="str">
        <x:v>Blocking</x:v>
      </x:c>
      <x:c r="I32" s="26" t="str">
        <x:v>Kyle / Lititz BMX</x:v>
      </x:c>
      <x:c r="J32" s="26" t="str">
        <x:v>15–25 min</x:v>
      </x:c>
      <x:c r="K32" s="26" t="str">
        <x:v>Needed to resolve DiMartino/Lesorgan role conflict</x:v>
      </x:c>
      <x:c r="L32" s="26" t="str">
        <x:v>PHYS-JAD-01</x:v>
      </x:c>
      <x:c r="M32" s="26" t="str">
        <x:v>26.0071_JAD_stand_detail_&lt;location&gt;.jpg</x:v>
      </x:c>
      <x:c r="N32" s="26" t="str">
        <x:v>Record whether stand is display-only or purpose-built for this frame.</x:v>
      </x:c>
    </x:row>
    <x:row r="33" ht="68" customHeight="1">
      <x:c r="A33" s="26" t="str">
        <x:v>PHYS-JAD-04</x:v>
      </x:c>
      <x:c r="B33" s="26" t="str">
        <x:v>26.0071</x:v>
      </x:c>
      <x:c r="C33" s="26" t="str">
        <x:v>JAD Street Style Sherman and Stand</x:v>
      </x:c>
      <x:c r="D33" s="26" t="str">
        <x:v>Measurement</x:v>
      </x:c>
      <x:c r="E33" s="26" t="str">
        <x:v>Record frame geometry and stand dimensions</x:v>
      </x:c>
      <x:c r="F33" s="26" t="str">
        <x:v>Top tube, wheelbase, chainstay, dropout spacing, head/seat tubes and stand dimensions with measurement photos.</x:v>
      </x:c>
      <x:c r="G33" s="26" t="str">
        <x:v>P2</x:v>
      </x:c>
      <x:c r="H33" s="26" t="str">
        <x:v>Roadmapped</x:v>
      </x:c>
      <x:c r="I33" s="26" t="str">
        <x:v>Kyle / Lititz BMX</x:v>
      </x:c>
      <x:c r="J33" s="26" t="str">
        <x:v>40–60 min</x:v>
      </x:c>
      <x:c r="K33" s="26" t="str">
        <x:v>Enables comparison against other Shermans</x:v>
      </x:c>
      <x:c r="L33" s="26" t="str">
        <x:v>PHYS-JAD-01</x:v>
      </x:c>
      <x:c r="M33" s="26" t="str">
        <x:v>26.0071_JAD_measurements.csv</x:v>
      </x:c>
      <x:c r="N33" s="26" t="str">
        <x:v>Avoid forcing one-off conclusions from geometry alone.</x:v>
      </x:c>
    </x:row>
    <x:row r="34" ht="68" customHeight="1">
      <x:c r="A34" s="26" t="str">
        <x:v>PHYS-JAD-05</x:v>
      </x:c>
      <x:c r="B34" s="26" t="str">
        <x:v>26.0071</x:v>
      </x:c>
      <x:c r="C34" s="26" t="str">
        <x:v>JAD Street Style Sherman and Stand</x:v>
      </x:c>
      <x:c r="D34" s="26" t="str">
        <x:v>Documentation</x:v>
      </x:c>
      <x:c r="E34" s="26" t="str">
        <x:v>Obtain builder/designer role statement</x:v>
      </x:c>
      <x:c r="F34" s="26" t="str">
        <x:v>Written statement identifying who designed, welded, finished, commissioned, owned and supplied the frame and stand.</x:v>
      </x:c>
      <x:c r="G34" s="26" t="str">
        <x:v>P0</x:v>
      </x:c>
      <x:c r="H34" s="26" t="str">
        <x:v>Blocking</x:v>
      </x:c>
      <x:c r="I34" s="26" t="str">
        <x:v>Kyle / Lititz BMX</x:v>
      </x:c>
      <x:c r="J34" s="26" t="str">
        <x:v>Contact-dependent</x:v>
      </x:c>
      <x:c r="K34" s="26" t="str">
        <x:v>Resolves internal attribution conflict</x:v>
      </x:c>
      <x:c r="L34" s="26" t="str">
        <x:v>Contact information</x:v>
      </x:c>
      <x:c r="M34" s="26" t="str">
        <x:v>26.0071_JAD_builder_roles.pdf</x:v>
      </x:c>
      <x:c r="N34" s="26" t="str">
        <x:v>Preserve exact wording and date.</x:v>
      </x:c>
    </x:row>
    <x:row r="35" ht="68" customHeight="1">
      <x:c r="A35" s="26" t="str">
        <x:v>PHYS-JAD-06</x:v>
      </x:c>
      <x:c r="B35" s="26" t="str">
        <x:v>26.0071</x:v>
      </x:c>
      <x:c r="C35" s="26" t="str">
        <x:v>JAD Street Style Sherman and Stand</x:v>
      </x:c>
      <x:c r="D35" s="26" t="str">
        <x:v>Rarity evidence</x:v>
      </x:c>
      <x:c r="E35" s="26" t="str">
        <x:v>Build production and known-survivor register</x:v>
      </x:c>
      <x:c r="F35" s="26" t="str">
        <x:v>List all claimed Shermans, serials, configurations, owners/source links and evidence for six-frame and unique-variant claims.</x:v>
      </x:c>
      <x:c r="G35" s="26" t="str">
        <x:v>P0</x:v>
      </x:c>
      <x:c r="H35" s="26" t="str">
        <x:v>Blocking after markings</x:v>
      </x:c>
      <x:c r="I35" s="26" t="str">
        <x:v>Research</x:v>
      </x:c>
      <x:c r="J35" s="26" t="str">
        <x:v>3–8 hr</x:v>
      </x:c>
      <x:c r="K35" s="26" t="str">
        <x:v>Controls rarity grade</x:v>
      </x:c>
      <x:c r="L35" s="26" t="str">
        <x:v>PHYS-JAD-02 and external research</x:v>
      </x:c>
      <x:c r="M35" s="26" t="str">
        <x:v>26.0071_JAD_survivor_register.xlsx</x:v>
      </x:c>
      <x:c r="N35" s="26" t="str">
        <x:v>A missing public example is not proof it never existed.</x:v>
      </x:c>
    </x:row>
    <x:row r="36" ht="68" customHeight="1">
      <x:c r="A36" s="26" t="str">
        <x:v>PHYS-JAD-07</x:v>
      </x:c>
      <x:c r="B36" s="26" t="str">
        <x:v>26.0071</x:v>
      </x:c>
      <x:c r="C36" s="26" t="str">
        <x:v>JAD Street Style Sherman and Stand</x:v>
      </x:c>
      <x:c r="D36" s="26" t="str">
        <x:v>Provenance</x:v>
      </x:c>
      <x:c r="E36" s="26" t="str">
        <x:v>Assemble acquisition and chain-of-custody record</x:v>
      </x:c>
      <x:c r="F36" s="26" t="str">
        <x:v>Prior owners, transaction records, correspondence, build statements and arrival condition.</x:v>
      </x:c>
      <x:c r="G36" s="26" t="str">
        <x:v>P1</x:v>
      </x:c>
      <x:c r="H36" s="26" t="str">
        <x:v>Roadmapped</x:v>
      </x:c>
      <x:c r="I36" s="26" t="str">
        <x:v>Kyle / Lititz BMX</x:v>
      </x:c>
      <x:c r="J36" s="26" t="str">
        <x:v>1–2 hr</x:v>
      </x:c>
      <x:c r="K36" s="26" t="str">
        <x:v>Supports association and uniqueness claims</x:v>
      </x:c>
      <x:c r="L36" s="26" t="str">
        <x:v>Personal records</x:v>
      </x:c>
      <x:c r="M36" s="26" t="str">
        <x:v>26.0071_JAD_chain_of_custody.pdf</x:v>
      </x:c>
      <x:c r="N36" s="26" t="str">
        <x:v>Redact private details in public copy.</x:v>
      </x:c>
    </x:row>
    <x:row r="37" ht="68" customHeight="1">
      <x:c r="A37" s="26" t="str">
        <x:v>PHYS-ELF-01</x:v>
      </x:c>
      <x:c r="B37" s="26" t="str">
        <x:v>26.0006</x:v>
      </x:c>
      <x:c r="C37" s="26" t="str">
        <x:v>ELF Catalog / Mailpiece</x:v>
      </x:c>
      <x:c r="D37" s="26" t="str">
        <x:v>Photography</x:v>
      </x:c>
      <x:c r="E37" s="26" t="str">
        <x:v>Capture front, back, spine/edges and folded state</x:v>
      </x:c>
      <x:c r="F37" s="26" t="str">
        <x:v>Square, glare-free images with scale; include address side and all exterior panels.</x:v>
      </x:c>
      <x:c r="G37" s="26" t="str">
        <x:v>P0</x:v>
      </x:c>
      <x:c r="H37" s="26" t="str">
        <x:v>Blocking</x:v>
      </x:c>
      <x:c r="I37" s="26" t="str">
        <x:v>Kyle / Lititz BMX</x:v>
      </x:c>
      <x:c r="J37" s="26" t="str">
        <x:v>15–20 min</x:v>
      </x:c>
      <x:c r="K37" s="26" t="str">
        <x:v>Confirms format and exterior publication evidence</x:v>
      </x:c>
      <x:c r="L37" s="26" t="str">
        <x:v>Common capture setup</x:v>
      </x:c>
      <x:c r="M37" s="26" t="str">
        <x:v>26.0006_ELF_exterior_&lt;view&gt;.jpg</x:v>
      </x:c>
      <x:c r="N37" s="26" t="str">
        <x:v>Existing image is one exterior side only.</x:v>
      </x:c>
    </x:row>
    <x:row r="38" ht="68" customHeight="1">
      <x:c r="A38" s="26" t="str">
        <x:v>PHYS-ELF-02</x:v>
      </x:c>
      <x:c r="B38" s="26" t="str">
        <x:v>26.0006</x:v>
      </x:c>
      <x:c r="C38" s="26" t="str">
        <x:v>ELF Catalog / Mailpiece</x:v>
      </x:c>
      <x:c r="D38" s="26" t="str">
        <x:v>Page capture</x:v>
      </x:c>
      <x:c r="E38" s="26" t="str">
        <x:v>Capture every page or panel in order</x:v>
      </x:c>
      <x:c r="F38" s="26" t="str">
        <x:v>One full-frame image per page/panel plus spreads where useful; preserve sequence and blank pages.</x:v>
      </x:c>
      <x:c r="G38" s="26" t="str">
        <x:v>P0</x:v>
      </x:c>
      <x:c r="H38" s="26" t="str">
        <x:v>Blocking</x:v>
      </x:c>
      <x:c r="I38" s="26" t="str">
        <x:v>Kyle / Lititz BMX</x:v>
      </x:c>
      <x:c r="J38" s="26" t="str">
        <x:v>30–90 min</x:v>
      </x:c>
      <x:c r="K38" s="26" t="str">
        <x:v>Required for edition, model and ephemera indexing</x:v>
      </x:c>
      <x:c r="L38" s="26" t="str">
        <x:v>Safe opening/handling</x:v>
      </x:c>
      <x:c r="M38" s="26" t="str">
        <x:v>26.0006_ELF_p###.jpg</x:v>
      </x:c>
      <x:c r="N38" s="26" t="str">
        <x:v>Do not flatten beyond the binding's safe range.</x:v>
      </x:c>
    </x:row>
    <x:row r="39" ht="68" customHeight="1">
      <x:c r="A39" s="26" t="str">
        <x:v>PHYS-ELF-03</x:v>
      </x:c>
      <x:c r="B39" s="26" t="str">
        <x:v>26.0006</x:v>
      </x:c>
      <x:c r="C39" s="26" t="str">
        <x:v>ELF Catalog / Mailpiece</x:v>
      </x:c>
      <x:c r="D39" s="26" t="str">
        <x:v>Publication metadata</x:v>
      </x:c>
      <x:c r="E39" s="26" t="str">
        <x:v>Capture copyright, imprint, catalog number and dealer/contact text</x:v>
      </x:c>
      <x:c r="F39" s="26" t="str">
        <x:v>Macro images of all fine print, printer marks, codes, dates, addresses and ordering information.</x:v>
      </x:c>
      <x:c r="G39" s="26" t="str">
        <x:v>P0</x:v>
      </x:c>
      <x:c r="H39" s="26" t="str">
        <x:v>Blocking</x:v>
      </x:c>
      <x:c r="I39" s="26" t="str">
        <x:v>Kyle / Lititz BMX</x:v>
      </x:c>
      <x:c r="J39" s="26" t="str">
        <x:v>10–20 min</x:v>
      </x:c>
      <x:c r="K39" s="26" t="str">
        <x:v>May identify year and edition</x:v>
      </x:c>
      <x:c r="L39" s="26" t="str">
        <x:v>PHYS-ELF-02</x:v>
      </x:c>
      <x:c r="M39" s="26" t="str">
        <x:v>26.0006_ELF_imprint_&lt;location&gt;.jpg</x:v>
      </x:c>
      <x:c r="N39" s="26" t="str">
        <x:v>General ELF brand chronology cannot date the object.</x:v>
      </x:c>
    </x:row>
    <x:row r="40" ht="68" customHeight="1">
      <x:c r="A40" s="26" t="str">
        <x:v>PHYS-ELF-04</x:v>
      </x:c>
      <x:c r="B40" s="26" t="str">
        <x:v>26.0006</x:v>
      </x:c>
      <x:c r="C40" s="26" t="str">
        <x:v>ELF Catalog / Mailpiece</x:v>
      </x:c>
      <x:c r="D40" s="26" t="str">
        <x:v>Postal evidence</x:v>
      </x:c>
      <x:c r="E40" s="26" t="str">
        <x:v>Capture stamp, cancellation, indicia and recipient label</x:v>
      </x:c>
      <x:c r="F40" s="26" t="str">
        <x:v>High-resolution straight-on and raking-light images; transcribe all legible postal marks exactly.</x:v>
      </x:c>
      <x:c r="G40" s="26" t="str">
        <x:v>P1</x:v>
      </x:c>
      <x:c r="H40" s="26" t="str">
        <x:v>Roadmapped</x:v>
      </x:c>
      <x:c r="I40" s="26" t="str">
        <x:v>Kyle / Lititz BMX</x:v>
      </x:c>
      <x:c r="J40" s="26" t="str">
        <x:v>10–20 min</x:v>
      </x:c>
      <x:c r="K40" s="26" t="str">
        <x:v>May narrow mailing date and distribution route</x:v>
      </x:c>
      <x:c r="L40" s="26" t="str">
        <x:v>PHYS-ELF-01</x:v>
      </x:c>
      <x:c r="M40" s="26" t="str">
        <x:v>26.0006_ELF_postal_&lt;element&gt;.jpg</x:v>
      </x:c>
      <x:c r="N40" s="26" t="str">
        <x:v>Do not publish personal address data without redaction.</x:v>
      </x:c>
    </x:row>
    <x:row r="41" ht="68" customHeight="1">
      <x:c r="A41" s="26" t="str">
        <x:v>PHYS-ELF-05</x:v>
      </x:c>
      <x:c r="B41" s="26" t="str">
        <x:v>26.0006</x:v>
      </x:c>
      <x:c r="C41" s="26" t="str">
        <x:v>ELF Catalog / Mailpiece</x:v>
      </x:c>
      <x:c r="D41" s="26" t="str">
        <x:v>Measurement</x:v>
      </x:c>
      <x:c r="E41" s="26" t="str">
        <x:v>Record dimensions, fold pattern, page count and paper/print notes</x:v>
      </x:c>
      <x:c r="F41" s="26" t="str">
        <x:v>Closed/open dimensions, panel count, pagination, binding, paper finish and obvious printing method.</x:v>
      </x:c>
      <x:c r="G41" s="26" t="str">
        <x:v>P2</x:v>
      </x:c>
      <x:c r="H41" s="26" t="str">
        <x:v>Roadmapped</x:v>
      </x:c>
      <x:c r="I41" s="26" t="str">
        <x:v>Kyle / Lititz BMX</x:v>
      </x:c>
      <x:c r="J41" s="26" t="str">
        <x:v>15–25 min</x:v>
      </x:c>
      <x:c r="K41" s="26" t="str">
        <x:v>Supports bibliographic description</x:v>
      </x:c>
      <x:c r="L41" s="26" t="str">
        <x:v>PHYS-ELF-02</x:v>
      </x:c>
      <x:c r="M41" s="26" t="str">
        <x:v>26.0006_ELF_bibliographic_record.csv</x:v>
      </x:c>
      <x:c r="N41" s="26" t="str">
        <x:v>Use descriptive terms rather than unverified printing-process claims.</x:v>
      </x:c>
    </x:row>
    <x:row r="42" ht="68" customHeight="1">
      <x:c r="A42" s="26" t="str">
        <x:v>PHYS-ELF-06</x:v>
      </x:c>
      <x:c r="B42" s="26" t="str">
        <x:v>26.0006</x:v>
      </x:c>
      <x:c r="C42" s="26" t="str">
        <x:v>ELF Catalog / Mailpiece</x:v>
      </x:c>
      <x:c r="D42" s="26" t="str">
        <x:v>Conservation</x:v>
      </x:c>
      <x:c r="E42" s="26" t="str">
        <x:v>Create condition report and storage plan</x:v>
      </x:c>
      <x:c r="F42" s="26" t="str">
        <x:v>Document tears, folds, staining, fading, adhesive and postal wear; sleeve/box recommendation.</x:v>
      </x:c>
      <x:c r="G42" s="26" t="str">
        <x:v>P2</x:v>
      </x:c>
      <x:c r="H42" s="26" t="str">
        <x:v>Roadmapped</x:v>
      </x:c>
      <x:c r="I42" s="26" t="str">
        <x:v>Kyle / Lititz BMX</x:v>
      </x:c>
      <x:c r="J42" s="26" t="str">
        <x:v>15–20 min</x:v>
      </x:c>
      <x:c r="K42" s="26" t="str">
        <x:v>Protects the source before repeated research handling</x:v>
      </x:c>
      <x:c r="L42" s="26" t="str">
        <x:v>Exterior/page capture</x:v>
      </x:c>
      <x:c r="M42" s="26" t="str">
        <x:v>26.0006_ELF_condition_report.pdf</x:v>
      </x:c>
      <x:c r="N42" s="26" t="str">
        <x:v>No tape, flattening or cleaning without conservation review.</x:v>
      </x:c>
    </x:row>
    <x:row r="43" ht="68" customHeight="1">
      <x:c r="A43" s="26" t="str">
        <x:v>PHYS-PR12-01</x:v>
      </x:c>
      <x:c r="B43" s="26" t="str">
        <x:v>26.0047</x:v>
      </x:c>
      <x:c r="C43" s="26" t="str">
        <x:v>Harry Leary DIRTWERX PR12 Prototype</x:v>
      </x:c>
      <x:c r="D43" s="26" t="str">
        <x:v>Photography</x:v>
      </x:c>
      <x:c r="E43" s="26" t="str">
        <x:v>Complete frameset 360° capture</x:v>
      </x:c>
      <x:c r="F43" s="26" t="str">
        <x:v>Both sides, front/rear, top/underside, three-quarter views and fork separately where already unassembled.</x:v>
      </x:c>
      <x:c r="G43" s="26" t="str">
        <x:v>P1</x:v>
      </x:c>
      <x:c r="H43" s="26" t="str">
        <x:v>Roadmapped</x:v>
      </x:c>
      <x:c r="I43" s="26" t="str">
        <x:v>Kyle / Lititz BMX</x:v>
      </x:c>
      <x:c r="J43" s="26" t="str">
        <x:v>25–40 min</x:v>
      </x:c>
      <x:c r="K43" s="26" t="str">
        <x:v>Establishes construction and condition baseline</x:v>
      </x:c>
      <x:c r="L43" s="26" t="str">
        <x:v>Common capture setup</x:v>
      </x:c>
      <x:c r="M43" s="26" t="str">
        <x:v>26.0047_DIRTWERX_master_&lt;view&gt;.jpg</x:v>
      </x:c>
      <x:c r="N43" s="26" t="str">
        <x:v>Do not disassemble a complete build solely for photographs.</x:v>
      </x:c>
    </x:row>
    <x:row r="44" ht="68" customHeight="1">
      <x:c r="A44" s="26" t="str">
        <x:v>PHYS-PR12-02</x:v>
      </x:c>
      <x:c r="B44" s="26" t="str">
        <x:v>26.0047</x:v>
      </x:c>
      <x:c r="C44" s="26" t="str">
        <x:v>Harry Leary DIRTWERX PR12 Prototype</x:v>
      </x:c>
      <x:c r="D44" s="26" t="str">
        <x:v>Markings</x:v>
      </x:c>
      <x:c r="E44" s="26" t="str">
        <x:v>Capture serials, stamps, decals and maker marks</x:v>
      </x:c>
      <x:c r="F44" s="26" t="str">
        <x:v>Macro, raking-light and contextual images of bottom bracket, dropouts, head tube, fork and all decals.</x:v>
      </x:c>
      <x:c r="G44" s="26" t="str">
        <x:v>P0</x:v>
      </x:c>
      <x:c r="H44" s="26" t="str">
        <x:v>Blocking</x:v>
      </x:c>
      <x:c r="I44" s="26" t="str">
        <x:v>Kyle / Lititz BMX</x:v>
      </x:c>
      <x:c r="J44" s="26" t="str">
        <x:v>15–25 min</x:v>
      </x:c>
      <x:c r="K44" s="26" t="str">
        <x:v>Required for model chronology and comparison</x:v>
      </x:c>
      <x:c r="L44" s="26" t="str">
        <x:v>Safe access</x:v>
      </x:c>
      <x:c r="M44" s="26" t="str">
        <x:v>26.0047_DIRTWERX_marking_&lt;location&gt;.jpg</x:v>
      </x:c>
      <x:c r="N44" s="26" t="str">
        <x:v>Record absence of visible serial without treating it as proof none exists.</x:v>
      </x:c>
    </x:row>
    <x:row r="45" ht="68" customHeight="1">
      <x:c r="A45" s="26" t="str">
        <x:v>PHYS-PR12-03</x:v>
      </x:c>
      <x:c r="B45" s="26" t="str">
        <x:v>26.0047</x:v>
      </x:c>
      <x:c r="C45" s="26" t="str">
        <x:v>Harry Leary DIRTWERX PR12 Prototype</x:v>
      </x:c>
      <x:c r="D45" s="26" t="str">
        <x:v>Construction</x:v>
      </x:c>
      <x:c r="E45" s="26" t="str">
        <x:v>Document welds, gussets, dropouts, tubing and brake mounts</x:v>
      </x:c>
      <x:c r="F45" s="26" t="str">
        <x:v>Close, evenly lit images of each construction feature, including fork crown and steerer where visible.</x:v>
      </x:c>
      <x:c r="G45" s="26" t="str">
        <x:v>P1</x:v>
      </x:c>
      <x:c r="H45" s="26" t="str">
        <x:v>Roadmapped</x:v>
      </x:c>
      <x:c r="I45" s="26" t="str">
        <x:v>Kyle / Lititz BMX</x:v>
      </x:c>
      <x:c r="J45" s="26" t="str">
        <x:v>20–30 min</x:v>
      </x:c>
      <x:c r="K45" s="26" t="str">
        <x:v>Supports prototype/production comparison</x:v>
      </x:c>
      <x:c r="L45" s="26" t="str">
        <x:v>PHYS-PR12-01</x:v>
      </x:c>
      <x:c r="M45" s="26" t="str">
        <x:v>26.0047_DIRTWERX_detail_&lt;location&gt;.jpg</x:v>
      </x:c>
      <x:c r="N45" s="26" t="str">
        <x:v>Preserve restoration or repaint clues.</x:v>
      </x:c>
    </x:row>
    <x:row r="46" ht="68" customHeight="1">
      <x:c r="A46" s="26" t="str">
        <x:v>PHYS-PR12-04</x:v>
      </x:c>
      <x:c r="B46" s="26" t="str">
        <x:v>26.0047</x:v>
      </x:c>
      <x:c r="C46" s="26" t="str">
        <x:v>Harry Leary DIRTWERX PR12 Prototype</x:v>
      </x:c>
      <x:c r="D46" s="26" t="str">
        <x:v>Measurement</x:v>
      </x:c>
      <x:c r="E46" s="26" t="str">
        <x:v>Record complete geometry and weight</x:v>
      </x:c>
      <x:c r="F46" s="26" t="str">
        <x:v>Top tube, chainstay, wheelbase, head/seat tube, dropout spacing, BB height, fork length/rake and weight.</x:v>
      </x:c>
      <x:c r="G46" s="26" t="str">
        <x:v>P1</x:v>
      </x:c>
      <x:c r="H46" s="26" t="str">
        <x:v>Roadmapped</x:v>
      </x:c>
      <x:c r="I46" s="26" t="str">
        <x:v>Kyle / Lititz BMX</x:v>
      </x:c>
      <x:c r="J46" s="26" t="str">
        <x:v>45–75 min</x:v>
      </x:c>
      <x:c r="K46" s="26" t="str">
        <x:v>Builds objective comparison matrix</x:v>
      </x:c>
      <x:c r="L46" s="26" t="str">
        <x:v>PHYS-PR12-01</x:v>
      </x:c>
      <x:c r="M46" s="26" t="str">
        <x:v>26.0047_DIRTWERX_measurements.csv</x:v>
      </x:c>
      <x:c r="N46" s="26" t="str">
        <x:v>Photograph every measurement.</x:v>
      </x:c>
    </x:row>
    <x:row r="47" ht="68" customHeight="1">
      <x:c r="A47" s="26" t="str">
        <x:v>PHYS-PR12-05</x:v>
      </x:c>
      <x:c r="B47" s="26" t="str">
        <x:v>26.0047</x:v>
      </x:c>
      <x:c r="C47" s="26" t="str">
        <x:v>Harry Leary DIRTWERX PR12 Prototype</x:v>
      </x:c>
      <x:c r="D47" s="26" t="str">
        <x:v>Provenance</x:v>
      </x:c>
      <x:c r="E47" s="26" t="str">
        <x:v>Assemble ownership and acquisition evidence</x:v>
      </x:c>
      <x:c r="F47" s="26" t="str">
        <x:v>Prior owners, Leary connection, acquisition correspondence, sale records, shipment and arrival condition.</x:v>
      </x:c>
      <x:c r="G47" s="26" t="str">
        <x:v>P0</x:v>
      </x:c>
      <x:c r="H47" s="26" t="str">
        <x:v>Blocking</x:v>
      </x:c>
      <x:c r="I47" s="26" t="str">
        <x:v>Kyle / Lititz BMX</x:v>
      </x:c>
      <x:c r="J47" s="26" t="str">
        <x:v>1–2 hr</x:v>
      </x:c>
      <x:c r="K47" s="26" t="str">
        <x:v>Controls prototype and personal-ownership claims</x:v>
      </x:c>
      <x:c r="L47" s="26" t="str">
        <x:v>Personal records</x:v>
      </x:c>
      <x:c r="M47" s="26" t="str">
        <x:v>26.0047_DIRTWERX_chain_of_custody.pdf</x:v>
      </x:c>
      <x:c r="N47" s="26" t="str">
        <x:v>Keep Justin Dumas/source claims attributed until documented.</x:v>
      </x:c>
    </x:row>
    <x:row r="48" ht="68" customHeight="1">
      <x:c r="A48" s="26" t="str">
        <x:v>PHYS-PR12-06</x:v>
      </x:c>
      <x:c r="B48" s="26" t="str">
        <x:v>26.0047</x:v>
      </x:c>
      <x:c r="C48" s="26" t="str">
        <x:v>Harry Leary DIRTWERX PR12 Prototype</x:v>
      </x:c>
      <x:c r="D48" s="26" t="str">
        <x:v>Comparison</x:v>
      </x:c>
      <x:c r="E48" s="26" t="str">
        <x:v>Build known-example comparison matrix</x:v>
      </x:c>
      <x:c r="F48" s="26" t="str">
        <x:v>Compare geometry, markings and construction against catalogs, period tests, BMXMuseum examples and other owners.</x:v>
      </x:c>
      <x:c r="G48" s="26" t="str">
        <x:v>P0</x:v>
      </x:c>
      <x:c r="H48" s="26" t="str">
        <x:v>Research after capture</x:v>
      </x:c>
      <x:c r="I48" s="26" t="str">
        <x:v>Research</x:v>
      </x:c>
      <x:c r="J48" s="26" t="str">
        <x:v>3–8 hr</x:v>
      </x:c>
      <x:c r="K48" s="26" t="str">
        <x:v>Moves prototype status toward graded conclusion</x:v>
      </x:c>
      <x:c r="L48" s="26" t="str">
        <x:v>PHYS-PR12-02 through 04</x:v>
      </x:c>
      <x:c r="M48" s="26" t="str">
        <x:v>26.0047_DIRTWERX_comparison.xlsx</x:v>
      </x:c>
      <x:c r="N48" s="26" t="str">
        <x:v>A comparable submitted bike is evidence, not automatic authentication.</x:v>
      </x:c>
    </x:row>
    <x:row r="49" ht="68" customHeight="1">
      <x:c r="A49" s="26" t="str">
        <x:v>PHYS-DW24-01</x:v>
      </x:c>
      <x:c r="B49" s="26" t="str">
        <x:v>26.0029</x:v>
      </x:c>
      <x:c r="C49" s="26" t="str">
        <x:v>DIRTWERX 24-inch Cruiser Prototype</x:v>
      </x:c>
      <x:c r="D49" s="26" t="str">
        <x:v>Photography</x:v>
      </x:c>
      <x:c r="E49" s="26" t="str">
        <x:v>Complete frameset 360° capture</x:v>
      </x:c>
      <x:c r="F49" s="26" t="str">
        <x:v>Both sides, front/rear, top/underside, three-quarter views and fork separately where already unassembled.</x:v>
      </x:c>
      <x:c r="G49" s="26" t="str">
        <x:v>P1</x:v>
      </x:c>
      <x:c r="H49" s="26" t="str">
        <x:v>Roadmapped</x:v>
      </x:c>
      <x:c r="I49" s="26" t="str">
        <x:v>Kyle / Lititz BMX</x:v>
      </x:c>
      <x:c r="J49" s="26" t="str">
        <x:v>25–40 min</x:v>
      </x:c>
      <x:c r="K49" s="26" t="str">
        <x:v>Establishes construction and condition baseline</x:v>
      </x:c>
      <x:c r="L49" s="26" t="str">
        <x:v>Common capture setup</x:v>
      </x:c>
      <x:c r="M49" s="26" t="str">
        <x:v>26.0029_DIRTWERX_master_&lt;view&gt;.jpg</x:v>
      </x:c>
      <x:c r="N49" s="26" t="str">
        <x:v>Do not disassemble a complete build solely for photographs.</x:v>
      </x:c>
    </x:row>
    <x:row r="50" ht="68" customHeight="1">
      <x:c r="A50" s="26" t="str">
        <x:v>PHYS-DW24-02</x:v>
      </x:c>
      <x:c r="B50" s="26" t="str">
        <x:v>26.0029</x:v>
      </x:c>
      <x:c r="C50" s="26" t="str">
        <x:v>DIRTWERX 24-inch Cruiser Prototype</x:v>
      </x:c>
      <x:c r="D50" s="26" t="str">
        <x:v>Markings</x:v>
      </x:c>
      <x:c r="E50" s="26" t="str">
        <x:v>Capture serials, stamps, decals and maker marks</x:v>
      </x:c>
      <x:c r="F50" s="26" t="str">
        <x:v>Macro, raking-light and contextual images of bottom bracket, dropouts, head tube, fork and all decals.</x:v>
      </x:c>
      <x:c r="G50" s="26" t="str">
        <x:v>P0</x:v>
      </x:c>
      <x:c r="H50" s="26" t="str">
        <x:v>Blocking</x:v>
      </x:c>
      <x:c r="I50" s="26" t="str">
        <x:v>Kyle / Lititz BMX</x:v>
      </x:c>
      <x:c r="J50" s="26" t="str">
        <x:v>15–25 min</x:v>
      </x:c>
      <x:c r="K50" s="26" t="str">
        <x:v>Required for model chronology and comparison</x:v>
      </x:c>
      <x:c r="L50" s="26" t="str">
        <x:v>Safe access</x:v>
      </x:c>
      <x:c r="M50" s="26" t="str">
        <x:v>26.0029_DIRTWERX_marking_&lt;location&gt;.jpg</x:v>
      </x:c>
      <x:c r="N50" s="26" t="str">
        <x:v>Record absence of visible serial without treating it as proof none exists.</x:v>
      </x:c>
    </x:row>
    <x:row r="51" ht="68" customHeight="1">
      <x:c r="A51" s="26" t="str">
        <x:v>PHYS-DW24-03</x:v>
      </x:c>
      <x:c r="B51" s="26" t="str">
        <x:v>26.0029</x:v>
      </x:c>
      <x:c r="C51" s="26" t="str">
        <x:v>DIRTWERX 24-inch Cruiser Prototype</x:v>
      </x:c>
      <x:c r="D51" s="26" t="str">
        <x:v>Construction</x:v>
      </x:c>
      <x:c r="E51" s="26" t="str">
        <x:v>Document welds, gussets, dropouts, tubing and brake mounts</x:v>
      </x:c>
      <x:c r="F51" s="26" t="str">
        <x:v>Close, evenly lit images of each construction feature, including fork crown and steerer where visible.</x:v>
      </x:c>
      <x:c r="G51" s="26" t="str">
        <x:v>P1</x:v>
      </x:c>
      <x:c r="H51" s="26" t="str">
        <x:v>Roadmapped</x:v>
      </x:c>
      <x:c r="I51" s="26" t="str">
        <x:v>Kyle / Lititz BMX</x:v>
      </x:c>
      <x:c r="J51" s="26" t="str">
        <x:v>20–30 min</x:v>
      </x:c>
      <x:c r="K51" s="26" t="str">
        <x:v>Supports prototype/production comparison</x:v>
      </x:c>
      <x:c r="L51" s="26" t="str">
        <x:v>PHYS-DW24-01</x:v>
      </x:c>
      <x:c r="M51" s="26" t="str">
        <x:v>26.0029_DIRTWERX_detail_&lt;location&gt;.jpg</x:v>
      </x:c>
      <x:c r="N51" s="26" t="str">
        <x:v>Preserve restoration or repaint clues.</x:v>
      </x:c>
    </x:row>
    <x:row r="52" ht="68" customHeight="1">
      <x:c r="A52" s="26" t="str">
        <x:v>PHYS-DW24-04</x:v>
      </x:c>
      <x:c r="B52" s="26" t="str">
        <x:v>26.0029</x:v>
      </x:c>
      <x:c r="C52" s="26" t="str">
        <x:v>DIRTWERX 24-inch Cruiser Prototype</x:v>
      </x:c>
      <x:c r="D52" s="26" t="str">
        <x:v>Measurement</x:v>
      </x:c>
      <x:c r="E52" s="26" t="str">
        <x:v>Record complete geometry and weight</x:v>
      </x:c>
      <x:c r="F52" s="26" t="str">
        <x:v>Top tube, chainstay, wheelbase, head/seat tube, dropout spacing, BB height, fork length/rake and weight.</x:v>
      </x:c>
      <x:c r="G52" s="26" t="str">
        <x:v>P1</x:v>
      </x:c>
      <x:c r="H52" s="26" t="str">
        <x:v>Roadmapped</x:v>
      </x:c>
      <x:c r="I52" s="26" t="str">
        <x:v>Kyle / Lititz BMX</x:v>
      </x:c>
      <x:c r="J52" s="26" t="str">
        <x:v>45–75 min</x:v>
      </x:c>
      <x:c r="K52" s="26" t="str">
        <x:v>Builds objective comparison matrix</x:v>
      </x:c>
      <x:c r="L52" s="26" t="str">
        <x:v>PHYS-DW24-01</x:v>
      </x:c>
      <x:c r="M52" s="26" t="str">
        <x:v>26.0029_DIRTWERX_measurements.csv</x:v>
      </x:c>
      <x:c r="N52" s="26" t="str">
        <x:v>Photograph every measurement.</x:v>
      </x:c>
    </x:row>
    <x:row r="53" ht="68" customHeight="1">
      <x:c r="A53" s="26" t="str">
        <x:v>PHYS-DW24-05</x:v>
      </x:c>
      <x:c r="B53" s="26" t="str">
        <x:v>26.0029</x:v>
      </x:c>
      <x:c r="C53" s="26" t="str">
        <x:v>DIRTWERX 24-inch Cruiser Prototype</x:v>
      </x:c>
      <x:c r="D53" s="26" t="str">
        <x:v>Provenance</x:v>
      </x:c>
      <x:c r="E53" s="26" t="str">
        <x:v>Assemble ownership and acquisition evidence</x:v>
      </x:c>
      <x:c r="F53" s="26" t="str">
        <x:v>Prior owners, Leary connection, acquisition correspondence, sale records, shipment and arrival condition.</x:v>
      </x:c>
      <x:c r="G53" s="26" t="str">
        <x:v>P0</x:v>
      </x:c>
      <x:c r="H53" s="26" t="str">
        <x:v>Blocking</x:v>
      </x:c>
      <x:c r="I53" s="26" t="str">
        <x:v>Kyle / Lititz BMX</x:v>
      </x:c>
      <x:c r="J53" s="26" t="str">
        <x:v>1–2 hr</x:v>
      </x:c>
      <x:c r="K53" s="26" t="str">
        <x:v>Controls prototype and personal-ownership claims</x:v>
      </x:c>
      <x:c r="L53" s="26" t="str">
        <x:v>Personal records</x:v>
      </x:c>
      <x:c r="M53" s="26" t="str">
        <x:v>26.0029_DIRTWERX_chain_of_custody.pdf</x:v>
      </x:c>
      <x:c r="N53" s="26" t="str">
        <x:v>Keep Justin Dumas/source claims attributed until documented.</x:v>
      </x:c>
    </x:row>
    <x:row r="54" ht="68" customHeight="1">
      <x:c r="A54" s="26" t="str">
        <x:v>PHYS-DW24-06</x:v>
      </x:c>
      <x:c r="B54" s="26" t="str">
        <x:v>26.0029</x:v>
      </x:c>
      <x:c r="C54" s="26" t="str">
        <x:v>DIRTWERX 24-inch Cruiser Prototype</x:v>
      </x:c>
      <x:c r="D54" s="26" t="str">
        <x:v>Comparison</x:v>
      </x:c>
      <x:c r="E54" s="26" t="str">
        <x:v>Build known-example comparison matrix</x:v>
      </x:c>
      <x:c r="F54" s="26" t="str">
        <x:v>Compare geometry, markings and construction against catalogs, period tests, BMXMuseum examples and other owners.</x:v>
      </x:c>
      <x:c r="G54" s="26" t="str">
        <x:v>P0</x:v>
      </x:c>
      <x:c r="H54" s="26" t="str">
        <x:v>Research after capture</x:v>
      </x:c>
      <x:c r="I54" s="26" t="str">
        <x:v>Research</x:v>
      </x:c>
      <x:c r="J54" s="26" t="str">
        <x:v>3–8 hr</x:v>
      </x:c>
      <x:c r="K54" s="26" t="str">
        <x:v>Moves prototype status toward graded conclusion</x:v>
      </x:c>
      <x:c r="L54" s="26" t="str">
        <x:v>PHYS-DW24-02 through 04</x:v>
      </x:c>
      <x:c r="M54" s="26" t="str">
        <x:v>26.0029_DIRTWERX_comparison.xlsx</x:v>
      </x:c>
      <x:c r="N54" s="26" t="str">
        <x:v>A comparable submitted bike is evidence, not automatic authentication.</x:v>
      </x:c>
    </x:row>
    <x:row r="55" ht="68" customHeight="1">
      <x:c r="A55" s="26" t="str">
        <x:v>PHYS-GHP-01</x:v>
      </x:c>
      <x:c r="B55" s="26" t="str">
        <x:v>26.0022</x:v>
      </x:c>
      <x:c r="C55" s="26" t="str">
        <x:v>Greg Hill GHP Jersey</x:v>
      </x:c>
      <x:c r="D55" s="26" t="str">
        <x:v>Textile capture</x:v>
      </x:c>
      <x:c r="E55" s="26" t="str">
        <x:v>Photograph front, back, sleeves and interior</x:v>
      </x:c>
      <x:c r="F55" s="26" t="str">
        <x:v>Flat or supported garment, color/scale card, even light; photograph without stretching.</x:v>
      </x:c>
      <x:c r="G55" s="26" t="str">
        <x:v>P1</x:v>
      </x:c>
      <x:c r="H55" s="26" t="str">
        <x:v>Roadmapped</x:v>
      </x:c>
      <x:c r="I55" s="26" t="str">
        <x:v>Kyle / Lititz BMX</x:v>
      </x:c>
      <x:c r="J55" s="26" t="str">
        <x:v>20–30 min</x:v>
      </x:c>
      <x:c r="K55" s="26" t="str">
        <x:v>Establishes design, era clues and condition</x:v>
      </x:c>
      <x:c r="L55" s="26" t="str">
        <x:v>Common capture setup</x:v>
      </x:c>
      <x:c r="M55" s="26" t="str">
        <x:v>26.0022_GHP_jersey_&lt;view&gt;.jpg</x:v>
      </x:c>
      <x:c r="N55" s="26" t="str">
        <x:v>Do not wash or press for documentation.</x:v>
      </x:c>
    </x:row>
    <x:row r="56" ht="68" customHeight="1">
      <x:c r="A56" s="26" t="str">
        <x:v>PHYS-GHP-02</x:v>
      </x:c>
      <x:c r="B56" s="26" t="str">
        <x:v>26.0022</x:v>
      </x:c>
      <x:c r="C56" s="26" t="str">
        <x:v>Greg Hill GHP Jersey</x:v>
      </x:c>
      <x:c r="D56" s="26" t="str">
        <x:v>Labels/printing</x:v>
      </x:c>
      <x:c r="E56" s="26" t="str">
        <x:v>Capture tags, size, maker, care labels and print construction</x:v>
      </x:c>
      <x:c r="F56" s="26" t="str">
        <x:v>Macro images of every label, seam label, printed logo, sponsor and repair.</x:v>
      </x:c>
      <x:c r="G56" s="26" t="str">
        <x:v>P0</x:v>
      </x:c>
      <x:c r="H56" s="26" t="str">
        <x:v>Blocking</x:v>
      </x:c>
      <x:c r="I56" s="26" t="str">
        <x:v>Kyle / Lititz BMX</x:v>
      </x:c>
      <x:c r="J56" s="26" t="str">
        <x:v>15–25 min</x:v>
      </x:c>
      <x:c r="K56" s="26" t="str">
        <x:v>May date and identify team/production era</x:v>
      </x:c>
      <x:c r="L56" s="26" t="str">
        <x:v>PHYS-GHP-01</x:v>
      </x:c>
      <x:c r="M56" s="26" t="str">
        <x:v>26.0022_GHP_label_&lt;location&gt;.jpg</x:v>
      </x:c>
      <x:c r="N56" s="26" t="str">
        <x:v>Distinguish team jersey from replica or later commemorative item.</x:v>
      </x:c>
    </x:row>
    <x:row r="57" ht="68" customHeight="1">
      <x:c r="A57" s="26" t="str">
        <x:v>PHYS-GHP-03</x:v>
      </x:c>
      <x:c r="B57" s="26" t="str">
        <x:v>26.0022</x:v>
      </x:c>
      <x:c r="C57" s="26" t="str">
        <x:v>Greg Hill GHP Jersey</x:v>
      </x:c>
      <x:c r="D57" s="26" t="str">
        <x:v>Measurement/condition</x:v>
      </x:c>
      <x:c r="E57" s="26" t="str">
        <x:v>Record garment dimensions and condition</x:v>
      </x:c>
      <x:c r="F57" s="26" t="str">
        <x:v>Chest, length, sleeve, collar and condition map with damage/alteration photos.</x:v>
      </x:c>
      <x:c r="G57" s="26" t="str">
        <x:v>P2</x:v>
      </x:c>
      <x:c r="H57" s="26" t="str">
        <x:v>Roadmapped</x:v>
      </x:c>
      <x:c r="I57" s="26" t="str">
        <x:v>Kyle / Lititz BMX</x:v>
      </x:c>
      <x:c r="J57" s="26" t="str">
        <x:v>20–30 min</x:v>
      </x:c>
      <x:c r="K57" s="26" t="str">
        <x:v>Supports catalog comparison and preservation</x:v>
      </x:c>
      <x:c r="L57" s="26" t="str">
        <x:v>PHYS-GHP-01</x:v>
      </x:c>
      <x:c r="M57" s="26" t="str">
        <x:v>26.0022_GHP_jersey_condition.csv</x:v>
      </x:c>
      <x:c r="N57" s="26" t="str">
        <x:v>No wearer attribution should be inferred from size alone.</x:v>
      </x:c>
    </x:row>
    <x:row r="58" ht="68" customHeight="1">
      <x:c r="A58" s="26" t="str">
        <x:v>PHYS-GHP-04</x:v>
      </x:c>
      <x:c r="B58" s="26" t="str">
        <x:v>26.0022</x:v>
      </x:c>
      <x:c r="C58" s="26" t="str">
        <x:v>Greg Hill GHP Jersey</x:v>
      </x:c>
      <x:c r="D58" s="26" t="str">
        <x:v>Provenance</x:v>
      </x:c>
      <x:c r="E58" s="26" t="str">
        <x:v>Document Leary Locker and prior history</x:v>
      </x:c>
      <x:c r="F58" s="26" t="str">
        <x:v>Acquisition date, locker association, any photographs, statements or inventory records tying it to a rider/team period.</x:v>
      </x:c>
      <x:c r="G58" s="26" t="str">
        <x:v>P1</x:v>
      </x:c>
      <x:c r="H58" s="26" t="str">
        <x:v>Roadmapped</x:v>
      </x:c>
      <x:c r="I58" s="26" t="str">
        <x:v>Kyle / Lititz BMX</x:v>
      </x:c>
      <x:c r="J58" s="26" t="str">
        <x:v>30–60 min</x:v>
      </x:c>
      <x:c r="K58" s="26" t="str">
        <x:v>Clarifies relationship to Leary and GHP</x:v>
      </x:c>
      <x:c r="L58" s="26" t="str">
        <x:v>Personal records</x:v>
      </x:c>
      <x:c r="M58" s="26" t="str">
        <x:v>26.0022_GHP_jersey_provenance.pdf</x:v>
      </x:c>
      <x:c r="N58" s="26" t="str">
        <x:v>Team representation and personal wear are separate claims.</x:v>
      </x:c>
    </x:row>
    <x:row r="59" ht="68" customHeight="1">
      <x:c r="A59" s="26" t="str">
        <x:v>PHYS-GHP-05</x:v>
      </x:c>
      <x:c r="B59" s="26" t="str">
        <x:v>26.0045</x:v>
      </x:c>
      <x:c r="C59" s="26" t="str">
        <x:v>GHP Cruiser Bars with #15 Plate</x:v>
      </x:c>
      <x:c r="D59" s="26" t="str">
        <x:v>Component capture</x:v>
      </x:c>
      <x:c r="E59" s="26" t="str">
        <x:v>Photograph bars and plate separately and assembled</x:v>
      </x:c>
      <x:c r="F59" s="26" t="str">
        <x:v>All angles, clamps, bends, crossbar, plate front/reverse, fasteners and wear.</x:v>
      </x:c>
      <x:c r="G59" s="26" t="str">
        <x:v>P1</x:v>
      </x:c>
      <x:c r="H59" s="26" t="str">
        <x:v>Roadmapped</x:v>
      </x:c>
      <x:c r="I59" s="26" t="str">
        <x:v>Kyle / Lititz BMX</x:v>
      </x:c>
      <x:c r="J59" s="26" t="str">
        <x:v>25–35 min</x:v>
      </x:c>
      <x:c r="K59" s="26" t="str">
        <x:v>Establishes component identity and pairing</x:v>
      </x:c>
      <x:c r="L59" s="26" t="str">
        <x:v>Common capture setup</x:v>
      </x:c>
      <x:c r="M59" s="26" t="str">
        <x:v>26.0045_GHP_&lt;bars_or_plate&gt;_&lt;view&gt;.jpg</x:v>
      </x:c>
      <x:c r="N59" s="26" t="str">
        <x:v>Current pairing does not automatically prove period use together.</x:v>
      </x:c>
    </x:row>
    <x:row r="60" ht="68" customHeight="1">
      <x:c r="A60" s="26" t="str">
        <x:v>PHYS-GHP-06</x:v>
      </x:c>
      <x:c r="B60" s="26" t="str">
        <x:v>26.0045</x:v>
      </x:c>
      <x:c r="C60" s="26" t="str">
        <x:v>GHP Cruiser Bars with #15 Plate</x:v>
      </x:c>
      <x:c r="D60" s="26" t="str">
        <x:v>Markings/measurement</x:v>
      </x:c>
      <x:c r="E60" s="26" t="str">
        <x:v>Capture bar markings and full dimensions</x:v>
      </x:c>
      <x:c r="F60" s="26" t="str">
        <x:v>Maker marks, finish, width, rise, backsweep, upsweep, clamp diameter and crossbar dimensions.</x:v>
      </x:c>
      <x:c r="G60" s="26" t="str">
        <x:v>P0</x:v>
      </x:c>
      <x:c r="H60" s="26" t="str">
        <x:v>Blocking</x:v>
      </x:c>
      <x:c r="I60" s="26" t="str">
        <x:v>Kyle / Lititz BMX</x:v>
      </x:c>
      <x:c r="J60" s="26" t="str">
        <x:v>25–40 min</x:v>
      </x:c>
      <x:c r="K60" s="26" t="str">
        <x:v>Enables model/year comparison</x:v>
      </x:c>
      <x:c r="L60" s="26" t="str">
        <x:v>PHYS-GHP-05</x:v>
      </x:c>
      <x:c r="M60" s="26" t="str">
        <x:v>26.0045_GHP_bars_measurements.csv</x:v>
      </x:c>
      <x:c r="N60" s="26" t="str">
        <x:v>Photograph measurement placement.</x:v>
      </x:c>
    </x:row>
    <x:row r="61" ht="68" customHeight="1">
      <x:c r="A61" s="26" t="str">
        <x:v>PHYS-GHP-07</x:v>
      </x:c>
      <x:c r="B61" s="26" t="str">
        <x:v>26.0045</x:v>
      </x:c>
      <x:c r="C61" s="26" t="str">
        <x:v>GHP Cruiser Bars with #15 Plate</x:v>
      </x:c>
      <x:c r="D61" s="26" t="str">
        <x:v>Plate evidence</x:v>
      </x:c>
      <x:c r="E61" s="26" t="str">
        <x:v>Capture plate maker marks, number construction and reverse</x:v>
      </x:c>
      <x:c r="F61" s="26" t="str">
        <x:v>Straight-on front/reverse, edge, decals, attachment points and wear.</x:v>
      </x:c>
      <x:c r="G61" s="26" t="str">
        <x:v>P1</x:v>
      </x:c>
      <x:c r="H61" s="26" t="str">
        <x:v>Roadmapped</x:v>
      </x:c>
      <x:c r="I61" s="26" t="str">
        <x:v>Kyle / Lititz BMX</x:v>
      </x:c>
      <x:c r="J61" s="26" t="str">
        <x:v>10–20 min</x:v>
      </x:c>
      <x:c r="K61" s="26" t="str">
        <x:v>May identify class, rider or era</x:v>
      </x:c>
      <x:c r="L61" s="26" t="str">
        <x:v>PHYS-GHP-05</x:v>
      </x:c>
      <x:c r="M61" s="26" t="str">
        <x:v>26.0045_GHP_plate_&lt;view&gt;.jpg</x:v>
      </x:c>
      <x:c r="N61" s="26" t="str">
        <x:v>Do not assign rider #15 without corroboration.</x:v>
      </x:c>
    </x:row>
    <x:row r="62" ht="70" customHeight="1">
      <x:c r="A62" s="26" t="str">
        <x:v>PHYS-GT-ASHOW-01</x:v>
      </x:c>
      <x:c r="B62" s="26" t="str">
        <x:v>26.0020</x:v>
      </x:c>
      <x:c r="C62" s="26" t="str">
        <x:v>Todd Huffman GT Air Show jacket</x:v>
      </x:c>
      <x:c r="D62" s="26" t="str">
        <x:v>Textile capture</x:v>
      </x:c>
      <x:c r="E62" s="26" t="str">
        <x:v>Photograph front, back, sleeves, collar and interior</x:v>
      </x:c>
      <x:c r="F62" s="26" t="str">
        <x:v>Supported garment; neutral background; scale/color card; even light; no washing or pressing.</x:v>
      </x:c>
      <x:c r="G62" s="26" t="str">
        <x:v>P0</x:v>
      </x:c>
      <x:c r="H62" s="26" t="str">
        <x:v>Roadmapped</x:v>
      </x:c>
      <x:c r="I62" s="26" t="str">
        <x:v>Kyle / Lititz BMX</x:v>
      </x:c>
      <x:c r="J62" s="26" t="str">
        <x:v>20–30 min</x:v>
      </x:c>
      <x:c r="K62" s="26" t="str">
        <x:v>Dates and identifies Air Show apparel context</x:v>
      </x:c>
      <x:c r="L62" s="26" t="str">
        <x:v>Common capture setup</x:v>
      </x:c>
      <x:c r="M62" s="26" t="str">
        <x:v>26.0020_GT_Air_Show_jacket_&lt;view&gt;.jpg</x:v>
      </x:c>
      <x:c r="N62" s="26" t="str">
        <x:v>Separate branding evidence from wearer/use claims.</x:v>
      </x:c>
    </x:row>
    <x:row r="63" ht="70" customHeight="1">
      <x:c r="A63" s="26" t="str">
        <x:v>PHYS-GT-ASHOW-02</x:v>
      </x:c>
      <x:c r="B63" s="26" t="str">
        <x:v>26.0020</x:v>
      </x:c>
      <x:c r="C63" s="26" t="str">
        <x:v>Todd Huffman GT Air Show jacket</x:v>
      </x:c>
      <x:c r="D63" s="26" t="str">
        <x:v>Labels and construction</x:v>
      </x:c>
      <x:c r="E63" s="26" t="str">
        <x:v>Capture every maker, size, care, union, embroidery and sponsor label</x:v>
      </x:c>
      <x:c r="F63" s="26" t="str">
        <x:v>Macro plus contextual images; record zipper/buttons, lining and alterations.</x:v>
      </x:c>
      <x:c r="G63" s="26" t="str">
        <x:v>P0</x:v>
      </x:c>
      <x:c r="H63" s="26" t="str">
        <x:v>Blocking</x:v>
      </x:c>
      <x:c r="I63" s="26" t="str">
        <x:v>Kyle / Lititz BMX</x:v>
      </x:c>
      <x:c r="J63" s="26" t="str">
        <x:v>20–30 min</x:v>
      </x:c>
      <x:c r="K63" s="26" t="str">
        <x:v>May identify manufacturer and production era</x:v>
      </x:c>
      <x:c r="L63" s="26" t="str">
        <x:v>PHYS-GT-ASHOW-01</x:v>
      </x:c>
      <x:c r="M63" s="26" t="str">
        <x:v>26.0020_GT_Air_Show_label_&lt;location&gt;.jpg</x:v>
      </x:c>
      <x:c r="N63" s="26" t="str">
        <x:v>Do not infer issue status from branding alone.</x:v>
      </x:c>
    </x:row>
    <x:row r="64" ht="70" customHeight="1">
      <x:c r="A64" s="26" t="str">
        <x:v>PHYS-GT-ASHOW-03</x:v>
      </x:c>
      <x:c r="B64" s="26" t="str">
        <x:v>26.0020</x:v>
      </x:c>
      <x:c r="C64" s="26" t="str">
        <x:v>Todd Huffman GT Air Show jacket</x:v>
      </x:c>
      <x:c r="D64" s="26" t="str">
        <x:v>Provenance</x:v>
      </x:c>
      <x:c r="E64" s="26" t="str">
        <x:v>Assemble Todd Huffman acquisition/use record</x:v>
      </x:c>
      <x:c r="F64" s="26" t="str">
        <x:v>Record source, transfer date, first-person statement, photographs and any event/employee context.</x:v>
      </x:c>
      <x:c r="G64" s="26" t="str">
        <x:v>P0</x:v>
      </x:c>
      <x:c r="H64" s="26" t="str">
        <x:v>Blocking</x:v>
      </x:c>
      <x:c r="I64" s="26" t="str">
        <x:v>Kyle / Lititz BMX</x:v>
      </x:c>
      <x:c r="J64" s="26" t="str">
        <x:v>1–2 hr</x:v>
      </x:c>
      <x:c r="K64" s="26" t="str">
        <x:v>Controls wearer, issue and event-use claims</x:v>
      </x:c>
      <x:c r="L64" s="26" t="str">
        <x:v>Personal records/contact</x:v>
      </x:c>
      <x:c r="M64" s="26" t="str">
        <x:v>26.0020_GT_Air_Show_provenance.pdf</x:v>
      </x:c>
      <x:c r="N64" s="26" t="str">
        <x:v>Preserve exact wording and separate recollection from documents.</x:v>
      </x:c>
    </x:row>
    <x:row r="65" ht="70" customHeight="1">
      <x:c r="A65" s="26" t="str">
        <x:v>PHYS-GT-ASHOW-04</x:v>
      </x:c>
      <x:c r="B65" s="26" t="str">
        <x:v>26.0020</x:v>
      </x:c>
      <x:c r="C65" s="26" t="str">
        <x:v>Todd Huffman GT Air Show jacket</x:v>
      </x:c>
      <x:c r="D65" s="26" t="str">
        <x:v>Comparison</x:v>
      </x:c>
      <x:c r="E65" s="26" t="str">
        <x:v>Compare jacket to period Air Show images and catalogs</x:v>
      </x:c>
      <x:c r="F65" s="26" t="str">
        <x:v>Log logo placement, colors, manufacturer, cut, sponsors and dates; record matches and mismatches.</x:v>
      </x:c>
      <x:c r="G65" s="26" t="str">
        <x:v>P1</x:v>
      </x:c>
      <x:c r="H65" s="26" t="str">
        <x:v>Research after capture</x:v>
      </x:c>
      <x:c r="I65" s="26" t="str">
        <x:v>Research</x:v>
      </x:c>
      <x:c r="J65" s="26" t="str">
        <x:v>2–5 hr</x:v>
      </x:c>
      <x:c r="K65" s="26" t="str">
        <x:v>Could narrow date/program role</x:v>
      </x:c>
      <x:c r="L65" s="26" t="str">
        <x:v>PHYS-GT-ASHOW-01 through 03</x:v>
      </x:c>
      <x:c r="M65" s="26" t="str">
        <x:v>26.0020_GT_Air_Show_comparison.xlsx</x:v>
      </x:c>
      <x:c r="N65" s="26" t="str">
        <x:v>No match-by-color alone.</x:v>
      </x:c>
    </x:row>
    <x:row r="66" ht="70" customHeight="1">
      <x:c r="A66" s="26" t="str">
        <x:v>PHYS-GT-LANYARD-01</x:v>
      </x:c>
      <x:c r="B66" s="26" t="str">
        <x:v>26.0040</x:v>
      </x:c>
      <x:c r="C66" s="26" t="str">
        <x:v>Harry Leary GT lanyard</x:v>
      </x:c>
      <x:c r="D66" s="26" t="str">
        <x:v>Object capture</x:v>
      </x:c>
      <x:c r="E66" s="26" t="str">
        <x:v>Photograph both sides, full length, hardware and attachment points</x:v>
      </x:c>
      <x:c r="F66" s="26" t="str">
        <x:v>Neutral background, scale, color reference and macro details.</x:v>
      </x:c>
      <x:c r="G66" s="26" t="str">
        <x:v>P0</x:v>
      </x:c>
      <x:c r="H66" s="26" t="str">
        <x:v>Roadmapped</x:v>
      </x:c>
      <x:c r="I66" s="26" t="str">
        <x:v>Kyle / Lititz BMX</x:v>
      </x:c>
      <x:c r="J66" s="26" t="str">
        <x:v>15–20 min</x:v>
      </x:c>
      <x:c r="K66" s="26" t="str">
        <x:v>May expose event text, sponsor and date clues</x:v>
      </x:c>
      <x:c r="L66" s="26" t="str">
        <x:v>Common capture setup</x:v>
      </x:c>
      <x:c r="M66" s="26" t="str">
        <x:v>26.0040_Harry_Leary_GT_lanyard_&lt;view&gt;.jpg</x:v>
      </x:c>
      <x:c r="N66" s="26" t="str">
        <x:v>Capture any attached badge separately.</x:v>
      </x:c>
    </x:row>
    <x:row r="67" ht="70" customHeight="1">
      <x:c r="A67" s="26" t="str">
        <x:v>PHYS-GT-LANYARD-02</x:v>
      </x:c>
      <x:c r="B67" s="26" t="str">
        <x:v>26.0040</x:v>
      </x:c>
      <x:c r="C67" s="26" t="str">
        <x:v>Harry Leary GT lanyard</x:v>
      </x:c>
      <x:c r="D67" s="26" t="str">
        <x:v>Markings/transcription</x:v>
      </x:c>
      <x:c r="E67" s="26" t="str">
        <x:v>Capture and transcribe every word, logo and manufacturer mark</x:v>
      </x:c>
      <x:c r="F67" s="26" t="str">
        <x:v>Straight-on macro images; exact transcription before interpretation.</x:v>
      </x:c>
      <x:c r="G67" s="26" t="str">
        <x:v>P0</x:v>
      </x:c>
      <x:c r="H67" s="26" t="str">
        <x:v>Blocking</x:v>
      </x:c>
      <x:c r="I67" s="26" t="str">
        <x:v>Kyle / Lititz BMX</x:v>
      </x:c>
      <x:c r="J67" s="26" t="str">
        <x:v>10–20 min</x:v>
      </x:c>
      <x:c r="K67" s="26" t="str">
        <x:v>Controls event/relationship search</x:v>
      </x:c>
      <x:c r="L67" s="26" t="str">
        <x:v>PHYS-GT-LANYARD-01</x:v>
      </x:c>
      <x:c r="M67" s="26" t="str">
        <x:v>26.0040_GT_lanyard_transcription.txt</x:v>
      </x:c>
      <x:c r="N67" s="26" t="str">
        <x:v>Do not silently normalize brand/event spelling.</x:v>
      </x:c>
    </x:row>
    <x:row r="68" ht="70" customHeight="1">
      <x:c r="A68" s="26" t="str">
        <x:v>PHYS-GT-LANYARD-03</x:v>
      </x:c>
      <x:c r="B68" s="26" t="str">
        <x:v>26.0040</x:v>
      </x:c>
      <x:c r="C68" s="26" t="str">
        <x:v>Harry Leary GT lanyard</x:v>
      </x:c>
      <x:c r="D68" s="26" t="str">
        <x:v>Provenance</x:v>
      </x:c>
      <x:c r="E68" s="26" t="str">
        <x:v>Document source and Leary connection</x:v>
      </x:c>
      <x:c r="F68" s="26" t="str">
        <x:v>Record locker/source, acquisition date, accompanying objects and statements.</x:v>
      </x:c>
      <x:c r="G68" s="26" t="str">
        <x:v>P1</x:v>
      </x:c>
      <x:c r="H68" s="26" t="str">
        <x:v>Roadmapped</x:v>
      </x:c>
      <x:c r="I68" s="26" t="str">
        <x:v>Kyle / Lititz BMX</x:v>
      </x:c>
      <x:c r="J68" s="26" t="str">
        <x:v>30–60 min</x:v>
      </x:c>
      <x:c r="K68" s="26" t="str">
        <x:v>Supports personal association</x:v>
      </x:c>
      <x:c r="L68" s="26" t="str">
        <x:v>Personal records</x:v>
      </x:c>
      <x:c r="M68" s="26" t="str">
        <x:v>26.0040_GT_lanyard_provenance.pdf</x:v>
      </x:c>
      <x:c r="N68" s="26" t="str">
        <x:v>A GT logo alone does not prove sponsorship.</x:v>
      </x:c>
    </x:row>
    <x:row r="69" ht="70" customHeight="1">
      <x:c r="A69" s="26" t="str">
        <x:v>PHYS-GT-LANYARD-04</x:v>
      </x:c>
      <x:c r="B69" s="26" t="str">
        <x:v>26.0040</x:v>
      </x:c>
      <x:c r="C69" s="26" t="str">
        <x:v>Harry Leary GT lanyard</x:v>
      </x:c>
      <x:c r="D69" s="26" t="str">
        <x:v>Event match</x:v>
      </x:c>
      <x:c r="E69" s="26" t="str">
        <x:v>Search event/trade-show/race credentials after transcription</x:v>
      </x:c>
      <x:c r="F69" s="26" t="str">
        <x:v>Compare exact wording, color and hardware with public event images/programs.</x:v>
      </x:c>
      <x:c r="G69" s="26" t="str">
        <x:v>P1</x:v>
      </x:c>
      <x:c r="H69" s="26" t="str">
        <x:v>Research after capture</x:v>
      </x:c>
      <x:c r="I69" s="26" t="str">
        <x:v>Research</x:v>
      </x:c>
      <x:c r="J69" s="26" t="str">
        <x:v>1–4 hr</x:v>
      </x:c>
      <x:c r="K69" s="26" t="str">
        <x:v>May identify date and context</x:v>
      </x:c>
      <x:c r="L69" s="26" t="str">
        <x:v>PHYS-GT-LANYARD-02</x:v>
      </x:c>
      <x:c r="M69" s="26" t="str">
        <x:v>26.0040_GT_lanyard_event_match.xlsx</x:v>
      </x:c>
      <x:c r="N69" s="26" t="str">
        <x:v>Record negative searches as unresolved, not absence.</x:v>
      </x:c>
    </x:row>
    <x:row r="70" ht="70" customHeight="1">
      <x:c r="A70" s="26" t="str">
        <x:v>PHYS-AUB-JERSEY-01</x:v>
      </x:c>
      <x:c r="B70" s="26" t="str">
        <x:v>26.0085</x:v>
      </x:c>
      <x:c r="C70" s="26" t="str">
        <x:v>Auburn racing jersey</x:v>
      </x:c>
      <x:c r="D70" s="26" t="str">
        <x:v>Textile capture</x:v>
      </x:c>
      <x:c r="E70" s="26" t="str">
        <x:v>Photograph front, back, sleeves, collar and interior</x:v>
      </x:c>
      <x:c r="F70" s="26" t="str">
        <x:v>Support garment flat or on archival form; neutral background; color/scale card; no washing or pressing.</x:v>
      </x:c>
      <x:c r="G70" s="26" t="str">
        <x:v>P0</x:v>
      </x:c>
      <x:c r="H70" s="26" t="str">
        <x:v>Roadmapped</x:v>
      </x:c>
      <x:c r="I70" s="26" t="str">
        <x:v>Kyle / Lititz BMX</x:v>
      </x:c>
      <x:c r="J70" s="26" t="str">
        <x:v>20–30 min</x:v>
      </x:c>
      <x:c r="K70" s="26" t="str">
        <x:v>Establishes design, logos, colors and condition</x:v>
      </x:c>
      <x:c r="L70" s="26" t="str">
        <x:v>Common capture setup</x:v>
      </x:c>
      <x:c r="M70" s="26" t="str">
        <x:v>26.0085_Auburn_jersey_&lt;view&gt;.jpg</x:v>
      </x:c>
      <x:c r="N70" s="26" t="str">
        <x:v>Treat jersey identity, team issue and personal wear as separate claims.</x:v>
      </x:c>
    </x:row>
    <x:row r="71" ht="70" customHeight="1">
      <x:c r="A71" s="26" t="str">
        <x:v>PHYS-AUB-JERSEY-02</x:v>
      </x:c>
      <x:c r="B71" s="26" t="str">
        <x:v>26.0085</x:v>
      </x:c>
      <x:c r="C71" s="26" t="str">
        <x:v>Auburn racing jersey</x:v>
      </x:c>
      <x:c r="D71" s="26" t="str">
        <x:v>Labels and construction</x:v>
      </x:c>
      <x:c r="E71" s="26" t="str">
        <x:v>Capture manufacturer, size, care, fabric, printing, embroidery, seams and repairs</x:v>
      </x:c>
      <x:c r="F71" s="26" t="str">
        <x:v>Macro plus contextual images of every label and sponsor/logo.</x:v>
      </x:c>
      <x:c r="G71" s="26" t="str">
        <x:v>P0</x:v>
      </x:c>
      <x:c r="H71" s="26" t="str">
        <x:v>Blocking</x:v>
      </x:c>
      <x:c r="I71" s="26" t="str">
        <x:v>Kyle / Lititz BMX</x:v>
      </x:c>
      <x:c r="J71" s="26" t="str">
        <x:v>20–30 min</x:v>
      </x:c>
      <x:c r="K71" s="26" t="str">
        <x:v>May identify production period and supplier</x:v>
      </x:c>
      <x:c r="L71" s="26" t="str">
        <x:v>PHYS-AUB-JERSEY-01</x:v>
      </x:c>
      <x:c r="M71" s="26" t="str">
        <x:v>26.0085_Auburn_label_&lt;location&gt;.jpg</x:v>
      </x:c>
      <x:c r="N71" s="26" t="str">
        <x:v>Do not infer wearer from size.</x:v>
      </x:c>
    </x:row>
    <x:row r="72" ht="70" customHeight="1">
      <x:c r="A72" s="26" t="str">
        <x:v>PHYS-AUB-JERSEY-03</x:v>
      </x:c>
      <x:c r="B72" s="26" t="str">
        <x:v>26.0085</x:v>
      </x:c>
      <x:c r="C72" s="26" t="str">
        <x:v>Auburn racing jersey</x:v>
      </x:c>
      <x:c r="D72" s="26" t="str">
        <x:v>Provenance</x:v>
      </x:c>
      <x:c r="E72" s="26" t="str">
        <x:v>Document acquisition and prior history</x:v>
      </x:c>
      <x:c r="F72" s="26" t="str">
        <x:v>Record source, transfer date, any Leary/Todd Huffman/team relationship and accompanying statements or images.</x:v>
      </x:c>
      <x:c r="G72" s="26" t="str">
        <x:v>P0</x:v>
      </x:c>
      <x:c r="H72" s="26" t="str">
        <x:v>Blocking</x:v>
      </x:c>
      <x:c r="I72" s="26" t="str">
        <x:v>Kyle / Lititz BMX</x:v>
      </x:c>
      <x:c r="J72" s="26" t="str">
        <x:v>30–90 min</x:v>
      </x:c>
      <x:c r="K72" s="26" t="str">
        <x:v>Controls team/wearer attribution</x:v>
      </x:c>
      <x:c r="L72" s="26" t="str">
        <x:v>Personal records/contact</x:v>
      </x:c>
      <x:c r="M72" s="26" t="str">
        <x:v>26.0085_Auburn_jersey_provenance.pdf</x:v>
      </x:c>
      <x:c r="N72" s="26" t="str">
        <x:v>Preserve exact first-person wording.</x:v>
      </x:c>
    </x:row>
    <x:row r="73" ht="70" customHeight="1">
      <x:c r="A73" s="26" t="str">
        <x:v>PHYS-AUB-JERSEY-04</x:v>
      </x:c>
      <x:c r="B73" s="26" t="str">
        <x:v>26.0085</x:v>
      </x:c>
      <x:c r="C73" s="26" t="str">
        <x:v>Auburn racing jersey</x:v>
      </x:c>
      <x:c r="D73" s="26" t="str">
        <x:v>Period comparison</x:v>
      </x:c>
      <x:c r="E73" s="26" t="str">
        <x:v>Compare design against 1988–1994 Auburn ads and team photographs</x:v>
      </x:c>
      <x:c r="F73" s="26" t="str">
        <x:v>Log logo placement, font, colors, sponsors, collar/sleeve design and all mismatches.</x:v>
      </x:c>
      <x:c r="G73" s="26" t="str">
        <x:v>P1</x:v>
      </x:c>
      <x:c r="H73" s="26" t="str">
        <x:v>Research after capture</x:v>
      </x:c>
      <x:c r="I73" s="26" t="str">
        <x:v>Research</x:v>
      </x:c>
      <x:c r="J73" s="26" t="str">
        <x:v>2–5 hr</x:v>
      </x:c>
      <x:c r="K73" s="26" t="str">
        <x:v>May narrow year/team program</x:v>
      </x:c>
      <x:c r="L73" s="26" t="str">
        <x:v>PHYS-AUB-JERSEY-01 through 03</x:v>
      </x:c>
      <x:c r="M73" s="26" t="str">
        <x:v>26.0085_Auburn_jersey_comparison.xlsx</x:v>
      </x:c>
      <x:c r="N73" s="26" t="str">
        <x:v>Visual similarity alone does not identify a wearer.</x:v>
      </x:c>
    </x:row>
  </x:sheetData>
  <x:mergeCells>
    <x:mergeCell ref="A1:N1"/>
    <x:mergeCell ref="A2:N2"/>
  </x:mergeCells>
  <x:conditionalFormatting sqref="G5:G61">
    <x:cfRule type="expression" dxfId="41" priority="1">
      <x:formula>G5="P0"</x:formula>
    </x:cfRule>
  </x:conditionalFormatting>
  <x:conditionalFormatting sqref="H5:H61">
    <x:cfRule type="expression" dxfId="42" priority="2">
      <x:formula>H5="Complete"</x:formula>
    </x:cfRule>
  </x:conditionalFormatting>
  <x:dataValidations count="4">
    <x:dataValidation type="list" sqref="G5:G61">
      <x:formula1>"P0,P1,P2,P3"</x:formula1>
    </x:dataValidation>
    <x:dataValidation type="list" sqref="H5:H61">
      <x:formula1>"Ready,Roadmapped,Blocking,Research after capture,Partial capture,Complete,Deferred,Locked rule"</x:formula1>
    </x:dataValidation>
    <x:dataValidation type="list" sqref="G62:G69">
      <x:formula1>"P0,P1,P2,P3"</x:formula1>
    </x:dataValidation>
    <x:dataValidation type="list" sqref="H62:H69">
      <x:formula1>"Ready,Roadmapped,Blocking,Research after capture,Partial capture,Complete,Deferred,Locked rule"</x:formula1>
    </x:dataValidation>
  </x:dataValidations>
  <x:pageMargins left="0.7" right="0.7" top="0.75" bottom="0.75" header="0.3" footer="0.3"/>
  <x:tableParts count="1">
    <x:tablePart xmlns:r="http://schemas.openxmlformats.org/officeDocument/2006/relationships" r:id="R9206cea436e14821"/>
  </x:tableParts>
</x:worksheet>
</file>

<file path=xl/worksheets/sheet62.xml><?xml version="1.0" encoding="utf-8"?>
<x:worksheet xmlns:x="http://schemas.openxmlformats.org/spreadsheetml/2006/main">
  <x:sheetFormatPr defaultRowHeight="15"/>
  <x:cols>
    <x:col min="1" max="1" width="14" hidden="0" customWidth="1"/>
    <x:col min="2" max="2" width="48" hidden="0" customWidth="1"/>
    <x:col min="3" max="3" width="34" hidden="0" customWidth="1"/>
    <x:col min="4" max="4" width="42" hidden="0" customWidth="1"/>
    <x:col min="5" max="5" width="42" hidden="0" customWidth="1"/>
  </x:cols>
  <x:sheetData>
    <x:row r="1" ht="30" customHeight="1">
      <x:c r="A1" s="485" t="str">
        <x:v>Physical Capture Standard Operating Procedure</x:v>
      </x:c>
      <x:c r="B1" s="485"/>
      <x:c r="C1" s="485"/>
      <x:c r="D1" s="485"/>
      <x:c r="E1" s="485"/>
    </x:row>
    <x:row r="2" ht="30" customHeight="1">
      <x:c r="A2" s="490" t="str">
        <x:v>A consistent, low-intervention evidence method for bicycles, frames, trophies, textiles, documents and ephemera.</x:v>
      </x:c>
      <x:c r="B2" s="490"/>
      <x:c r="C2" s="490"/>
      <x:c r="D2" s="490"/>
      <x:c r="E2" s="490"/>
    </x:row>
    <x:row r="4">
      <x:c r="A4" s="495" t="str">
        <x:v>Step</x:v>
      </x:c>
      <x:c r="B4" s="495" t="str">
        <x:v>Rule</x:v>
      </x:c>
      <x:c r="C4" s="495" t="str">
        <x:v>Required Output</x:v>
      </x:c>
      <x:c r="D4" s="495" t="str">
        <x:v>Why It Matters</x:v>
      </x:c>
      <x:c r="E4" s="495" t="str">
        <x:v>Prohibited Shortcut</x:v>
      </x:c>
    </x:row>
    <x:row r="5" ht="54" customHeight="1">
      <x:c r="A5" s="26" t="str">
        <x:v>1. Identify</x:v>
      </x:c>
      <x:c r="B5" s="26" t="str">
        <x:v>Place artifact ID and date card in the first master frame.</x:v>
      </x:c>
      <x:c r="C5" s="26" t="str">
        <x:v>Master identification image</x:v>
      </x:c>
      <x:c r="D5" s="26" t="str">
        <x:v>Prevents later file/object confusion.</x:v>
      </x:c>
      <x:c r="E5" s="26" t="str">
        <x:v>Relying only on the filename.</x:v>
      </x:c>
    </x:row>
    <x:row r="6" ht="54" customHeight="1">
      <x:c r="A6" s="26" t="str">
        <x:v>2. Preserve state</x:v>
      </x:c>
      <x:c r="B6" s="26" t="str">
        <x:v>Photograph before cleaning, adjustment, removal or disassembly.</x:v>
      </x:c>
      <x:c r="C6" s="26" t="str">
        <x:v>Pre-handling condition image</x:v>
      </x:c>
      <x:c r="D6" s="26" t="str">
        <x:v>Preserves evidence of current state.</x:v>
      </x:c>
      <x:c r="E6" s="26" t="str">
        <x:v>Cleaning marks to make them easier to read.</x:v>
      </x:c>
    </x:row>
    <x:row r="7" ht="54" customHeight="1">
      <x:c r="A7" s="26" t="str">
        <x:v>3. Whole object</x:v>
      </x:c>
      <x:c r="B7" s="26" t="str">
        <x:v>Capture both sides, front, rear, top/underside and three-quarter views.</x:v>
      </x:c>
      <x:c r="C7" s="26" t="str">
        <x:v>Complete orientation set</x:v>
      </x:c>
      <x:c r="D7" s="26" t="str">
        <x:v>Documents condition and construction context.</x:v>
      </x:c>
      <x:c r="E7" s="26" t="str">
        <x:v>Only photographing the 'good side'.</x:v>
      </x:c>
    </x:row>
    <x:row r="8" ht="54" customHeight="1">
      <x:c r="A8" s="26" t="str">
        <x:v>4. Details</x:v>
      </x:c>
      <x:c r="B8" s="26" t="str">
        <x:v>Capture every serial, stamp, label, decal, repair, weld and damage area.</x:v>
      </x:c>
      <x:c r="C8" s="26" t="str">
        <x:v>Detail image set</x:v>
      </x:c>
      <x:c r="D8" s="26" t="str">
        <x:v>Supports identification and comparison.</x:v>
      </x:c>
      <x:c r="E8" s="26" t="str">
        <x:v>Cropping away surrounding location context.</x:v>
      </x:c>
    </x:row>
    <x:row r="9" ht="54" customHeight="1">
      <x:c r="A9" s="26" t="str">
        <x:v>5. Scale/color</x:v>
      </x:c>
      <x:c r="B9" s="26" t="str">
        <x:v>Include metric scale and neutral color reference in at least one image.</x:v>
      </x:c>
      <x:c r="C9" s="26" t="str">
        <x:v>Scale/color master</x:v>
      </x:c>
      <x:c r="D9" s="26" t="str">
        <x:v>Supports size and color interpretation.</x:v>
      </x:c>
      <x:c r="E9" s="26" t="str">
        <x:v>Using digitally added rulers or color patches.</x:v>
      </x:c>
    </x:row>
    <x:row r="10" ht="54" customHeight="1">
      <x:c r="A10" s="26" t="str">
        <x:v>6. Documents</x:v>
      </x:c>
      <x:c r="B10" s="26" t="str">
        <x:v>Export emails/invoices with headers and preserve original files.</x:v>
      </x:c>
      <x:c r="C10" s="26" t="str">
        <x:v>Document evidence packet</x:v>
      </x:c>
      <x:c r="D10" s="26" t="str">
        <x:v>Maintains provenance and dates.</x:v>
      </x:c>
      <x:c r="E10" s="26" t="str">
        <x:v>Copying only selected text into a note.</x:v>
      </x:c>
    </x:row>
    <x:row r="11" ht="54" customHeight="1">
      <x:c r="A11" s="26" t="str">
        <x:v>7. Transcription</x:v>
      </x:c>
      <x:c r="B11" s="26" t="str">
        <x:v>Transcribe exactly before interpreting.</x:v>
      </x:c>
      <x:c r="C11" s="26" t="str">
        <x:v>Verbatim transcription file</x:v>
      </x:c>
      <x:c r="D11" s="26" t="str">
        <x:v>Separates evidence from analysis.</x:v>
      </x:c>
      <x:c r="E11" s="26" t="str">
        <x:v>Correcting spelling or abbreviations silently.</x:v>
      </x:c>
    </x:row>
    <x:row r="12" ht="54" customHeight="1">
      <x:c r="A12" s="26" t="str">
        <x:v>8. Derivatives</x:v>
      </x:c>
      <x:c r="B12" s="26" t="str">
        <x:v>Label crops, contrast adjustments and high-pass images as derivatives.</x:v>
      </x:c>
      <x:c r="C12" s="26" t="str">
        <x:v>Derivative log</x:v>
      </x:c>
      <x:c r="D12" s="26" t="str">
        <x:v>Prevents enhanced images from masquerading as originals.</x:v>
      </x:c>
      <x:c r="E12" s="26" t="str">
        <x:v>Replacing the master with an edited version.</x:v>
      </x:c>
    </x:row>
    <x:row r="13" ht="54" customHeight="1">
      <x:c r="A13" s="26" t="str">
        <x:v>9. Hash/backup</x:v>
      </x:c>
      <x:c r="B13" s="26" t="str">
        <x:v>Create SHA-256 manifest and second preservation copy.</x:v>
      </x:c>
      <x:c r="C13" s="26" t="str">
        <x:v>Manifest and backup</x:v>
      </x:c>
      <x:c r="D13" s="26" t="str">
        <x:v>Protects integrity and loss.</x:v>
      </x:c>
      <x:c r="E13" s="26" t="str">
        <x:v>Keeping the only copy on a phone or desktop.</x:v>
      </x:c>
    </x:row>
    <x:row r="14" ht="54" customHeight="1">
      <x:c r="A14" s="26" t="str">
        <x:v>10. Public copy</x:v>
      </x:c>
      <x:c r="B14" s="26" t="str">
        <x:v>Redact personal addresses and contact information only in a derivative.</x:v>
      </x:c>
      <x:c r="C14" s="26" t="str">
        <x:v>Redacted public derivative</x:v>
      </x:c>
      <x:c r="D14" s="26" t="str">
        <x:v>Protects privacy while preserving original evidence.</x:v>
      </x:c>
      <x:c r="E14" s="26" t="str">
        <x:v>Altering or deleting the private master.</x:v>
      </x:c>
    </x:row>
  </x:sheetData>
  <x:mergeCells>
    <x:mergeCell ref="A1:E1"/>
    <x:mergeCell ref="A2:E2"/>
  </x:mergeCells>
  <x:pageMargins left="0.7" right="0.7" top="0.75" bottom="0.75" header="0.3" footer="0.3"/>
  <x:tableParts count="1">
    <x:tablePart xmlns:r="http://schemas.openxmlformats.org/officeDocument/2006/relationships" r:id="R78246b11a9b3479a"/>
  </x:tableParts>
</x:worksheet>
</file>

<file path=xl/worksheets/sheet63.xml><?xml version="1.0" encoding="utf-8"?>
<x:worksheet xmlns:x="http://schemas.openxmlformats.org/spreadsheetml/2006/main">
  <x:sheetFormatPr defaultRowHeight="15"/>
  <x:cols>
    <x:col min="1" max="1" width="22" hidden="0" customWidth="1"/>
    <x:col min="2" max="2" width="34" hidden="0" customWidth="1"/>
    <x:col min="3" max="3" width="38" hidden="0" customWidth="1"/>
    <x:col min="4" max="4" width="54" hidden="0" customWidth="1"/>
    <x:col min="5" max="5" width="48" hidden="0" customWidth="1"/>
    <x:col min="6" max="6" width="25" hidden="0" customWidth="1"/>
    <x:col min="7" max="7" width="38" hidden="0" customWidth="1"/>
    <x:col min="8" max="8" width="45" hidden="0" customWidth="1"/>
    <x:col min="9" max="9" width="30" hidden="0" customWidth="1"/>
    <x:col min="10" max="10" width="13" hidden="0" customWidth="1"/>
  </x:cols>
  <x:sheetData>
    <x:row r="1" ht="30" customHeight="1">
      <x:c r="A1" s="485" t="str">
        <x:v>v1.2 Research Continuation — DIRTWERX, GHP, JMC and GT/Dyno</x:v>
      </x:c>
      <x:c r="B1" s="485"/>
      <x:c r="C1" s="485"/>
      <x:c r="D1" s="485"/>
      <x:c r="E1" s="485"/>
      <x:c r="F1" s="485"/>
      <x:c r="G1" s="485"/>
      <x:c r="H1" s="485"/>
      <x:c r="I1" s="485"/>
      <x:c r="J1" s="485"/>
    </x:row>
    <x:row r="2" ht="30" customHeight="1">
      <x:c r="A2" s="490" t="str">
        <x:v>The hands-on evidence tasks are parked in the Physical Evidence Roadmap while this source and relationship work continues.</x:v>
      </x:c>
      <x:c r="B2" s="490"/>
      <x:c r="C2" s="490"/>
      <x:c r="D2" s="490"/>
      <x:c r="E2" s="490"/>
      <x:c r="F2" s="490"/>
      <x:c r="G2" s="490"/>
      <x:c r="H2" s="490"/>
      <x:c r="I2" s="490"/>
      <x:c r="J2" s="490"/>
    </x:row>
    <x:row r="4">
      <x:c r="A4" s="495" t="str">
        <x:v>Cluster</x:v>
      </x:c>
      <x:c r="B4" s="495" t="str">
        <x:v>Exact BMXMuseum IDs / Objects</x:v>
      </x:c>
      <x:c r="C4" s="495" t="str">
        <x:v>Lititz BMX Anchors</x:v>
      </x:c>
      <x:c r="D4" s="495" t="str">
        <x:v>Primary Evidence Recovered</x:v>
      </x:c>
      <x:c r="E4" s="495" t="str">
        <x:v>Current Assessment</x:v>
      </x:c>
      <x:c r="F4" s="495" t="str">
        <x:v>Confidence</x:v>
      </x:c>
      <x:c r="G4" s="495" t="str">
        <x:v>Main Gap</x:v>
      </x:c>
      <x:c r="H4" s="495" t="str">
        <x:v>Next Research Action</x:v>
      </x:c>
      <x:c r="I4" s="495" t="str">
        <x:v>Physical Workstream Link</x:v>
      </x:c>
      <x:c r="J4" s="495" t="str">
        <x:v>Scan Date</x:v>
      </x:c>
    </x:row>
    <x:row r="5" ht="92" customHeight="1">
      <x:c r="A5" s="26" t="str">
        <x:v>DIRTWERX</x:v>
      </x:c>
      <x:c r="B5" s="26" t="str">
        <x:v>No exact BMXMuseum bike ID recovered in the lawful Green-route pass.</x:v>
      </x:c>
      <x:c r="C5" s="26" t="str">
        <x:v>26.0047 PR12 prototype; 26.0029 24-inch cruiser prototype; Dottie letter/decal; Leary company history.</x:v>
      </x:c>
      <x:c r="D5" s="26" t="str">
        <x:v>Harry Leary’s first-person 2000 interview describes the post-Balance founding, 1996 start, name origin, race-driven strategy, product philosophy, small staff, Sycamore-based team and Greg Hill’s encouragement. USA BMX independently confirms Leary founded Dirtwerx in the late 1990s.</x:v>
      </x:c>
      <x:c r="E5" s="26" t="str">
        <x:v>Strong company-origin and philosophy layer; model chronology, manufacturing, serials and production totals remain open.</x:v>
      </x:c>
      <x:c r="F5" s="26" t="str">
        <x:v>HIGH for attributed first-person history / OPEN for product authentication</x:v>
      </x:c>
      <x:c r="G5" s="26" t="str">
        <x:v>Exact model list, PR12 meaning, 24-inch chronology, fabrication partners, catalogs and BMXMuseum records.</x:v>
      </x:c>
      <x:c r="H5" s="26" t="str">
        <x:v>Build model/serial/advertisement register; target Snap BMX September/October 1996 product evaluation and backlinks.</x:v>
      </x:c>
      <x:c r="I5" s="26" t="str">
        <x:v>PHYS-PR12 and PHYS-DW24 tasks</x:v>
      </x:c>
      <x:c r="J5" s="26" t="str">
        <x:v>2026-07-30</x:v>
      </x:c>
    </x:row>
    <x:row r="6" ht="92" customHeight="1">
      <x:c r="A6" s="26" t="str">
        <x:v>Greg Hill / GHP</x:v>
      </x:c>
      <x:c r="B6" s="26" t="str">
        <x:v>Exact bike record 121233; GHP gallery endpoint; title-only GHP leads remain in the master register.</x:v>
      </x:c>
      <x:c r="C6" s="26" t="str">
        <x:v>26.0022 GHP jersey; 26.0045 cruiser bars with #15 plate; Greg Hill interview archive.</x:v>
      </x:c>
      <x:c r="D6" s="26" t="str">
        <x:v>USA BMX’s GHP profile states the company applies more than 35 years of racing experience and multi-world-champion testing to race products. Harry Leary identifies Greg Hill as one of the friends who encouraged him to start Dirtwerx.</x:v>
      </x:c>
      <x:c r="E6" s="26" t="str">
        <x:v>Good brand/product positioning and DIRTWERX relationship; founding date, early model chronology and artifact-era identification remain incomplete.</x:v>
      </x:c>
      <x:c r="F6" s="26" t="str">
        <x:v>MEDIUM-HIGH</x:v>
      </x:c>
      <x:c r="G6" s="26" t="str">
        <x:v>Earliest GHP products and ownership chronology; exact year/model of 121233; jersey and bar model identification.</x:v>
      </x:c>
      <x:c r="H6" s="26" t="str">
        <x:v>Recover period GHP catalogs/ads, Greg Hill first-person history and exact BMXMuseum record metadata.</x:v>
      </x:c>
      <x:c r="I6" s="26" t="str">
        <x:v>PHYS-GHP tasks</x:v>
      </x:c>
      <x:c r="J6" s="26" t="str">
        <x:v>2026-07-30</x:v>
      </x:c>
    </x:row>
    <x:row r="7" ht="92" customHeight="1">
      <x:c r="A7" s="26" t="str">
        <x:v>JMC Racing</x:v>
      </x:c>
      <x:c r="B7" s="26" t="str">
        <x:v>Exact bike records 128885 (1984 JMC 24) and 119290 (1984 Darrell Young); brand gallery and multiple reference targets.</x:v>
      </x:c>
      <x:c r="C7" s="26" t="str">
        <x:v>Harry Leary career cluster; 2022 Team USA JMC/Darrell Young tribute; JMC ephemera and price-list records.</x:v>
      </x:c>
      <x:c r="D7" s="26" t="str">
        <x:v>JMC’s preserved first-person history identifies the 1975 shop team including Harry Leary. Its identification guide states XP prototype serials in 1976, JMC1 as the first production frame in March 1977 and JMC20 as the first long frame in April 1977.</x:v>
      </x:c>
      <x:c r="E7" s="26" t="str">
        <x:v>One of the strongest structured brand-history clusters; exact BMXMuseum reference recovery and period-page verification remain the next gain.</x:v>
      </x:c>
      <x:c r="F7" s="26" t="str">
        <x:v>HIGH for first-person chronology / MEDIUM-HIGH for individual submitted-bike interpretation</x:v>
      </x:c>
      <x:c r="G7" s="26" t="str">
        <x:v>Production-book access, exact reference IDs, period ad pages and signature-model comparisons.</x:v>
      </x:c>
      <x:c r="H7" s="26" t="str">
        <x:v>Continue exact-ID recovery and link JMC serial rules to submitted examples and Lititz Team USA/JMC materials.</x:v>
      </x:c>
      <x:c r="I7" s="26" t="str">
        <x:v>Future physical work: artifact-specific only</x:v>
      </x:c>
      <x:c r="J7" s="26" t="str">
        <x:v>2026-07-30</x:v>
      </x:c>
    </x:row>
    <x:row r="8" ht="92" customHeight="1">
      <x:c r="A8" s="26" t="str">
        <x:v>GT / Dyno</x:v>
      </x:c>
      <x:c r="B8" s="26" t="str">
        <x:v>BMXMuseum reference 7336 and prototype bike 72272 already registered; external backlinks expose Dyno records 57517, 14018, 99615, 41197 and 44038.</x:v>
      </x:c>
      <x:c r="C8" s="26" t="str">
        <x:v>26.0020 Todd Huffman GT Air Show jacket; 26.0040 Harry Leary GT lanyard; 26.0054 Felicia Stancil GT; GT/Dyno catalogs.</x:v>
      </x:c>
      <x:c r="D8" s="26" t="str">
        <x:v>GT’s official history places its first BMX frame in 1972 and highlights the 1981–1986 freestyle era. Bob Morales’s first-person company history states GT bought Dyno in 1985 and that he designed the first Dyno freestyle frame/fork and other GT/Dyno products.</x:v>
      </x:c>
      <x:c r="E8" s="26" t="str">
        <x:v>Strong company and acquisition chronology; submitted-bike identification remains model-specific and catalogs must control specifications.</x:v>
      </x:c>
      <x:c r="F8" s="26" t="str">
        <x:v>HIGH for official/first-person history / MEDIUM for external record interpretation</x:v>
      </x:c>
      <x:c r="G8" s="26" t="str">
        <x:v>Exact catalog reference IDs, prototype 72272 metadata, serial-guide reliability and Air Show/Dyno chronology.</x:v>
      </x:c>
      <x:c r="H8" s="26" t="str">
        <x:v>Replace weak catalog indexes with exact references; build Dyno model-year and GT corporate relationship maps.</x:v>
      </x:c>
      <x:c r="I8" s="26" t="str">
        <x:v>Felicia physical dossier already linked</x:v>
      </x:c>
      <x:c r="J8" s="26" t="str">
        <x:v>2026-07-30</x:v>
      </x:c>
    </x:row>
  </x:sheetData>
  <x:mergeCells>
    <x:mergeCell ref="A1:J1"/>
    <x:mergeCell ref="A2:J2"/>
  </x:mergeCells>
  <x:pageMargins left="0.7" right="0.7" top="0.75" bottom="0.75" header="0.3" footer="0.3"/>
  <x:tableParts count="1">
    <x:tablePart xmlns:r="http://schemas.openxmlformats.org/officeDocument/2006/relationships" r:id="R653eb8e0f8d4410c"/>
  </x:tableParts>
</x:worksheet>
</file>

<file path=xl/worksheets/sheet64.xml><?xml version="1.0" encoding="utf-8"?>
<x:worksheet xmlns:x="http://schemas.openxmlformats.org/spreadsheetml/2006/main">
  <x:sheetFormatPr defaultRowHeight="15"/>
  <x:cols>
    <x:col min="1" max="1" width="15" hidden="0" customWidth="1"/>
    <x:col min="2" max="2" width="20" hidden="0" customWidth="1"/>
    <x:col min="3" max="3" width="56" hidden="0" customWidth="1"/>
    <x:col min="4" max="4" width="18" hidden="0" customWidth="1"/>
    <x:col min="5" max="5" width="26" hidden="0" customWidth="1"/>
    <x:col min="6" max="6" width="48" hidden="0" customWidth="1"/>
    <x:col min="7" max="7" width="20" hidden="0" customWidth="1"/>
    <x:col min="8" max="8" width="25" hidden="0" customWidth="1"/>
    <x:col min="9" max="9" width="48" hidden="0" customWidth="1"/>
    <x:col min="10" max="10" width="42" hidden="0" customWidth="1"/>
    <x:col min="11" max="11" width="13" hidden="0" customWidth="1"/>
  </x:cols>
  <x:sheetData>
    <x:row r="1" ht="30" customHeight="1">
      <x:c r="A1" s="485" t="str">
        <x:v>v1.2 Research Findings — Nonphysical Continuation</x:v>
      </x:c>
      <x:c r="B1" s="485"/>
      <x:c r="C1" s="485"/>
      <x:c r="D1" s="485"/>
      <x:c r="E1" s="485"/>
      <x:c r="F1" s="485"/>
      <x:c r="G1" s="485"/>
      <x:c r="H1" s="485"/>
      <x:c r="I1" s="485"/>
      <x:c r="J1" s="485"/>
      <x:c r="K1" s="485"/>
    </x:row>
    <x:row r="2" ht="30" customHeight="1">
      <x:c r="A2" s="490" t="str">
        <x:v>These findings advance while the hands-on work remains on the roadmap. Every claim preserves its source class and limitation.</x:v>
      </x:c>
      <x:c r="B2" s="490"/>
      <x:c r="C2" s="490"/>
      <x:c r="D2" s="490"/>
      <x:c r="E2" s="490"/>
      <x:c r="F2" s="490"/>
      <x:c r="G2" s="490"/>
      <x:c r="H2" s="490"/>
      <x:c r="I2" s="490"/>
      <x:c r="J2" s="490"/>
      <x:c r="K2" s="490"/>
    </x:row>
    <x:row r="4">
      <x:c r="A4" s="495" t="str">
        <x:v>Finding ID</x:v>
      </x:c>
      <x:c r="B4" s="495" t="str">
        <x:v>Cluster</x:v>
      </x:c>
      <x:c r="C4" s="495" t="str">
        <x:v>Claim / Discovery</x:v>
      </x:c>
      <x:c r="D4" s="495" t="str">
        <x:v>Date / Period</x:v>
      </x:c>
      <x:c r="E4" s="495" t="str">
        <x:v>Source Class</x:v>
      </x:c>
      <x:c r="F4" s="495" t="str">
        <x:v>Source URL</x:v>
      </x:c>
      <x:c r="G4" s="495" t="str">
        <x:v>Evidence Grade</x:v>
      </x:c>
      <x:c r="H4" s="495" t="str">
        <x:v>Status</x:v>
      </x:c>
      <x:c r="I4" s="495" t="str">
        <x:v>Qualification</x:v>
      </x:c>
      <x:c r="J4" s="495" t="str">
        <x:v>Register Action</x:v>
      </x:c>
      <x:c r="K4" s="495" t="str">
        <x:v>Accessed</x:v>
      </x:c>
    </x:row>
    <x:row r="5" ht="82" customHeight="1">
      <x:c r="A5" s="26" t="str">
        <x:v>V12-F-001</x:v>
      </x:c>
      <x:c r="B5" s="26" t="str">
        <x:v>DIRTWERX</x:v>
      </x:c>
      <x:c r="C5" s="26" t="str">
        <x:v>Harry Leary said he started Dirtwerx after Balance failed and that the company basically began in 1996 after encouragement from family and Greg Hill.</x:v>
      </x:c>
      <x:c r="D5" s="26" t="str">
        <x:v>1996 / interview 2000</x:v>
      </x:c>
      <x:c r="E5" s="26" t="str">
        <x:v>First-person interview</x:v>
      </x:c>
      <x:c r="F5" s="26" t="str">
        <x:v>https://bmxultra.com/archive/prosection/interview/harryleary.htm</x:v>
      </x:c>
      <x:c r="G5" s="26" t="str">
        <x:v>V3</x:v>
      </x:c>
      <x:c r="H5" s="26" t="str">
        <x:v>ATTRIBUTED VERIFIED</x:v>
      </x:c>
      <x:c r="I5" s="26" t="str">
        <x:v>Other secondary chronologies sometimes use late 1995; first advertisement or company filing is needed to close the launch month.</x:v>
      </x:c>
      <x:c r="J5" s="26" t="str">
        <x:v>Use 1996 as Leary’s attributed start date; retain exact-month question.</x:v>
      </x:c>
      <x:c r="K5" s="26" t="str">
        <x:v>2026-07-30</x:v>
      </x:c>
    </x:row>
    <x:row r="6" ht="82" customHeight="1">
      <x:c r="A6" s="26" t="str">
        <x:v>V12-F-002</x:v>
      </x:c>
      <x:c r="B6" s="26" t="str">
        <x:v>DIRTWERX</x:v>
      </x:c>
      <x:c r="C6" s="26" t="str">
        <x:v>Leary explained that the name combined dirt riding with the motocross use of 'works'; Sergio of Smith, Smith &amp; Smith suggested making it one word.</x:v>
      </x:c>
      <x:c r="D6" s="26" t="str">
        <x:v>Interview 2000</x:v>
      </x:c>
      <x:c r="E6" s="26" t="str">
        <x:v>First-person interview</x:v>
      </x:c>
      <x:c r="F6" s="26" t="str">
        <x:v>https://bmxultra.com/archive/prosection/interview/harryleary.htm</x:v>
      </x:c>
      <x:c r="G6" s="26" t="str">
        <x:v>V3</x:v>
      </x:c>
      <x:c r="H6" s="26" t="str">
        <x:v>ATTRIBUTED VERIFIED</x:v>
      </x:c>
      <x:c r="I6" s="26" t="str">
        <x:v>This is a naming-origin recollection from the founder.</x:v>
      </x:c>
      <x:c r="J6" s="26" t="str">
        <x:v>Add company-name origin to brand history.</x:v>
      </x:c>
      <x:c r="K6" s="26" t="str">
        <x:v>2026-07-30</x:v>
      </x:c>
    </x:row>
    <x:row r="7" ht="82" customHeight="1">
      <x:c r="A7" s="26" t="str">
        <x:v>V12-F-003</x:v>
      </x:c>
      <x:c r="B7" s="26" t="str">
        <x:v>DIRTWERX</x:v>
      </x:c>
      <x:c r="C7" s="26" t="str">
        <x:v>Leary described Dirtwerx as race-driven and focused on ride characteristics, frames, forks and bars rather than simply minimizing weight.</x:v>
      </x:c>
      <x:c r="D7" s="26" t="str">
        <x:v>Circa 2000</x:v>
      </x:c>
      <x:c r="E7" s="26" t="str">
        <x:v>First-person interview</x:v>
      </x:c>
      <x:c r="F7" s="26" t="str">
        <x:v>https://bmxultra.com/archive/prosection/interview/harryleary.htm</x:v>
      </x:c>
      <x:c r="G7" s="26" t="str">
        <x:v>V3</x:v>
      </x:c>
      <x:c r="H7" s="26" t="str">
        <x:v>ATTRIBUTED VERIFIED</x:v>
      </x:c>
      <x:c r="I7" s="26" t="str">
        <x:v>Marketing language and product claims require period catalog or test corroboration for individual products.</x:v>
      </x:c>
      <x:c r="J7" s="26" t="str">
        <x:v>Create product-philosophy node; do not generalize specifications.</x:v>
      </x:c>
      <x:c r="K7" s="26" t="str">
        <x:v>2026-07-30</x:v>
      </x:c>
    </x:row>
    <x:row r="8" ht="82" customHeight="1">
      <x:c r="A8" s="26" t="str">
        <x:v>V12-F-004</x:v>
      </x:c>
      <x:c r="B8" s="26" t="str">
        <x:v>DIRTWERX</x:v>
      </x:c>
      <x:c r="C8" s="26" t="str">
        <x:v>Leary said the company had two employees and sold through Dan’s, bicycle shops and directly.</x:v>
      </x:c>
      <x:c r="D8" s="26" t="str">
        <x:v>2000</x:v>
      </x:c>
      <x:c r="E8" s="26" t="str">
        <x:v>First-person interview</x:v>
      </x:c>
      <x:c r="F8" s="26" t="str">
        <x:v>https://bmxultra.com/archive/prosection/interview/harryleary.htm</x:v>
      </x:c>
      <x:c r="G8" s="26" t="str">
        <x:v>V3</x:v>
      </x:c>
      <x:c r="H8" s="26" t="str">
        <x:v>ATTRIBUTED VERIFIED</x:v>
      </x:c>
      <x:c r="I8" s="26" t="str">
        <x:v>Snapshot of the company at interview date, not its entire history.</x:v>
      </x:c>
      <x:c r="J8" s="26" t="str">
        <x:v>Add dated operations snapshot.</x:v>
      </x:c>
      <x:c r="K8" s="26" t="str">
        <x:v>2026-07-30</x:v>
      </x:c>
    </x:row>
    <x:row r="9" ht="82" customHeight="1">
      <x:c r="A9" s="26" t="str">
        <x:v>V12-F-005</x:v>
      </x:c>
      <x:c r="B9" s="26" t="str">
        <x:v>DIRTWERX</x:v>
      </x:c>
      <x:c r="C9" s="26" t="str">
        <x:v>Leary described a team centered at Sycamore BMX in Simi Valley and named Joan and Tony Nigro as track operators.</x:v>
      </x:c>
      <x:c r="D9" s="26" t="str">
        <x:v>Circa 2000</x:v>
      </x:c>
      <x:c r="E9" s="26" t="str">
        <x:v>First-person interview</x:v>
      </x:c>
      <x:c r="F9" s="26" t="str">
        <x:v>https://bmxultra.com/archive/prosection/interview/harryleary.htm</x:v>
      </x:c>
      <x:c r="G9" s="26" t="str">
        <x:v>V3</x:v>
      </x:c>
      <x:c r="H9" s="26" t="str">
        <x:v>ATTRIBUTED VERIFIED</x:v>
      </x:c>
      <x:c r="I9" s="26" t="str">
        <x:v>Team roster and rider classes need a separate dated table; the wording is Leary’s own account.</x:v>
      </x:c>
      <x:c r="J9" s="26" t="str">
        <x:v>Create team/track relationship objects.</x:v>
      </x:c>
      <x:c r="K9" s="26" t="str">
        <x:v>2026-07-30</x:v>
      </x:c>
    </x:row>
    <x:row r="10" ht="82" customHeight="1">
      <x:c r="A10" s="26" t="str">
        <x:v>V12-F-006</x:v>
      </x:c>
      <x:c r="B10" s="26" t="str">
        <x:v>DIRTWERX</x:v>
      </x:c>
      <x:c r="C10" s="26" t="str">
        <x:v>USA BMX confirms Leary founded Dirtwerx in the late 1990s and later operated BMX tracks in Ontario, California, and Kingman, Arizona.</x:v>
      </x:c>
      <x:c r="D10" s="26" t="str">
        <x:v>Late 1990s onward</x:v>
      </x:c>
      <x:c r="E10" s="26" t="str">
        <x:v>Official sanctioning-body memorial</x:v>
      </x:c>
      <x:c r="F10" s="26" t="str">
        <x:v>https://www.usabmx.com/news-and-media/6/2024-09-10/The-Sport-of-BMX-loses-a-Legend-%3A%3A-HARRY-LEARY?id=2035</x:v>
      </x:c>
      <x:c r="G10" s="26" t="str">
        <x:v>V4</x:v>
      </x:c>
      <x:c r="H10" s="26" t="str">
        <x:v>VERIFIED AT SUMMARY LEVEL</x:v>
      </x:c>
      <x:c r="I10" s="26" t="str">
        <x:v>Track names and operating dates remain unresolved.</x:v>
      </x:c>
      <x:c r="J10" s="26" t="str">
        <x:v>Add official company/track summary and open track dossier.</x:v>
      </x:c>
      <x:c r="K10" s="26" t="str">
        <x:v>2026-07-30</x:v>
      </x:c>
    </x:row>
    <x:row r="11" ht="82" customHeight="1">
      <x:c r="A11" s="26" t="str">
        <x:v>V12-F-007</x:v>
      </x:c>
      <x:c r="B11" s="26" t="str">
        <x:v>GHP</x:v>
      </x:c>
      <x:c r="C11" s="26" t="str">
        <x:v>BMXMuseum exact record 121233 is categorized as GHP and publicly titled a Twenty Four racer; the year was not exposed in the recovered source.</x:v>
      </x:c>
      <x:c r="D11" s="26" t="str">
        <x:v>Unknown</x:v>
      </x:c>
      <x:c r="E11" s="26" t="str">
        <x:v>First-party social exact record</x:v>
      </x:c>
      <x:c r="F11" s="26" t="str">
        <x:v>https://www.bmxmuseum.com/bikes/ghp/121233</x:v>
      </x:c>
      <x:c r="G11" s="26" t="str">
        <x:v>A1 object identity</x:v>
      </x:c>
      <x:c r="H11" s="26" t="str">
        <x:v>EXACT OBJECT / METADATA PARTIAL</x:v>
      </x:c>
      <x:c r="I11" s="26" t="str">
        <x:v>Do not infer model year or factory configuration.</x:v>
      </x:c>
      <x:c r="J11" s="26" t="str">
        <x:v>Retain exact ID and prioritize metadata recovery.</x:v>
      </x:c>
      <x:c r="K11" s="26" t="str">
        <x:v>2026-07-30</x:v>
      </x:c>
    </x:row>
    <x:row r="12" ht="82" customHeight="1">
      <x:c r="A12" s="26" t="str">
        <x:v>V12-F-008</x:v>
      </x:c>
      <x:c r="B12" s="26" t="str">
        <x:v>GHP</x:v>
      </x:c>
      <x:c r="C12" s="26" t="str">
        <x:v>USA BMX described GHP in 2012 as applying more than 35 years of racing experience and testing by multi-world champions to high-performance race products.</x:v>
      </x:c>
      <x:c r="D12" s="26" t="str">
        <x:v>2012</x:v>
      </x:c>
      <x:c r="E12" s="26" t="str">
        <x:v>Official sanctioning-body brand profile</x:v>
      </x:c>
      <x:c r="F12" s="26" t="str">
        <x:v>https://www.usabmx.com/news-and-media/6/2012-04-26/Greg-Hill-Products?id=203</x:v>
      </x:c>
      <x:c r="G12" s="26" t="str">
        <x:v>V4</x:v>
      </x:c>
      <x:c r="H12" s="26" t="str">
        <x:v>VERIFIED AS PUBLISHED BRAND PROFILE</x:v>
      </x:c>
      <x:c r="I12" s="26" t="str">
        <x:v>This does not establish the company’s founding date or individual model specifications.</x:v>
      </x:c>
      <x:c r="J12" s="26" t="str">
        <x:v>Add dated brand-positioning record.</x:v>
      </x:c>
      <x:c r="K12" s="26" t="str">
        <x:v>2026-07-30</x:v>
      </x:c>
    </x:row>
    <x:row r="13" ht="82" customHeight="1">
      <x:c r="A13" s="26" t="str">
        <x:v>V12-F-009</x:v>
      </x:c>
      <x:c r="B13" s="26" t="str">
        <x:v>GHP / DIRTWERX</x:v>
      </x:c>
      <x:c r="C13" s="26" t="str">
        <x:v>Harry Leary named Greg Hill among the friends who encouraged him to begin Dirtwerx.</x:v>
      </x:c>
      <x:c r="D13" s="26" t="str">
        <x:v>1996 recollection / 2000 interview</x:v>
      </x:c>
      <x:c r="E13" s="26" t="str">
        <x:v>First-person interview</x:v>
      </x:c>
      <x:c r="F13" s="26" t="str">
        <x:v>https://bmxultra.com/archive/prosection/interview/harryleary.htm</x:v>
      </x:c>
      <x:c r="G13" s="26" t="str">
        <x:v>V3</x:v>
      </x:c>
      <x:c r="H13" s="26" t="str">
        <x:v>ATTRIBUTED VERIFIED</x:v>
      </x:c>
      <x:c r="I13" s="26" t="str">
        <x:v>The degree of Hill’s operational involvement remains open.</x:v>
      </x:c>
      <x:c r="J13" s="26" t="str">
        <x:v>Create person-to-company encouragement relationship; do not call Hill a founder.</x:v>
      </x:c>
      <x:c r="K13" s="26" t="str">
        <x:v>2026-07-30</x:v>
      </x:c>
    </x:row>
    <x:row r="14" ht="82" customHeight="1">
      <x:c r="A14" s="26" t="str">
        <x:v>V12-F-010</x:v>
      </x:c>
      <x:c r="B14" s="26" t="str">
        <x:v>JMC</x:v>
      </x:c>
      <x:c r="C14" s="26" t="str">
        <x:v>JMC’s first-person preserved history identifies a 1975 shop team including Harry Leary, John Begin, Ronnie West, Don Malone, Lisa Webb, Dennis Foster, Steve West, Clint Miller, Adam Cox, Greg Frechette and David Wilson.</x:v>
      </x:c>
      <x:c r="D14" s="26" t="str">
        <x:v>1975</x:v>
      </x:c>
      <x:c r="E14" s="26" t="str">
        <x:v>First-person company history</x:v>
      </x:c>
      <x:c r="F14" s="26" t="str">
        <x:v>https://jmcbmx.wordpress.com/about/</x:v>
      </x:c>
      <x:c r="G14" s="26" t="str">
        <x:v>V3</x:v>
      </x:c>
      <x:c r="H14" s="26" t="str">
        <x:v>ATTRIBUTED VERIFIED</x:v>
      </x:c>
      <x:c r="I14" s="26" t="str">
        <x:v>Roster should be corroborated with period team photographs, ads or race reports where available.</x:v>
      </x:c>
      <x:c r="J14" s="26" t="str">
        <x:v>Add 1975 team roster object.</x:v>
      </x:c>
      <x:c r="K14" s="26" t="str">
        <x:v>2026-07-30</x:v>
      </x:c>
    </x:row>
    <x:row r="15" ht="82" customHeight="1">
      <x:c r="A15" s="26" t="str">
        <x:v>V12-F-011</x:v>
      </x:c>
      <x:c r="B15" s="26" t="str">
        <x:v>JMC</x:v>
      </x:c>
      <x:c r="C15" s="26" t="str">
        <x:v>JMC’s identification guide says 1976 prototypes used XP serials, JMC1 was the first production frame in March 1977 and JMC20 the first production long frame in April 1977.</x:v>
      </x:c>
      <x:c r="D15" s="26" t="str">
        <x:v>1976–1977</x:v>
      </x:c>
      <x:c r="E15" s="26" t="str">
        <x:v>First-person/specialist company archive</x:v>
      </x:c>
      <x:c r="F15" s="26" t="str">
        <x:v>https://jmcbmx.wordpress.com/2010/02/02/how-to-id-a-jmc/</x:v>
      </x:c>
      <x:c r="G15" s="26" t="str">
        <x:v>V3</x:v>
      </x:c>
      <x:c r="H15" s="26" t="str">
        <x:v>ATTRIBUTED VERIFIED</x:v>
      </x:c>
      <x:c r="I15" s="26" t="str">
        <x:v>The guide itself notes some transition months remain to be determined.</x:v>
      </x:c>
      <x:c r="J15" s="26" t="str">
        <x:v>Add serial-rule object with unresolved-transition warnings.</x:v>
      </x:c>
      <x:c r="K15" s="26" t="str">
        <x:v>2026-07-30</x:v>
      </x:c>
    </x:row>
    <x:row r="16" ht="82" customHeight="1">
      <x:c r="A16" s="26" t="str">
        <x:v>V12-F-012</x:v>
      </x:c>
      <x:c r="B16" s="26" t="str">
        <x:v>JMC</x:v>
      </x:c>
      <x:c r="C16" s="26" t="str">
        <x:v>Exact BMXMuseum record 128885 is publicly identified as a 1984 JMC 24.</x:v>
      </x:c>
      <x:c r="D16" s="26" t="str">
        <x:v>1984 submitted year</x:v>
      </x:c>
      <x:c r="E16" s="26" t="str">
        <x:v>First-party social exact record</x:v>
      </x:c>
      <x:c r="F16" s="26" t="str">
        <x:v>https://www.bmxmuseum.com/bikes/jmc_racing/128885</x:v>
      </x:c>
      <x:c r="G16" s="26" t="str">
        <x:v>A1 object identity</x:v>
      </x:c>
      <x:c r="H16" s="26" t="str">
        <x:v>EXACT OBJECT</x:v>
      </x:c>
      <x:c r="I16" s="26" t="str">
        <x:v>Individual originality and factory component package remain unverified.</x:v>
      </x:c>
      <x:c r="J16" s="26" t="str">
        <x:v>Link to JMC 24 model chronology.</x:v>
      </x:c>
      <x:c r="K16" s="26" t="str">
        <x:v>2026-07-30</x:v>
      </x:c>
    </x:row>
    <x:row r="17" ht="82" customHeight="1">
      <x:c r="A17" s="26" t="str">
        <x:v>V12-F-013</x:v>
      </x:c>
      <x:c r="B17" s="26" t="str">
        <x:v>JMC</x:v>
      </x:c>
      <x:c r="C17" s="26" t="str">
        <x:v>Exact BMXMuseum record 119290 is publicly identified as a 1984 JMC Darrell Young.</x:v>
      </x:c>
      <x:c r="D17" s="26" t="str">
        <x:v>1984 submitted year</x:v>
      </x:c>
      <x:c r="E17" s="26" t="str">
        <x:v>First-party social exact record</x:v>
      </x:c>
      <x:c r="F17" s="26" t="str">
        <x:v>https://www.bmxmuseum.com/bikes/jmc_racing/119290</x:v>
      </x:c>
      <x:c r="G17" s="26" t="str">
        <x:v>A1 object identity</x:v>
      </x:c>
      <x:c r="H17" s="26" t="str">
        <x:v>EXACT OBJECT</x:v>
      </x:c>
      <x:c r="I17" s="26" t="str">
        <x:v>Chronological plausibility does not authenticate the individual bicycle.</x:v>
      </x:c>
      <x:c r="J17" s="26" t="str">
        <x:v>Link to Darrell Young chronology and period tests.</x:v>
      </x:c>
      <x:c r="K17" s="26" t="str">
        <x:v>2026-07-30</x:v>
      </x:c>
    </x:row>
    <x:row r="18" ht="82" customHeight="1">
      <x:c r="A18" s="26" t="str">
        <x:v>V12-F-014</x:v>
      </x:c>
      <x:c r="B18" s="26" t="str">
        <x:v>GT</x:v>
      </x:c>
      <x:c r="C18" s="26" t="str">
        <x:v>GT’s official history says Gary Turner created the first GT BMX frame in 1972 and describes rapid BMX growth from 1974–1980.</x:v>
      </x:c>
      <x:c r="D18" s="26" t="str">
        <x:v>1972–1980</x:v>
      </x:c>
      <x:c r="E18" s="26" t="str">
        <x:v>Current official company history</x:v>
      </x:c>
      <x:c r="F18" s="26" t="str">
        <x:v>https://gtbicycles.com/pages/about-us</x:v>
      </x:c>
      <x:c r="G18" s="26" t="str">
        <x:v>V4</x:v>
      </x:c>
      <x:c r="H18" s="26" t="str">
        <x:v>OFFICIAL HISTORY</x:v>
      </x:c>
      <x:c r="I18" s="26" t="str">
        <x:v>A current company timeline is a high-level chronology, not a complete production ledger.</x:v>
      </x:c>
      <x:c r="J18" s="26" t="str">
        <x:v>Add official company chronology node.</x:v>
      </x:c>
      <x:c r="K18" s="26" t="str">
        <x:v>2026-07-30</x:v>
      </x:c>
    </x:row>
    <x:row r="19" ht="82" customHeight="1">
      <x:c r="A19" s="26" t="str">
        <x:v>V12-F-015</x:v>
      </x:c>
      <x:c r="B19" s="26" t="str">
        <x:v>GT / Dyno</x:v>
      </x:c>
      <x:c r="C19" s="26" t="str">
        <x:v>Bob Morales’s first-person history says GT bought Dyno in 1985 because it was undercapitalized and that he designed the first Dyno freestyle frame/fork and other GT/Dyno products.</x:v>
      </x:c>
      <x:c r="D19" s="26" t="str">
        <x:v>1985</x:v>
      </x:c>
      <x:c r="E19" s="26" t="str">
        <x:v>Founder first-person history</x:v>
      </x:c>
      <x:c r="F19" s="26" t="str">
        <x:v>https://www.melonpeel.com/morales/history.htm</x:v>
      </x:c>
      <x:c r="G19" s="26" t="str">
        <x:v>V3</x:v>
      </x:c>
      <x:c r="H19" s="26" t="str">
        <x:v>ATTRIBUTED VERIFIED</x:v>
      </x:c>
      <x:c r="I19" s="26" t="str">
        <x:v>Precise product credits and prototype dates should be checked against drawings, catalogs and period coverage.</x:v>
      </x:c>
      <x:c r="J19" s="26" t="str">
        <x:v>Add acquisition/design relationship and preserve product-level verification needs.</x:v>
      </x:c>
      <x:c r="K19" s="26" t="str">
        <x:v>2026-07-30</x:v>
      </x:c>
    </x:row>
    <x:row r="20" ht="82" customHeight="1">
      <x:c r="A20" s="26" t="str">
        <x:v>V12-F-016</x:v>
      </x:c>
      <x:c r="B20" s="26" t="str">
        <x:v>Dyno</x:v>
      </x:c>
      <x:c r="C20" s="26" t="str">
        <x:v>External identification discussions expose exact BMXMuseum Dyno records 57517, 14018, 99615, 41197 and 44038.</x:v>
      </x:c>
      <x:c r="D20" s="26" t="str">
        <x:v>1990s submitted examples</x:v>
      </x:c>
      <x:c r="E20" s="26" t="str">
        <x:v>Public backlinks to exact records</x:v>
      </x:c>
      <x:c r="F20" s="26" t="str">
        <x:v>https://ratrodbikes.com/threads/gt-dyno-air-sold.69183/ | https://www.bttbike.com/mtb/344624-vfr-school-old-joyita-gt-dyno | https://bicycles.stackexchange.com/questions/95012/trying-to-find-the-exact-year-of-my-20-dyno-vfr/95016 | https://www.radbmx.co.uk/forum/index.php?topic=166614.0</x:v>
      </x:c>
      <x:c r="G20" s="26" t="str">
        <x:v>A2 backlink exact IDs</x:v>
      </x:c>
      <x:c r="H20" s="26" t="str">
        <x:v>EXACT IDs / CONTEXT VARIABLE</x:v>
      </x:c>
      <x:c r="I20" s="26" t="str">
        <x:v>These examples are useful for identification but do not establish universal model-year specifications.</x:v>
      </x:c>
      <x:c r="J20" s="26" t="str">
        <x:v>Add to exact-object queue with context labels.</x:v>
      </x:c>
      <x:c r="K20" s="26" t="str">
        <x:v>2026-07-30</x:v>
      </x:c>
    </x:row>
  </x:sheetData>
  <x:mergeCells>
    <x:mergeCell ref="A1:K1"/>
    <x:mergeCell ref="A2:K2"/>
  </x:mergeCells>
  <x:pageMargins left="0.7" right="0.7" top="0.75" bottom="0.75" header="0.3" footer="0.3"/>
  <x:tableParts count="1">
    <x:tablePart xmlns:r="http://schemas.openxmlformats.org/officeDocument/2006/relationships" r:id="R781d83f2705e476a"/>
  </x:tableParts>
</x:worksheet>
</file>

<file path=xl/worksheets/sheet65.xml><?xml version="1.0" encoding="utf-8"?>
<x:worksheet xmlns:x="http://schemas.openxmlformats.org/spreadsheetml/2006/main">
  <x:sheetFormatPr defaultRowHeight="15"/>
  <x:cols>
    <x:col min="1" max="1" width="15" hidden="0" customWidth="1"/>
    <x:col min="2" max="2" width="18" hidden="0" customWidth="1"/>
    <x:col min="3" max="3" width="18" hidden="0" customWidth="1"/>
    <x:col min="4" max="4" width="22" hidden="0" customWidth="1"/>
    <x:col min="5" max="5" width="34" hidden="0" customWidth="1"/>
    <x:col min="6" max="6" width="42" hidden="0" customWidth="1"/>
    <x:col min="7" max="7" width="20" hidden="0" customWidth="1"/>
    <x:col min="8" max="8" width="44" hidden="0" customWidth="1"/>
    <x:col min="9" max="9" width="52" hidden="0" customWidth="1"/>
    <x:col min="10" max="10" width="15" hidden="0" customWidth="1"/>
    <x:col min="11" max="11" width="24" hidden="0" customWidth="1"/>
  </x:cols>
  <x:sheetData>
    <x:row r="1" ht="30" customHeight="1">
      <x:c r="A1" s="485" t="str">
        <x:v>v1.2 BMXMuseum Objects and Recovery Targets</x:v>
      </x:c>
      <x:c r="B1" s="485"/>
      <x:c r="C1" s="485"/>
      <x:c r="D1" s="485"/>
      <x:c r="E1" s="485"/>
      <x:c r="F1" s="485"/>
      <x:c r="G1" s="485"/>
      <x:c r="H1" s="485"/>
      <x:c r="I1" s="485"/>
      <x:c r="J1" s="485"/>
      <x:c r="K1" s="485"/>
    </x:row>
    <x:row r="2" ht="30" customHeight="1">
      <x:c r="A2" s="490" t="str">
        <x:v>Exact IDs recovered through public first-party posts or outside backlinks are preserved even when direct page crawling remains blocked.</x:v>
      </x:c>
      <x:c r="B2" s="490"/>
      <x:c r="C2" s="490"/>
      <x:c r="D2" s="490"/>
      <x:c r="E2" s="490"/>
      <x:c r="F2" s="490"/>
      <x:c r="G2" s="490"/>
      <x:c r="H2" s="490"/>
      <x:c r="I2" s="490"/>
      <x:c r="J2" s="490"/>
      <x:c r="K2" s="490"/>
    </x:row>
    <x:row r="4">
      <x:c r="A4" s="495" t="str">
        <x:v>Object ID</x:v>
      </x:c>
      <x:c r="B4" s="495" t="str">
        <x:v>Cluster</x:v>
      </x:c>
      <x:c r="C4" s="495" t="str">
        <x:v>Object Type</x:v>
      </x:c>
      <x:c r="D4" s="495" t="str">
        <x:v>BMXMuseum ID / Path</x:v>
      </x:c>
      <x:c r="E4" s="495" t="str">
        <x:v>Public Identification</x:v>
      </x:c>
      <x:c r="F4" s="495" t="str">
        <x:v>Discovery Evidence</x:v>
      </x:c>
      <x:c r="G4" s="495" t="str">
        <x:v>Confidence</x:v>
      </x:c>
      <x:c r="H4" s="495" t="str">
        <x:v>Verification Need</x:v>
      </x:c>
      <x:c r="I4" s="495" t="str">
        <x:v>Canonical / Discovery URL</x:v>
      </x:c>
      <x:c r="J4" s="495" t="str">
        <x:v>Rights Code</x:v>
      </x:c>
      <x:c r="K4" s="495" t="str">
        <x:v>Status</x:v>
      </x:c>
    </x:row>
    <x:row r="5" ht="72" customHeight="1">
      <x:c r="A5" s="26" t="str">
        <x:v>V12-OBJ-001</x:v>
      </x:c>
      <x:c r="B5" s="26" t="str">
        <x:v>GHP</x:v>
      </x:c>
      <x:c r="C5" s="26" t="str">
        <x:v>BIKE</x:v>
      </x:c>
      <x:c r="D5" s="26" t="str">
        <x:v>121233</x:v>
      </x:c>
      <x:c r="E5" s="26" t="str">
        <x:v>GHP Twenty Four racer; year not exposed</x:v>
      </x:c>
      <x:c r="F5" s="26" t="str">
        <x:v>First-party BMXMuseum social link preserved in master register</x:v>
      </x:c>
      <x:c r="G5" s="26" t="str">
        <x:v>A1</x:v>
      </x:c>
      <x:c r="H5" s="26" t="str">
        <x:v>Recover submitted year, model wording and modification status</x:v>
      </x:c>
      <x:c r="I5" s="26" t="str">
        <x:v>https://www.bmxmuseum.com/bikes/ghp/121233</x:v>
      </x:c>
      <x:c r="J5" s="26" t="str">
        <x:v>INDEX-ONLY</x:v>
      </x:c>
      <x:c r="K5" s="26" t="str">
        <x:v>EXACT</x:v>
      </x:c>
    </x:row>
    <x:row r="6" ht="72" customHeight="1">
      <x:c r="A6" s="26" t="str">
        <x:v>V12-OBJ-002</x:v>
      </x:c>
      <x:c r="B6" s="26" t="str">
        <x:v>JMC</x:v>
      </x:c>
      <x:c r="C6" s="26" t="str">
        <x:v>BIKE</x:v>
      </x:c>
      <x:c r="D6" s="26" t="str">
        <x:v>128885</x:v>
      </x:c>
      <x:c r="E6" s="26" t="str">
        <x:v>1984 JMC 24</x:v>
      </x:c>
      <x:c r="F6" s="26" t="str">
        <x:v>First-party BMXMuseum social link</x:v>
      </x:c>
      <x:c r="G6" s="26" t="str">
        <x:v>A1</x:v>
      </x:c>
      <x:c r="H6" s="26" t="str">
        <x:v>Verify individual configuration against JMC production records</x:v>
      </x:c>
      <x:c r="I6" s="26" t="str">
        <x:v>https://www.bmxmuseum.com/bikes/jmc_racing/128885</x:v>
      </x:c>
      <x:c r="J6" s="26" t="str">
        <x:v>INDEX-ONLY</x:v>
      </x:c>
      <x:c r="K6" s="26" t="str">
        <x:v>EXACT</x:v>
      </x:c>
    </x:row>
    <x:row r="7" ht="72" customHeight="1">
      <x:c r="A7" s="26" t="str">
        <x:v>V12-OBJ-003</x:v>
      </x:c>
      <x:c r="B7" s="26" t="str">
        <x:v>JMC</x:v>
      </x:c>
      <x:c r="C7" s="26" t="str">
        <x:v>BIKE</x:v>
      </x:c>
      <x:c r="D7" s="26" t="str">
        <x:v>119290</x:v>
      </x:c>
      <x:c r="E7" s="26" t="str">
        <x:v>1984 JMC Darrell Young</x:v>
      </x:c>
      <x:c r="F7" s="26" t="str">
        <x:v>First-party BMXMuseum social link</x:v>
      </x:c>
      <x:c r="G7" s="26" t="str">
        <x:v>A1</x:v>
      </x:c>
      <x:c r="H7" s="26" t="str">
        <x:v>Verify serial, originality and exact model generation</x:v>
      </x:c>
      <x:c r="I7" s="26" t="str">
        <x:v>https://www.bmxmuseum.com/bikes/jmc_racing/119290</x:v>
      </x:c>
      <x:c r="J7" s="26" t="str">
        <x:v>INDEX-ONLY</x:v>
      </x:c>
      <x:c r="K7" s="26" t="str">
        <x:v>EXACT</x:v>
      </x:c>
    </x:row>
    <x:row r="8" ht="72" customHeight="1">
      <x:c r="A8" s="26" t="str">
        <x:v>V12-OBJ-004</x:v>
      </x:c>
      <x:c r="B8" s="26" t="str">
        <x:v>Dyno</x:v>
      </x:c>
      <x:c r="C8" s="26" t="str">
        <x:v>BIKE</x:v>
      </x:c>
      <x:c r="D8" s="26" t="str">
        <x:v>57517</x:v>
      </x:c>
      <x:c r="E8" s="26" t="str">
        <x:v>1997 Dyno Air comparison record</x:v>
      </x:c>
      <x:c r="F8" s="26" t="str">
        <x:v>Exact ID exposed in external discussion</x:v>
      </x:c>
      <x:c r="G8" s="26" t="str">
        <x:v>A2</x:v>
      </x:c>
      <x:c r="H8" s="26" t="str">
        <x:v>Recover submitted title and configuration directly with permission or public metadata</x:v>
      </x:c>
      <x:c r="I8" s="26" t="str">
        <x:v>https://www.bmxmuseum.com/bikes/dyno/57517</x:v>
      </x:c>
      <x:c r="J8" s="26" t="str">
        <x:v>INDEX-ONLY</x:v>
      </x:c>
      <x:c r="K8" s="26" t="str">
        <x:v>EXACT ID / CONTEXT PARTIAL</x:v>
      </x:c>
    </x:row>
    <x:row r="9" ht="72" customHeight="1">
      <x:c r="A9" s="26" t="str">
        <x:v>V12-OBJ-005</x:v>
      </x:c>
      <x:c r="B9" s="26" t="str">
        <x:v>Dyno</x:v>
      </x:c>
      <x:c r="C9" s="26" t="str">
        <x:v>BIKE</x:v>
      </x:c>
      <x:c r="D9" s="26" t="str">
        <x:v>14018</x:v>
      </x:c>
      <x:c r="E9" s="26" t="str">
        <x:v>1999 Dyno VFR comparison record</x:v>
      </x:c>
      <x:c r="F9" s="26" t="str">
        <x:v>Exact ID exposed in public gallery post</x:v>
      </x:c>
      <x:c r="G9" s="26" t="str">
        <x:v>A2</x:v>
      </x:c>
      <x:c r="H9" s="26" t="str">
        <x:v>Verify exact submitted model and year</x:v>
      </x:c>
      <x:c r="I9" s="26" t="str">
        <x:v>https://www.bmxmuseum.com/bikes/dyno/14018</x:v>
      </x:c>
      <x:c r="J9" s="26" t="str">
        <x:v>INDEX-ONLY</x:v>
      </x:c>
      <x:c r="K9" s="26" t="str">
        <x:v>EXACT ID / CONTEXT PARTIAL</x:v>
      </x:c>
    </x:row>
    <x:row r="10" ht="72" customHeight="1">
      <x:c r="A10" s="26" t="str">
        <x:v>V12-OBJ-006</x:v>
      </x:c>
      <x:c r="B10" s="26" t="str">
        <x:v>Dyno</x:v>
      </x:c>
      <x:c r="C10" s="26" t="str">
        <x:v>BIKE</x:v>
      </x:c>
      <x:c r="D10" s="26" t="str">
        <x:v>99615</x:v>
      </x:c>
      <x:c r="E10" s="26" t="str">
        <x:v>1998 Dyno VFR Afterburner</x:v>
      </x:c>
      <x:c r="F10" s="26" t="str">
        <x:v>Exact ID and title quoted in an identification answer</x:v>
      </x:c>
      <x:c r="G10" s="26" t="str">
        <x:v>A2</x:v>
      </x:c>
      <x:c r="H10" s="26" t="str">
        <x:v>Check modification/originality status</x:v>
      </x:c>
      <x:c r="I10" s="26" t="str">
        <x:v>https://www.bmxmuseum.com/bikes/dyno/99615</x:v>
      </x:c>
      <x:c r="J10" s="26" t="str">
        <x:v>INDEX-ONLY</x:v>
      </x:c>
      <x:c r="K10" s="26" t="str">
        <x:v>EXACT</x:v>
      </x:c>
    </x:row>
    <x:row r="11" ht="72" customHeight="1">
      <x:c r="A11" s="26" t="str">
        <x:v>V12-OBJ-007</x:v>
      </x:c>
      <x:c r="B11" s="26" t="str">
        <x:v>Dyno</x:v>
      </x:c>
      <x:c r="C11" s="26" t="str">
        <x:v>BIKE</x:v>
      </x:c>
      <x:c r="D11" s="26" t="str">
        <x:v>41197</x:v>
      </x:c>
      <x:c r="E11" s="26" t="str">
        <x:v>1998 Dyno Zone comparison</x:v>
      </x:c>
      <x:c r="F11" s="26" t="str">
        <x:v>Exact ID exposed in external forum</x:v>
      </x:c>
      <x:c r="G11" s="26" t="str">
        <x:v>A2</x:v>
      </x:c>
      <x:c r="H11" s="26" t="str">
        <x:v>Recover submitted month/model details</x:v>
      </x:c>
      <x:c r="I11" s="26" t="str">
        <x:v>https://www.bmxmuseum.com/bikes/dyno/41197</x:v>
      </x:c>
      <x:c r="J11" s="26" t="str">
        <x:v>INDEX-ONLY</x:v>
      </x:c>
      <x:c r="K11" s="26" t="str">
        <x:v>EXACT ID / CONTEXT PARTIAL</x:v>
      </x:c>
    </x:row>
    <x:row r="12" ht="72" customHeight="1">
      <x:c r="A12" s="26" t="str">
        <x:v>V12-OBJ-008</x:v>
      </x:c>
      <x:c r="B12" s="26" t="str">
        <x:v>Dyno</x:v>
      </x:c>
      <x:c r="C12" s="26" t="str">
        <x:v>BIKE</x:v>
      </x:c>
      <x:c r="D12" s="26" t="str">
        <x:v>44038</x:v>
      </x:c>
      <x:c r="E12" s="26" t="str">
        <x:v>1998 Dyno Zone comparison</x:v>
      </x:c>
      <x:c r="F12" s="26" t="str">
        <x:v>Exact ID exposed in external forum</x:v>
      </x:c>
      <x:c r="G12" s="26" t="str">
        <x:v>A2</x:v>
      </x:c>
      <x:c r="H12" s="26" t="str">
        <x:v>Compare to 41197 and catalog specifications</x:v>
      </x:c>
      <x:c r="I12" s="26" t="str">
        <x:v>https://www.bmxmuseum.com/bikes/dyno/44038</x:v>
      </x:c>
      <x:c r="J12" s="26" t="str">
        <x:v>INDEX-ONLY</x:v>
      </x:c>
      <x:c r="K12" s="26" t="str">
        <x:v>EXACT ID / CONTEXT PARTIAL</x:v>
      </x:c>
    </x:row>
    <x:row r="13" ht="72" customHeight="1">
      <x:c r="A13" s="26" t="str">
        <x:v>V12-OBJ-009</x:v>
      </x:c>
      <x:c r="B13" s="26" t="str">
        <x:v>Dyno</x:v>
      </x:c>
      <x:c r="C13" s="26" t="str">
        <x:v>REFERENCE</x:v>
      </x:c>
      <x:c r="D13" s="26" t="str">
        <x:v>7336</x:v>
      </x:c>
      <x:c r="E13" s="26" t="str">
        <x:v>Bob Morales / Dyno history reference</x:v>
      </x:c>
      <x:c r="F13" s="26" t="str">
        <x:v>Cited by external history and already present in master register</x:v>
      </x:c>
      <x:c r="G13" s="26" t="str">
        <x:v>MEDIUM-HIGH</x:v>
      </x:c>
      <x:c r="H13" s="26" t="str">
        <x:v>Confirm title, contributor, date and complete scope</x:v>
      </x:c>
      <x:c r="I13" s="26" t="str">
        <x:v>https://www.bmxmuseum.com/reference/7336</x:v>
      </x:c>
      <x:c r="J13" s="26" t="str">
        <x:v>INDEX-ONLY</x:v>
      </x:c>
      <x:c r="K13" s="26" t="str">
        <x:v>EXACT REFERENCE ID</x:v>
      </x:c>
    </x:row>
    <x:row r="14" ht="72" customHeight="1">
      <x:c r="A14" s="26" t="str">
        <x:v>V12-OBJ-010</x:v>
      </x:c>
      <x:c r="B14" s="26" t="str">
        <x:v>Dyno</x:v>
      </x:c>
      <x:c r="C14" s="26" t="str">
        <x:v>BIKE</x:v>
      </x:c>
      <x:c r="D14" s="26" t="str">
        <x:v>72272</x:v>
      </x:c>
      <x:c r="E14" s="26" t="str">
        <x:v>Dyno Compe prototype posted by Bob Morales</x:v>
      </x:c>
      <x:c r="F14" s="26" t="str">
        <x:v>Cited by researched Dyno history and already present in master register</x:v>
      </x:c>
      <x:c r="G14" s="26" t="str">
        <x:v>MEDIUM-HIGH</x:v>
      </x:c>
      <x:c r="H14" s="26" t="str">
        <x:v>Confirm year, prototype sequence and first-person text metadata</x:v>
      </x:c>
      <x:c r="I14" s="26" t="str">
        <x:v>https://www.bmxmuseum.com/bikes/dyno/72272</x:v>
      </x:c>
      <x:c r="J14" s="26" t="str">
        <x:v>INDEX-ONLY</x:v>
      </x:c>
      <x:c r="K14" s="26" t="str">
        <x:v>EXACT ID / DIRECT CONTENT UNINSPECTED</x:v>
      </x:c>
    </x:row>
    <x:row r="15" ht="72" customHeight="1">
      <x:c r="A15" s="26" t="str">
        <x:v>V12-OBJ-011</x:v>
      </x:c>
      <x:c r="B15" s="26" t="str">
        <x:v>JMC</x:v>
      </x:c>
      <x:c r="C15" s="26" t="str">
        <x:v>BRAND GALLERY</x:v>
      </x:c>
      <x:c r="D15" s="26" t="str">
        <x:v>/bikes/jmc_racing/</x:v>
      </x:c>
      <x:c r="E15" s="26" t="str">
        <x:v>JMC Racing submitted-bike collection</x:v>
      </x:c>
      <x:c r="F15" s="26" t="str">
        <x:v>Public gallery path</x:v>
      </x:c>
      <x:c r="G15" s="26" t="str">
        <x:v>HIGH for path</x:v>
      </x:c>
      <x:c r="H15" s="26" t="str">
        <x:v>Record normalized model and year structure only through permitted routes</x:v>
      </x:c>
      <x:c r="I15" s="26" t="str">
        <x:v>https://www.bmxmuseum.com/bikes/jmc_racing/</x:v>
      </x:c>
      <x:c r="J15" s="26" t="str">
        <x:v>INDEX-ONLY</x:v>
      </x:c>
      <x:c r="K15" s="26" t="str">
        <x:v>ENDPOINT</x:v>
      </x:c>
    </x:row>
    <x:row r="16" ht="72" customHeight="1">
      <x:c r="A16" s="26" t="str">
        <x:v>V12-OBJ-012</x:v>
      </x:c>
      <x:c r="B16" s="26" t="str">
        <x:v>GHP</x:v>
      </x:c>
      <x:c r="C16" s="26" t="str">
        <x:v>BRAND GALLERY</x:v>
      </x:c>
      <x:c r="D16" s="26" t="str">
        <x:v>/bikes/ghp/</x:v>
      </x:c>
      <x:c r="E16" s="26" t="str">
        <x:v>GHP submitted-bike collection</x:v>
      </x:c>
      <x:c r="F16" s="26" t="str">
        <x:v>Public gallery path</x:v>
      </x:c>
      <x:c r="G16" s="26" t="str">
        <x:v>HIGH for path</x:v>
      </x:c>
      <x:c r="H16" s="26" t="str">
        <x:v>Recover model/year index through public backlinks or permission</x:v>
      </x:c>
      <x:c r="I16" s="26" t="str">
        <x:v>https://www.bmxmuseum.com/bikes/ghp/</x:v>
      </x:c>
      <x:c r="J16" s="26" t="str">
        <x:v>INDEX-ONLY</x:v>
      </x:c>
      <x:c r="K16" s="26" t="str">
        <x:v>ENDPOINT</x:v>
      </x:c>
    </x:row>
    <x:row r="17" ht="72" customHeight="1">
      <x:c r="A17" s="26" t="str">
        <x:v>V12-OBJ-013</x:v>
      </x:c>
      <x:c r="B17" s="26" t="str">
        <x:v>GT</x:v>
      </x:c>
      <x:c r="C17" s="26" t="str">
        <x:v>BRAND GALLERY</x:v>
      </x:c>
      <x:c r="D17" s="26" t="str">
        <x:v>/bikes/gt_bicycles/</x:v>
      </x:c>
      <x:c r="E17" s="26" t="str">
        <x:v>GT Bicycles submitted-bike collection</x:v>
      </x:c>
      <x:c r="F17" s="26" t="str">
        <x:v>Public gallery path</x:v>
      </x:c>
      <x:c r="G17" s="26" t="str">
        <x:v>HIGH for path</x:v>
      </x:c>
      <x:c r="H17" s="26" t="str">
        <x:v>Separate GT from Dyno and submitted customs</x:v>
      </x:c>
      <x:c r="I17" s="26" t="str">
        <x:v>https://www.bmxmuseum.com/bikes/gt_bicycles/</x:v>
      </x:c>
      <x:c r="J17" s="26" t="str">
        <x:v>INDEX-ONLY</x:v>
      </x:c>
      <x:c r="K17" s="26" t="str">
        <x:v>ENDPOINT</x:v>
      </x:c>
    </x:row>
    <x:row r="18" ht="72" customHeight="1">
      <x:c r="A18" s="26" t="str">
        <x:v>V12-OBJ-014</x:v>
      </x:c>
      <x:c r="B18" s="26" t="str">
        <x:v>Dyno</x:v>
      </x:c>
      <x:c r="C18" s="26" t="str">
        <x:v>BRAND GALLERY</x:v>
      </x:c>
      <x:c r="D18" s="26" t="str">
        <x:v>/bikes/dyno/</x:v>
      </x:c>
      <x:c r="E18" s="26" t="str">
        <x:v>Dyno submitted-bike collection</x:v>
      </x:c>
      <x:c r="F18" s="26" t="str">
        <x:v>Public gallery path</x:v>
      </x:c>
      <x:c r="G18" s="26" t="str">
        <x:v>HIGH for path</x:v>
      </x:c>
      <x:c r="H18" s="26" t="str">
        <x:v>Build catalog-controlled model chronology</x:v>
      </x:c>
      <x:c r="I18" s="26" t="str">
        <x:v>https://www.bmxmuseum.com/bikes/dyno/</x:v>
      </x:c>
      <x:c r="J18" s="26" t="str">
        <x:v>INDEX-ONLY</x:v>
      </x:c>
      <x:c r="K18" s="26" t="str">
        <x:v>ENDPOINT</x:v>
      </x:c>
    </x:row>
  </x:sheetData>
  <x:mergeCells>
    <x:mergeCell ref="A1:K1"/>
    <x:mergeCell ref="A2:K2"/>
  </x:mergeCells>
  <x:pageMargins left="0.7" right="0.7" top="0.75" bottom="0.75" header="0.3" footer="0.3"/>
  <x:tableParts count="1">
    <x:tablePart xmlns:r="http://schemas.openxmlformats.org/officeDocument/2006/relationships" r:id="Rfed1edc971d545e5"/>
  </x:tableParts>
</x:worksheet>
</file>

<file path=xl/worksheets/sheet66.xml><?xml version="1.0" encoding="utf-8"?>
<x:worksheet xmlns:x="http://schemas.openxmlformats.org/spreadsheetml/2006/main">
  <x:sheetFormatPr defaultRowHeight="15"/>
  <x:cols>
    <x:col min="1" max="1" width="15" hidden="0" customWidth="1"/>
    <x:col min="2" max="2" width="18" hidden="0" customWidth="1"/>
    <x:col min="3" max="3" width="34" hidden="0" customWidth="1"/>
    <x:col min="4" max="4" width="28" hidden="0" customWidth="1"/>
    <x:col min="5" max="5" width="22" hidden="0" customWidth="1"/>
    <x:col min="6" max="6" width="46" hidden="0" customWidth="1"/>
    <x:col min="7" max="7" width="46" hidden="0" customWidth="1"/>
    <x:col min="8" max="8" width="54" hidden="0" customWidth="1"/>
    <x:col min="9" max="9" width="30" hidden="0" customWidth="1"/>
  </x:cols>
  <x:sheetData>
    <x:row r="1" ht="30" customHeight="1">
      <x:c r="A1" s="485" t="str">
        <x:v>v1.2 Source Ledger</x:v>
      </x:c>
      <x:c r="B1" s="485"/>
      <x:c r="C1" s="485"/>
      <x:c r="D1" s="485"/>
      <x:c r="E1" s="485"/>
      <x:c r="F1" s="485"/>
      <x:c r="G1" s="485"/>
      <x:c r="H1" s="485"/>
      <x:c r="I1" s="485"/>
    </x:row>
    <x:row r="2" ht="30" customHeight="1">
      <x:c r="A2" s="490" t="str">
        <x:v>Primary and first-person sources control company history; BMXMuseum backlinks remain discovery and comparison evidence unless independently corroborated.</x:v>
      </x:c>
      <x:c r="B2" s="490"/>
      <x:c r="C2" s="490"/>
      <x:c r="D2" s="490"/>
      <x:c r="E2" s="490"/>
      <x:c r="F2" s="490"/>
      <x:c r="G2" s="490"/>
      <x:c r="H2" s="490"/>
      <x:c r="I2" s="490"/>
    </x:row>
    <x:row r="4">
      <x:c r="A4" s="495" t="str">
        <x:v>Source ID</x:v>
      </x:c>
      <x:c r="B4" s="495" t="str">
        <x:v>Cluster</x:v>
      </x:c>
      <x:c r="C4" s="495" t="str">
        <x:v>Source</x:v>
      </x:c>
      <x:c r="D4" s="495" t="str">
        <x:v>Source Class</x:v>
      </x:c>
      <x:c r="E4" s="495" t="str">
        <x:v>Date / Coverage</x:v>
      </x:c>
      <x:c r="F4" s="495" t="str">
        <x:v>Claims Supported</x:v>
      </x:c>
      <x:c r="G4" s="495" t="str">
        <x:v>Limitations</x:v>
      </x:c>
      <x:c r="H4" s="495" t="str">
        <x:v>URL</x:v>
      </x:c>
      <x:c r="I4" s="495" t="str">
        <x:v>Rights / Use</x:v>
      </x:c>
    </x:row>
    <x:row r="5" ht="78" customHeight="1">
      <x:c r="A5" s="26" t="str">
        <x:v>V12-SRC-001</x:v>
      </x:c>
      <x:c r="B5" s="26" t="str">
        <x:v>DIRTWERX</x:v>
      </x:c>
      <x:c r="C5" s="26" t="str">
        <x:v>Harry Leary interview — BMXUltra</x:v>
      </x:c>
      <x:c r="D5" s="26" t="str">
        <x:v>First-person interview</x:v>
      </x:c>
      <x:c r="E5" s="26" t="str">
        <x:v>2000; recollections through then-current operations</x:v>
      </x:c>
      <x:c r="F5" s="26" t="str">
        <x:v>Founding, name origin, product philosophy, company size, sales channels, team and Greg Hill relationship</x:v>
      </x:c>
      <x:c r="G5" s="26" t="str">
        <x:v>Founder recollection; individual product specifications require period documents</x:v>
      </x:c>
      <x:c r="H5" s="26" t="str">
        <x:v>https://bmxultra.com/archive/prosection/interview/harryleary.htm</x:v>
      </x:c>
      <x:c r="I5" s="26" t="str">
        <x:v>Paraphrase and cite; do not reproduce interview wholesale</x:v>
      </x:c>
    </x:row>
    <x:row r="6" ht="78" customHeight="1">
      <x:c r="A6" s="26" t="str">
        <x:v>V12-SRC-002</x:v>
      </x:c>
      <x:c r="B6" s="26" t="str">
        <x:v>DIRTWERX</x:v>
      </x:c>
      <x:c r="C6" s="26" t="str">
        <x:v>USA BMX Harry Leary memorial</x:v>
      </x:c>
      <x:c r="D6" s="26" t="str">
        <x:v>Official sanctioning-body summary</x:v>
      </x:c>
      <x:c r="E6" s="26" t="str">
        <x:v>2024</x:v>
      </x:c>
      <x:c r="F6" s="26" t="str">
        <x:v>Dirtwerx founding summary; track-operator locations; career overview</x:v>
      </x:c>
      <x:c r="G6" s="26" t="str">
        <x:v>High-level memorial, not detailed company chronology</x:v>
      </x:c>
      <x:c r="H6" s="26" t="str">
        <x:v>https://www.usabmx.com/news-and-media/6/2024-09-10/The-Sport-of-BMX-loses-a-Legend-%3A%3A-HARRY-LEARY?id=2035</x:v>
      </x:c>
      <x:c r="I6" s="26" t="str">
        <x:v>Cite summary facts</x:v>
      </x:c>
    </x:row>
    <x:row r="7" ht="78" customHeight="1">
      <x:c r="A7" s="26" t="str">
        <x:v>V12-SRC-003</x:v>
      </x:c>
      <x:c r="B7" s="26" t="str">
        <x:v>GHP</x:v>
      </x:c>
      <x:c r="C7" s="26" t="str">
        <x:v>USA BMX Greg Hill Products profile</x:v>
      </x:c>
      <x:c r="D7" s="26" t="str">
        <x:v>Official sanctioning-body brand profile</x:v>
      </x:c>
      <x:c r="E7" s="26" t="str">
        <x:v>2012</x:v>
      </x:c>
      <x:c r="F7" s="26" t="str">
        <x:v>Product positioning and racing-experience claim</x:v>
      </x:c>
      <x:c r="G7" s="26" t="str">
        <x:v>Promotional profile; does not establish founding date or complete model list</x:v>
      </x:c>
      <x:c r="H7" s="26" t="str">
        <x:v>https://www.usabmx.com/news-and-media/6/2012-04-26/Greg-Hill-Products?id=203</x:v>
      </x:c>
      <x:c r="I7" s="26" t="str">
        <x:v>Cite as dated published profile</x:v>
      </x:c>
    </x:row>
    <x:row r="8" ht="78" customHeight="1">
      <x:c r="A8" s="26" t="str">
        <x:v>V12-SRC-004</x:v>
      </x:c>
      <x:c r="B8" s="26" t="str">
        <x:v>JMC</x:v>
      </x:c>
      <x:c r="C8" s="26" t="str">
        <x:v>About JMC</x:v>
      </x:c>
      <x:c r="D8" s="26" t="str">
        <x:v>Preserved first-person company history</x:v>
      </x:c>
      <x:c r="E8" s="26" t="str">
        <x:v>1969–1985 chronology</x:v>
      </x:c>
      <x:c r="F8" s="26" t="str">
        <x:v>Company origin, 1975 team and model-development history</x:v>
      </x:c>
      <x:c r="G8" s="26" t="str">
        <x:v>Some transition details require period corroboration</x:v>
      </x:c>
      <x:c r="H8" s="26" t="str">
        <x:v>https://jmcbmx.wordpress.com/about/</x:v>
      </x:c>
      <x:c r="I8" s="26" t="str">
        <x:v>Paraphrase and cite</x:v>
      </x:c>
    </x:row>
    <x:row r="9" ht="78" customHeight="1">
      <x:c r="A9" s="26" t="str">
        <x:v>V12-SRC-005</x:v>
      </x:c>
      <x:c r="B9" s="26" t="str">
        <x:v>JMC</x:v>
      </x:c>
      <x:c r="C9" s="26" t="str">
        <x:v>How to ID a JMC</x:v>
      </x:c>
      <x:c r="D9" s="26" t="str">
        <x:v>Company/specialist identification guide</x:v>
      </x:c>
      <x:c r="E9" s="26" t="str">
        <x:v>1976–1985</x:v>
      </x:c>
      <x:c r="F9" s="26" t="str">
        <x:v>Prototype and production serial guidance, frame-feature changes</x:v>
      </x:c>
      <x:c r="G9" s="26" t="str">
        <x:v>The guide explicitly identifies unresolved transition months</x:v>
      </x:c>
      <x:c r="H9" s="26" t="str">
        <x:v>https://jmcbmx.wordpress.com/2010/02/02/how-to-id-a-jmc/</x:v>
      </x:c>
      <x:c r="I9" s="26" t="str">
        <x:v>Use with confidence labels</x:v>
      </x:c>
    </x:row>
    <x:row r="10" ht="78" customHeight="1">
      <x:c r="A10" s="26" t="str">
        <x:v>V12-SRC-006</x:v>
      </x:c>
      <x:c r="B10" s="26" t="str">
        <x:v>GT</x:v>
      </x:c>
      <x:c r="C10" s="26" t="str">
        <x:v>GT official history</x:v>
      </x:c>
      <x:c r="D10" s="26" t="str">
        <x:v>Current first-party company timeline</x:v>
      </x:c>
      <x:c r="E10" s="26" t="str">
        <x:v>1972–present</x:v>
      </x:c>
      <x:c r="F10" s="26" t="str">
        <x:v>High-level GT origin and BMX/freestyle chronology</x:v>
      </x:c>
      <x:c r="G10" s="26" t="str">
        <x:v>Current brand timeline; not a production ledger</x:v>
      </x:c>
      <x:c r="H10" s="26" t="str">
        <x:v>https://gtbicycles.com/pages/about-us</x:v>
      </x:c>
      <x:c r="I10" s="26" t="str">
        <x:v>Cite as official current history</x:v>
      </x:c>
    </x:row>
    <x:row r="11" ht="78" customHeight="1">
      <x:c r="A11" s="26" t="str">
        <x:v>V12-SRC-007</x:v>
      </x:c>
      <x:c r="B11" s="26" t="str">
        <x:v>Dyno</x:v>
      </x:c>
      <x:c r="C11" s="26" t="str">
        <x:v>Bob Morales company history</x:v>
      </x:c>
      <x:c r="D11" s="26" t="str">
        <x:v>Founder first-person history</x:v>
      </x:c>
      <x:c r="E11" s="26" t="str">
        <x:v>1970s–1990s</x:v>
      </x:c>
      <x:c r="F11" s="26" t="str">
        <x:v>Dyno acquisition, design role and AFA context</x:v>
      </x:c>
      <x:c r="G11" s="26" t="str">
        <x:v>First-person recollection; product-level claims need catalog/drawing corroboration</x:v>
      </x:c>
      <x:c r="H11" s="26" t="str">
        <x:v>https://www.melonpeel.com/morales/history.htm</x:v>
      </x:c>
      <x:c r="I11" s="26" t="str">
        <x:v>Paraphrase and cite</x:v>
      </x:c>
    </x:row>
    <x:row r="12" ht="78" customHeight="1">
      <x:c r="A12" s="26" t="str">
        <x:v>V12-SRC-008</x:v>
      </x:c>
      <x:c r="B12" s="26" t="str">
        <x:v>Dyno</x:v>
      </x:c>
      <x:c r="C12" s="26" t="str">
        <x:v>GT Dyno Air discussion</x:v>
      </x:c>
      <x:c r="D12" s="26" t="str">
        <x:v>External exact-record backlink</x:v>
      </x:c>
      <x:c r="E12" s="26" t="str">
        <x:v>1997 record lead</x:v>
      </x:c>
      <x:c r="F12" s="26" t="str">
        <x:v>BMXMuseum ID 57517</x:v>
      </x:c>
      <x:c r="G12" s="26" t="str">
        <x:v>Marketplace/community context; not authoritative specification</x:v>
      </x:c>
      <x:c r="H12" s="26" t="str">
        <x:v>https://ratrodbikes.com/threads/gt-dyno-air-sold.69183/</x:v>
      </x:c>
      <x:c r="I12" s="26" t="str">
        <x:v>Index exact link and qualification</x:v>
      </x:c>
    </x:row>
    <x:row r="13" ht="78" customHeight="1">
      <x:c r="A13" s="26" t="str">
        <x:v>V12-SRC-009</x:v>
      </x:c>
      <x:c r="B13" s="26" t="str">
        <x:v>Dyno</x:v>
      </x:c>
      <x:c r="C13" s="26" t="str">
        <x:v>Dyno VFR gallery post</x:v>
      </x:c>
      <x:c r="D13" s="26" t="str">
        <x:v>External exact-record backlink</x:v>
      </x:c>
      <x:c r="E13" s="26" t="str">
        <x:v>1999 record lead</x:v>
      </x:c>
      <x:c r="F13" s="26" t="str">
        <x:v>BMXMuseum ID 14018</x:v>
      </x:c>
      <x:c r="G13" s="26" t="str">
        <x:v>Owner statement and community post</x:v>
      </x:c>
      <x:c r="H13" s="26" t="str">
        <x:v>https://www.bttbike.com/mtb/344624-vfr-school-old-joyita-gt-dyno</x:v>
      </x:c>
      <x:c r="I13" s="26" t="str">
        <x:v>Index exact link and qualification</x:v>
      </x:c>
    </x:row>
    <x:row r="14" ht="78" customHeight="1">
      <x:c r="A14" s="26" t="str">
        <x:v>V12-SRC-010</x:v>
      </x:c>
      <x:c r="B14" s="26" t="str">
        <x:v>Dyno</x:v>
      </x:c>
      <x:c r="C14" s="26" t="str">
        <x:v>Dyno VFR identification answer</x:v>
      </x:c>
      <x:c r="D14" s="26" t="str">
        <x:v>External exact-record backlink</x:v>
      </x:c>
      <x:c r="E14" s="26" t="str">
        <x:v>1998 record lead</x:v>
      </x:c>
      <x:c r="F14" s="26" t="str">
        <x:v>BMXMuseum ID 99615 and model title</x:v>
      </x:c>
      <x:c r="G14" s="26" t="str">
        <x:v>Identification answer relies on comparison records</x:v>
      </x:c>
      <x:c r="H14" s="26" t="str">
        <x:v>https://bicycles.stackexchange.com/questions/95012/trying-to-find-the-exact-year-of-my-20-dyno-vfr/95016</x:v>
      </x:c>
      <x:c r="I14" s="26" t="str">
        <x:v>Index exact link and qualification</x:v>
      </x:c>
    </x:row>
    <x:row r="15" ht="78" customHeight="1">
      <x:c r="A15" s="26" t="str">
        <x:v>V12-SRC-011</x:v>
      </x:c>
      <x:c r="B15" s="26" t="str">
        <x:v>Dyno</x:v>
      </x:c>
      <x:c r="C15" s="26" t="str">
        <x:v>GT/Dyno frame-model discussion</x:v>
      </x:c>
      <x:c r="D15" s="26" t="str">
        <x:v>External exact-record backlinks</x:v>
      </x:c>
      <x:c r="E15" s="26" t="str">
        <x:v>1998 record leads</x:v>
      </x:c>
      <x:c r="F15" s="26" t="str">
        <x:v>BMXMuseum IDs 41197 and 44038</x:v>
      </x:c>
      <x:c r="G15" s="26" t="str">
        <x:v>Community comparison; model distinctions disputed</x:v>
      </x:c>
      <x:c r="H15" s="26" t="str">
        <x:v>https://www.radbmx.co.uk/forum/index.php?topic=166614.0</x:v>
      </x:c>
      <x:c r="I15" s="26" t="str">
        <x:v>Index exact links; do not adopt universal rules</x:v>
      </x:c>
    </x:row>
  </x:sheetData>
  <x:mergeCells>
    <x:mergeCell ref="A1:I1"/>
    <x:mergeCell ref="A2:I2"/>
  </x:mergeCells>
  <x:pageMargins left="0.7" right="0.7" top="0.75" bottom="0.75" header="0.3" footer="0.3"/>
  <x:tableParts count="1">
    <x:tablePart xmlns:r="http://schemas.openxmlformats.org/officeDocument/2006/relationships" r:id="R35f6150e2a8d442b"/>
  </x:tableParts>
</x:worksheet>
</file>

<file path=xl/worksheets/sheet67.xml><?xml version="1.0" encoding="utf-8"?>
<x:worksheet xmlns:x="http://schemas.openxmlformats.org/spreadsheetml/2006/main">
  <x:sheetFormatPr defaultRowHeight="15"/>
  <x:cols>
    <x:col min="1" max="1" width="15" hidden="0" customWidth="1"/>
    <x:col min="2" max="2" width="18" hidden="0" customWidth="1"/>
    <x:col min="3" max="3" width="48" hidden="0" customWidth="1"/>
    <x:col min="4" max="4" width="40" hidden="0" customWidth="1"/>
    <x:col min="5" max="5" width="48" hidden="0" customWidth="1"/>
    <x:col min="6" max="6" width="18" hidden="0" customWidth="1"/>
    <x:col min="7" max="7" width="10" hidden="0" customWidth="1"/>
    <x:col min="8" max="8" width="28" hidden="0" customWidth="1"/>
    <x:col min="9" max="9" width="44" hidden="0" customWidth="1"/>
  </x:cols>
  <x:sheetData>
    <x:row r="1" ht="30" customHeight="1">
      <x:c r="A1" s="485" t="str">
        <x:v>v1.2 Open Questions and Evidence Gates</x:v>
      </x:c>
      <x:c r="B1" s="485"/>
      <x:c r="C1" s="485"/>
      <x:c r="D1" s="485"/>
      <x:c r="E1" s="485"/>
      <x:c r="F1" s="485"/>
      <x:c r="G1" s="485"/>
      <x:c r="H1" s="485"/>
      <x:c r="I1" s="485"/>
    </x:row>
    <x:row r="2" ht="30" customHeight="1">
      <x:c r="A2" s="490" t="str">
        <x:v>Physical questions link to the roadmap; source-recovery questions continue online without waiting for hands-on work.</x:v>
      </x:c>
      <x:c r="B2" s="490"/>
      <x:c r="C2" s="490"/>
      <x:c r="D2" s="490"/>
      <x:c r="E2" s="490"/>
      <x:c r="F2" s="490"/>
      <x:c r="G2" s="490"/>
      <x:c r="H2" s="490"/>
      <x:c r="I2" s="490"/>
    </x:row>
    <x:row r="4">
      <x:c r="A4" s="495" t="str">
        <x:v>Question ID</x:v>
      </x:c>
      <x:c r="B4" s="495" t="str">
        <x:v>Cluster</x:v>
      </x:c>
      <x:c r="C4" s="495" t="str">
        <x:v>Open Question</x:v>
      </x:c>
      <x:c r="D4" s="495" t="str">
        <x:v>Why It Matters</x:v>
      </x:c>
      <x:c r="E4" s="495" t="str">
        <x:v>Evidence Needed</x:v>
      </x:c>
      <x:c r="F4" s="495" t="str">
        <x:v>Current Status</x:v>
      </x:c>
      <x:c r="G4" s="495" t="str">
        <x:v>Priority</x:v>
      </x:c>
      <x:c r="H4" s="495" t="str">
        <x:v>Physical Roadmap Link</x:v>
      </x:c>
      <x:c r="I4" s="495" t="str">
        <x:v>Next Search Route</x:v>
      </x:c>
    </x:row>
    <x:row r="5" ht="78" customHeight="1">
      <x:c r="A5" s="26" t="str">
        <x:v>V12-Q-001</x:v>
      </x:c>
      <x:c r="B5" s="26" t="str">
        <x:v>DIRTWERX</x:v>
      </x:c>
      <x:c r="C5" s="26" t="str">
        <x:v>Was Dirtwerx formally launched in late 1995 or 1996?</x:v>
      </x:c>
      <x:c r="D5" s="26" t="str">
        <x:v>Controls founding chronology and first-product dating.</x:v>
      </x:c>
      <x:c r="E5" s="26" t="str">
        <x:v>First advertisement, company filing, dealer sheet, invoice or dated founder statement.</x:v>
      </x:c>
      <x:c r="F5" s="26" t="str">
        <x:v>OPEN</x:v>
      </x:c>
      <x:c r="G5" s="26" t="str">
        <x:v>P1</x:v>
      </x:c>
      <x:c r="H5" s="26" t="str">
        <x:v>None</x:v>
      </x:c>
      <x:c r="I5" s="26" t="str">
        <x:v>Snap BMX 1996; business registrations; period dealer material</x:v>
      </x:c>
    </x:row>
    <x:row r="6" ht="78" customHeight="1">
      <x:c r="A6" s="26" t="str">
        <x:v>V12-Q-002</x:v>
      </x:c>
      <x:c r="B6" s="26" t="str">
        <x:v>DIRTWERX</x:v>
      </x:c>
      <x:c r="C6" s="26" t="str">
        <x:v>What does PR12 designate and how many were produced?</x:v>
      </x:c>
      <x:c r="D6" s="26" t="str">
        <x:v>Controls prototype/model authentication for 26.0047.</x:v>
      </x:c>
      <x:c r="E6" s="26" t="str">
        <x:v>Frame markings, geometry, catalogs, builder testimony and known-example register.</x:v>
      </x:c>
      <x:c r="F6" s="26" t="str">
        <x:v>OPEN</x:v>
      </x:c>
      <x:c r="G6" s="26" t="str">
        <x:v>P0</x:v>
      </x:c>
      <x:c r="H6" s="26" t="str">
        <x:v>PHYS-PR12</x:v>
      </x:c>
      <x:c r="I6" s="26" t="str">
        <x:v>Target exact phrase, owners and product tests</x:v>
      </x:c>
    </x:row>
    <x:row r="7" ht="78" customHeight="1">
      <x:c r="A7" s="26" t="str">
        <x:v>V12-Q-003</x:v>
      </x:c>
      <x:c r="B7" s="26" t="str">
        <x:v>DIRTWERX</x:v>
      </x:c>
      <x:c r="C7" s="26" t="str">
        <x:v>What was the 24-inch cruiser prototype’s development sequence?</x:v>
      </x:c>
      <x:c r="D7" s="26" t="str">
        <x:v>Determines relationship between 26.0029, production cruisers and Leary’s design work.</x:v>
      </x:c>
      <x:c r="E7" s="26" t="str">
        <x:v>Serial/geometry package, period photos, catalogs and testimony.</x:v>
      </x:c>
      <x:c r="F7" s="26" t="str">
        <x:v>OPEN</x:v>
      </x:c>
      <x:c r="G7" s="26" t="str">
        <x:v>P0</x:v>
      </x:c>
      <x:c r="H7" s="26" t="str">
        <x:v>PHYS-DW24</x:v>
      </x:c>
      <x:c r="I7" s="26" t="str">
        <x:v>Search period magazines, social backlinks and former team members</x:v>
      </x:c>
    </x:row>
    <x:row r="8" ht="78" customHeight="1">
      <x:c r="A8" s="26" t="str">
        <x:v>V12-Q-004</x:v>
      </x:c>
      <x:c r="B8" s="26" t="str">
        <x:v>DIRTWERX</x:v>
      </x:c>
      <x:c r="C8" s="26" t="str">
        <x:v>Who fabricated Dirtwerx frames, forks and bars?</x:v>
      </x:c>
      <x:c r="D8" s="26" t="str">
        <x:v>Separates Leary design/ownership from actual manufacturing.</x:v>
      </x:c>
      <x:c r="E8" s="26" t="str">
        <x:v>Invoices, builder marks, interviews, welding/shop records.</x:v>
      </x:c>
      <x:c r="F8" s="26" t="str">
        <x:v>OPEN</x:v>
      </x:c>
      <x:c r="G8" s="26" t="str">
        <x:v>P1</x:v>
      </x:c>
      <x:c r="H8" s="26" t="str">
        <x:v>PHYS-PR12 / PHYS-DW24</x:v>
      </x:c>
      <x:c r="I8" s="26" t="str">
        <x:v>Target Larry’s Precision Welding, Marvel Cycle and named contacts</x:v>
      </x:c>
    </x:row>
    <x:row r="9" ht="78" customHeight="1">
      <x:c r="A9" s="26" t="str">
        <x:v>V12-Q-005</x:v>
      </x:c>
      <x:c r="B9" s="26" t="str">
        <x:v>DIRTWERX</x:v>
      </x:c>
      <x:c r="C9" s="26" t="str">
        <x:v>What was the full dated team roster?</x:v>
      </x:c>
      <x:c r="D9" s="26" t="str">
        <x:v>Builds rider/track/product relationships.</x:v>
      </x:c>
      <x:c r="E9" s="26" t="str">
        <x:v>Ads, jerseys, race reports, team photos and rider testimony.</x:v>
      </x:c>
      <x:c r="F9" s="26" t="str">
        <x:v>OPEN</x:v>
      </x:c>
      <x:c r="G9" s="26" t="str">
        <x:v>P2</x:v>
      </x:c>
      <x:c r="H9" s="26" t="str">
        <x:v>None</x:v>
      </x:c>
      <x:c r="I9" s="26" t="str">
        <x:v>Sycamore BMX, ABA/NBL results and family interviews</x:v>
      </x:c>
    </x:row>
    <x:row r="10" ht="78" customHeight="1">
      <x:c r="A10" s="26" t="str">
        <x:v>V12-Q-006</x:v>
      </x:c>
      <x:c r="B10" s="26" t="str">
        <x:v>GHP</x:v>
      </x:c>
      <x:c r="C10" s="26" t="str">
        <x:v>When was GHP founded and what were its first products?</x:v>
      </x:c>
      <x:c r="D10" s="26" t="str">
        <x:v>Controls brand chronology and artifact-era attribution.</x:v>
      </x:c>
      <x:c r="E10" s="26" t="str">
        <x:v>Greg Hill first-person history, catalogs, ads and corporate records.</x:v>
      </x:c>
      <x:c r="F10" s="26" t="str">
        <x:v>OPEN</x:v>
      </x:c>
      <x:c r="G10" s="26" t="str">
        <x:v>P1</x:v>
      </x:c>
      <x:c r="H10" s="26" t="str">
        <x:v>PHYS-GHP</x:v>
      </x:c>
      <x:c r="I10" s="26" t="str">
        <x:v>Greg Hill interview archive; period BMXA/BMX Plus!</x:v>
      </x:c>
    </x:row>
    <x:row r="11" ht="78" customHeight="1">
      <x:c r="A11" s="26" t="str">
        <x:v>V12-Q-007</x:v>
      </x:c>
      <x:c r="B11" s="26" t="str">
        <x:v>GHP</x:v>
      </x:c>
      <x:c r="C11" s="26" t="str">
        <x:v>What exact bike is BMXMuseum record 121233?</x:v>
      </x:c>
      <x:c r="D11" s="26" t="str">
        <x:v>Turns an exact ID into useful model/year metadata.</x:v>
      </x:c>
      <x:c r="E11" s="26" t="str">
        <x:v>Public social title, sanctioned metadata export or permission-based page read.</x:v>
      </x:c>
      <x:c r="F11" s="26" t="str">
        <x:v>OPEN</x:v>
      </x:c>
      <x:c r="G11" s="26" t="str">
        <x:v>P1</x:v>
      </x:c>
      <x:c r="H11" s="26" t="str">
        <x:v>None</x:v>
      </x:c>
      <x:c r="I11" s="26" t="str">
        <x:v>BMXMuseum social archives and backlinks</x:v>
      </x:c>
    </x:row>
    <x:row r="12" ht="78" customHeight="1">
      <x:c r="A12" s="26" t="str">
        <x:v>V12-Q-008</x:v>
      </x:c>
      <x:c r="B12" s="26" t="str">
        <x:v>GHP</x:v>
      </x:c>
      <x:c r="C12" s="26" t="str">
        <x:v>What model/era are Lititz bars 26.0045 and jersey 26.0022?</x:v>
      </x:c>
      <x:c r="D12" s="26" t="str">
        <x:v>Connects physical artifacts to catalogs, riders and team history.</x:v>
      </x:c>
      <x:c r="E12" s="26" t="str">
        <x:v>Labels, measurements, logos, catalogs and provenance.</x:v>
      </x:c>
      <x:c r="F12" s="26" t="str">
        <x:v>OPEN</x:v>
      </x:c>
      <x:c r="G12" s="26" t="str">
        <x:v>P0</x:v>
      </x:c>
      <x:c r="H12" s="26" t="str">
        <x:v>PHYS-GHP</x:v>
      </x:c>
      <x:c r="I12" s="26" t="str">
        <x:v>Catalog/advertisement comparison after capture</x:v>
      </x:c>
    </x:row>
    <x:row r="13" ht="78" customHeight="1">
      <x:c r="A13" s="26" t="str">
        <x:v>V12-Q-009</x:v>
      </x:c>
      <x:c r="B13" s="26" t="str">
        <x:v>JMC</x:v>
      </x:c>
      <x:c r="C13" s="26" t="str">
        <x:v>Can the JMC production books be accessed or cited at record level?</x:v>
      </x:c>
      <x:c r="D13" s="26" t="str">
        <x:v>Would enable serial-specific authentication and production chronology.</x:v>
      </x:c>
      <x:c r="E13" s="26" t="str">
        <x:v>Owner permission, published extracts or sanctioned research access.</x:v>
      </x:c>
      <x:c r="F13" s="26" t="str">
        <x:v>OPEN</x:v>
      </x:c>
      <x:c r="G13" s="26" t="str">
        <x:v>P1</x:v>
      </x:c>
      <x:c r="H13" s="26" t="str">
        <x:v>Artifact-specific later</x:v>
      </x:c>
      <x:c r="I13" s="26" t="str">
        <x:v>JMC archive contacts and published production breakdown</x:v>
      </x:c>
    </x:row>
    <x:row r="14" ht="78" customHeight="1">
      <x:c r="A14" s="26" t="str">
        <x:v>V12-Q-010</x:v>
      </x:c>
      <x:c r="B14" s="26" t="str">
        <x:v>JMC</x:v>
      </x:c>
      <x:c r="C14" s="26" t="str">
        <x:v>Which exact BMXMuseum references correspond to price lists, flyers and key model threads?</x:v>
      </x:c>
      <x:c r="D14" s="26" t="str">
        <x:v>Replaces weak title-only indexes with canonical IDs.</x:v>
      </x:c>
      <x:c r="E14" s="26" t="str">
        <x:v>Backlinks, first-party posts or BMXMuseum permission.</x:v>
      </x:c>
      <x:c r="F14" s="26" t="str">
        <x:v>OPEN</x:v>
      </x:c>
      <x:c r="G14" s="26" t="str">
        <x:v>P1</x:v>
      </x:c>
      <x:c r="H14" s="26" t="str">
        <x:v>None</x:v>
      </x:c>
      <x:c r="I14" s="26" t="str">
        <x:v>Exact title searches and source citations</x:v>
      </x:c>
    </x:row>
    <x:row r="15" ht="78" customHeight="1">
      <x:c r="A15" s="26" t="str">
        <x:v>V12-Q-011</x:v>
      </x:c>
      <x:c r="B15" s="26" t="str">
        <x:v>GT/Dyno</x:v>
      </x:c>
      <x:c r="C15" s="26" t="str">
        <x:v>What exact metadata and first-person text are in reference 7336 and bike 72272?</x:v>
      </x:c>
      <x:c r="D15" s="26" t="str">
        <x:v>Controls Dyno prototype chronology and Bob Morales attribution.</x:v>
      </x:c>
      <x:c r="E15" s="26" t="str">
        <x:v>Permission-based read or public first-party repost.</x:v>
      </x:c>
      <x:c r="F15" s="26" t="str">
        <x:v>OPEN</x:v>
      </x:c>
      <x:c r="G15" s="26" t="str">
        <x:v>P0</x:v>
      </x:c>
      <x:c r="H15" s="26" t="str">
        <x:v>None</x:v>
      </x:c>
      <x:c r="I15" s="26" t="str">
        <x:v>Bob Morales archives, public reposts and BMXMuseum permission</x:v>
      </x:c>
    </x:row>
    <x:row r="16" ht="78" customHeight="1">
      <x:c r="A16" s="26" t="str">
        <x:v>V12-Q-012</x:v>
      </x:c>
      <x:c r="B16" s="26" t="str">
        <x:v>GT/Dyno</x:v>
      </x:c>
      <x:c r="C16" s="26" t="str">
        <x:v>Can the 1992, 1996 and 1999 GT/Dyno catalog reference IDs be recovered?</x:v>
      </x:c>
      <x:c r="D16" s="26" t="str">
        <x:v>Catalogs should control model-year specifications.</x:v>
      </x:c>
      <x:c r="E16" s="26" t="str">
        <x:v>Exact titles, external citations and source archives.</x:v>
      </x:c>
      <x:c r="F16" s="26" t="str">
        <x:v>OPEN</x:v>
      </x:c>
      <x:c r="G16" s="26" t="str">
        <x:v>P1</x:v>
      </x:c>
      <x:c r="H16" s="26" t="str">
        <x:v>None</x:v>
      </x:c>
      <x:c r="I16" s="26" t="str">
        <x:v>Catalog collectors, GT archive and BMXMuseum reference backlinks</x:v>
      </x:c>
    </x:row>
    <x:row r="17" ht="78" customHeight="1">
      <x:c r="A17" s="26" t="str">
        <x:v>V12-Q-013</x:v>
      </x:c>
      <x:c r="B17" s="26" t="str">
        <x:v>GT/Dyno</x:v>
      </x:c>
      <x:c r="C17" s="26" t="str">
        <x:v>How reliable are BMXMuseum GT/Dyno serial guides across factories and years?</x:v>
      </x:c>
      <x:c r="D17" s="26" t="str">
        <x:v>Prevents false certainty in artifact identification.</x:v>
      </x:c>
      <x:c r="E17" s="26" t="str">
        <x:v>Factory documents, employee statements and tested serial dataset.</x:v>
      </x:c>
      <x:c r="F17" s="26" t="str">
        <x:v>OPEN</x:v>
      </x:c>
      <x:c r="G17" s="26" t="str">
        <x:v>P1</x:v>
      </x:c>
      <x:c r="H17" s="26" t="str">
        <x:v>Felicia serial capture</x:v>
      </x:c>
      <x:c r="I17" s="26" t="str">
        <x:v>Compare official/employee information and known bikes</x:v>
      </x:c>
    </x:row>
    <x:row r="18" ht="78" customHeight="1">
      <x:c r="A18" s="26" t="str">
        <x:v>V12-Q-014</x:v>
      </x:c>
      <x:c r="B18" s="26" t="str">
        <x:v>Permission</x:v>
      </x:c>
      <x:c r="C18" s="26" t="str">
        <x:v>Will BMXMuseum provide a limited metadata export or sanctioned research route?</x:v>
      </x:c>
      <x:c r="D18" s="26" t="str">
        <x:v>Could resolve thousands of exact IDs without copying images or descriptions.</x:v>
      </x:c>
      <x:c r="E18" s="26" t="str">
        <x:v>Professional request with fields, exclusions, rate limits and correction process.</x:v>
      </x:c>
      <x:c r="F18" s="26" t="str">
        <x:v>PLANNED</x:v>
      </x:c>
      <x:c r="G18" s="26" t="str">
        <x:v>P0</x:v>
      </x:c>
      <x:c r="H18" s="26" t="str">
        <x:v>None</x:v>
      </x:c>
      <x:c r="I18" s="26" t="str">
        <x:v>Prepare permission request package after v1.2</x:v>
      </x:c>
    </x:row>
  </x:sheetData>
  <x:mergeCells>
    <x:mergeCell ref="A1:I1"/>
    <x:mergeCell ref="A2:I2"/>
  </x:mergeCells>
  <x:pageMargins left="0.7" right="0.7" top="0.75" bottom="0.75" header="0.3" footer="0.3"/>
  <x:tableParts count="1">
    <x:tablePart xmlns:r="http://schemas.openxmlformats.org/officeDocument/2006/relationships" r:id="R220a12cd969e4314"/>
  </x:tableParts>
</x:worksheet>
</file>

<file path=xl/worksheets/sheet68.xml><?xml version="1.0" encoding="utf-8"?>
<x:worksheet xmlns:x="http://schemas.openxmlformats.org/spreadsheetml/2006/main">
  <x:sheetFormatPr defaultRowHeight="15"/>
  <x:cols>
    <x:col min="1" max="1" width="28" hidden="0" customWidth="1"/>
    <x:col min="2" max="2" width="14" hidden="0" customWidth="1"/>
    <x:col min="4" max="4" width="24" hidden="0" customWidth="1"/>
    <x:col min="5" max="5" width="66" hidden="0" customWidth="1"/>
    <x:col min="8" max="8" width="30" hidden="0" customWidth="1"/>
    <x:col min="9" max="9" width="44" hidden="0" customWidth="1"/>
  </x:cols>
  <x:sheetData>
    <x:row r="1">
      <x:c r="A1" s="485" t="str">
        <x:v>BMXMuseum Public Knowledge Register v1.2 — Physical Roadmap + Research Continuation</x:v>
      </x:c>
      <x:c r="B1" s="485"/>
      <x:c r="C1" s="485"/>
      <x:c r="D1" s="485"/>
      <x:c r="E1" s="485"/>
      <x:c r="F1" s="485"/>
      <x:c r="G1" s="485"/>
      <x:c r="H1" s="485"/>
      <x:c r="I1" s="485"/>
      <x:c r="J1" s="485"/>
      <x:c r="K1" s="485"/>
      <x:c r="L1" s="485"/>
      <x:c r="M1" s="485"/>
      <x:c r="N1" s="485"/>
    </x:row>
    <x:row r="2">
      <x:c r="A2" s="490" t="str">
        <x:v>All hands-on work is formally scheduled and no longer blocks online research. This tranche advances DIRTWERX, Greg Hill/GHP, JMC and GT/Dyno while preserving the v1.1 authentication grades.</x:v>
      </x:c>
      <x:c r="B2" s="490"/>
      <x:c r="C2" s="490"/>
      <x:c r="D2" s="490"/>
      <x:c r="E2" s="490"/>
      <x:c r="F2" s="490"/>
      <x:c r="G2" s="490"/>
      <x:c r="H2" s="490"/>
      <x:c r="I2" s="490"/>
      <x:c r="J2" s="490"/>
      <x:c r="K2" s="490"/>
      <x:c r="L2" s="490"/>
      <x:c r="M2" s="490"/>
      <x:c r="N2" s="490"/>
    </x:row>
    <x:row r="4">
      <x:c r="A4" s="496" t="str">
        <x:v>Work Product</x:v>
      </x:c>
      <x:c r="B4" s="497" t="str">
        <x:v>Count</x:v>
      </x:c>
      <x:c r="D4" s="495" t="str">
        <x:v>Research Cluster</x:v>
      </x:c>
      <x:c r="E4" s="495" t="str">
        <x:v>Assessment</x:v>
      </x:c>
      <x:c r="H4" s="495" t="str">
        <x:v>Physical Roadmap</x:v>
      </x:c>
      <x:c r="I4" s="495" t="str">
        <x:v>Status</x:v>
      </x:c>
    </x:row>
    <x:row r="5" ht="44" customHeight="1">
      <x:c r="A5" s="498" t="str">
        <x:v>Physical roadmap tasks</x:v>
      </x:c>
      <x:c r="B5" s="499" t="n">
        <x:f>COUNTA('Physical Evidence Roadmap'!A5:A500)</x:f>
        <x:v>69</x:v>
      </x:c>
      <x:c r="D5" s="503" t="str">
        <x:v>DIRTWERX</x:v>
      </x:c>
      <x:c r="E5" s="26" t="str">
        <x:v>Founder history is strong; product/model/serial chronology is now the main research gap.</x:v>
      </x:c>
      <x:c r="H5" s="505" t="str">
        <x:v>Common capture system</x:v>
      </x:c>
      <x:c r="I5" s="26" t="str">
        <x:v>Ready</x:v>
      </x:c>
    </x:row>
    <x:row r="6" ht="44" customHeight="1">
      <x:c r="A6" s="498" t="str">
        <x:v>P0 physical tasks</x:v>
      </x:c>
      <x:c r="B6" s="499" t="n">
        <x:f>COUNTIF('Physical Evidence Roadmap'!G5:G500,"P0")</x:f>
        <x:v>38</x:v>
      </x:c>
      <x:c r="D6" s="503" t="str">
        <x:v>Greg Hill / GHP</x:v>
      </x:c>
      <x:c r="E6" s="26" t="str">
        <x:v>Exact BMXMuseum record 121233 and official product profile are preserved; early chronology and artifact-era identification remain open.</x:v>
      </x:c>
      <x:c r="H6" s="505" t="str">
        <x:v>Boss CR01</x:v>
      </x:c>
      <x:c r="I6" s="26" t="str">
        <x:v>Roadmapped / serial and documents blocking</x:v>
      </x:c>
    </x:row>
    <x:row r="7" ht="44" customHeight="1">
      <x:c r="A7" s="498" t="str">
        <x:v>Artifacts/physical clusters</x:v>
      </x:c>
      <x:c r="B7" s="499" t="n">
        <x:f>COUNTA(UNIQUE(FILTER('Physical Evidence Roadmap'!C5:C500,'Physical Evidence Roadmap'!C5:C500&lt;&gt;"")))</x:f>
        <x:v>13</x:v>
      </x:c>
      <x:c r="D7" s="503" t="str">
        <x:v>JMC</x:v>
      </x:c>
      <x:c r="E7" s="26" t="str">
        <x:v>First-person serial and team history is strong; exact reference recovery and production-book access are next.</x:v>
      </x:c>
      <x:c r="H7" s="505" t="str">
        <x:v>Felicia 2012 GT</x:v>
      </x:c>
      <x:c r="I7" s="26" t="str">
        <x:v>Roadmapped / serial, plate and provenance blocking</x:v>
      </x:c>
    </x:row>
    <x:row r="8" ht="44" customHeight="1">
      <x:c r="A8" s="498" t="str">
        <x:v>Continuation clusters</x:v>
      </x:c>
      <x:c r="B8" s="499" t="n">
        <x:f>COUNTA('v1.2 Cluster Status'!A5:A100)</x:f>
        <x:v>4</x:v>
      </x:c>
      <x:c r="D8" s="503" t="str">
        <x:v>GT / Dyno</x:v>
      </x:c>
      <x:c r="E8" s="26" t="str">
        <x:v>Official/founder chronology is strong; catalog IDs, prototype metadata and serial reliability remain open.</x:v>
      </x:c>
      <x:c r="H8" s="505" t="str">
        <x:v>F-1 trophy</x:v>
      </x:c>
      <x:c r="I8" s="26" t="str">
        <x:v>Roadmapped / plaque transcription blocking</x:v>
      </x:c>
    </x:row>
    <x:row r="9" ht="44" customHeight="1">
      <x:c r="A9" s="498" t="str">
        <x:v>Research findings</x:v>
      </x:c>
      <x:c r="B9" s="499" t="n">
        <x:f>COUNTA('v1.2 Findings'!A5:A200)</x:f>
        <x:v>16</x:v>
      </x:c>
      <x:c r="H9" s="505" t="str">
        <x:v>JAD Sherman</x:v>
      </x:c>
      <x:c r="I9" s="26" t="str">
        <x:v>Roadmapped / markings, roles and rarity blocking</x:v>
      </x:c>
    </x:row>
    <x:row r="10" ht="44" customHeight="1">
      <x:c r="A10" s="498" t="str">
        <x:v>BMXMuseum objects/targets</x:v>
      </x:c>
      <x:c r="B10" s="499" t="n">
        <x:f>COUNTA('v1.2 BMXM Objects'!A5:A200)</x:f>
        <x:v>14</x:v>
      </x:c>
      <x:c r="H10" s="505" t="str">
        <x:v>ELF catalog</x:v>
      </x:c>
      <x:c r="I10" s="26" t="str">
        <x:v>Roadmapped / complete page and imprint capture blocking</x:v>
      </x:c>
    </x:row>
    <x:row r="11" ht="44" customHeight="1">
      <x:c r="A11" s="498" t="str">
        <x:v>Source records</x:v>
      </x:c>
      <x:c r="B11" s="499" t="n">
        <x:f>COUNTA('v1.2 Sources'!A5:A200)</x:f>
        <x:v>11</x:v>
      </x:c>
      <x:c r="H11" s="505" t="str">
        <x:v>DIRTWERX + GHP artifacts</x:v>
      </x:c>
      <x:c r="I11" s="26" t="str">
        <x:v>Added to physical roadmap for later authentication</x:v>
      </x:c>
    </x:row>
    <x:row r="12">
      <x:c r="A12" s="500" t="str">
        <x:v>Open questions</x:v>
      </x:c>
      <x:c r="B12" s="501" t="n">
        <x:f>COUNTA('v1.2 Open Questions'!A5:A200)</x:f>
        <x:v>14</x:v>
      </x:c>
    </x:row>
    <x:row r="15">
      <x:c r="A15" s="495" t="str">
        <x:v>Operating Decision</x:v>
      </x:c>
      <x:c r="B15" s="495"/>
      <x:c r="C15" s="495"/>
      <x:c r="D15" s="495"/>
      <x:c r="E15" s="495"/>
      <x:c r="F15" s="495"/>
      <x:c r="G15" s="495"/>
      <x:c r="H15" s="495"/>
      <x:c r="I15" s="495"/>
    </x:row>
    <x:row r="16" ht="64" customHeight="1">
      <x:c r="A16" s="490" t="str">
        <x:v>Physical capture is now a parallel workstream, not a stop point. No artifact grade will be increased without the required hands-on evidence, but online recovery, period-source verification, BMXMuseum object discovery, catalog indexing and permission preparation continue immediately.</x:v>
      </x:c>
      <x:c r="B16" s="490"/>
      <x:c r="C16" s="490"/>
      <x:c r="D16" s="490"/>
      <x:c r="E16" s="490"/>
      <x:c r="F16" s="490"/>
      <x:c r="G16" s="490"/>
      <x:c r="H16" s="490"/>
      <x:c r="I16" s="490"/>
    </x:row>
    <x:row r="17" ht="64" customHeight="1">
      <x:c r="A17" s="490"/>
      <x:c r="B17" s="490"/>
      <x:c r="C17" s="490"/>
      <x:c r="D17" s="490"/>
      <x:c r="E17" s="490"/>
      <x:c r="F17" s="490"/>
      <x:c r="G17" s="490"/>
      <x:c r="H17" s="490"/>
      <x:c r="I17" s="490"/>
    </x:row>
    <x:row r="18" ht="64" customHeight="1">
      <x:c r="A18" s="490"/>
      <x:c r="B18" s="490"/>
      <x:c r="C18" s="490"/>
      <x:c r="D18" s="490"/>
      <x:c r="E18" s="490"/>
      <x:c r="F18" s="490"/>
      <x:c r="G18" s="490"/>
      <x:c r="H18" s="490"/>
      <x:c r="I18" s="490"/>
    </x:row>
    <x:row r="19" ht="64" customHeight="1">
      <x:c r="A19" s="490"/>
      <x:c r="B19" s="490"/>
      <x:c r="C19" s="490"/>
      <x:c r="D19" s="490"/>
      <x:c r="E19" s="490"/>
      <x:c r="F19" s="490"/>
      <x:c r="G19" s="490"/>
      <x:c r="H19" s="490"/>
      <x:c r="I19" s="490"/>
    </x:row>
  </x:sheetData>
  <x:mergeCells>
    <x:mergeCell ref="A1:N1"/>
    <x:mergeCell ref="A2:N2"/>
    <x:mergeCell ref="A15:I15"/>
    <x:mergeCell ref="A16:I19"/>
  </x:mergeCells>
  <x:pageMargins left="0.7" right="0.7" top="0.75" bottom="0.75" header="0.3" footer="0.3"/>
  <x:drawing xmlns:r="http://schemas.openxmlformats.org/officeDocument/2006/relationships" r:id="R4b5b71e55467436d"/>
</x:worksheet>
</file>

<file path=xl/worksheets/sheet69.xml><?xml version="1.0" encoding="utf-8"?>
<x:worksheet xmlns:x="http://schemas.openxmlformats.org/spreadsheetml/2006/main">
  <x:sheetFormatPr defaultRowHeight="15"/>
  <x:cols>
    <x:col min="1" max="1" width="21" hidden="0" customWidth="1"/>
    <x:col min="2" max="2" width="30" hidden="0" customWidth="1"/>
    <x:col min="3" max="3" width="58" hidden="0" customWidth="1"/>
    <x:col min="4" max="4" width="50" hidden="0" customWidth="1"/>
    <x:col min="5" max="5" width="16" hidden="0" customWidth="1"/>
  </x:cols>
  <x:sheetData>
    <x:row r="1">
      <x:c r="A1" s="525" t="str">
        <x:v>BMXMuseum Permission Request — Proposed Limited Research Pilot</x:v>
      </x:c>
      <x:c r="B1" s="525"/>
      <x:c r="C1" s="525"/>
      <x:c r="D1" s="525"/>
      <x:c r="E1" s="525"/>
    </x:row>
    <x:row r="2">
      <x:c r="A2" s="530" t="str">
        <x:v>A respectful, reversible request. BMXMuseum may approve the preferred export, an alternate access method, a smaller scope, or decline without affecting Lititz BMX’s attribution practices.</x:v>
      </x:c>
      <x:c r="B2" s="530"/>
      <x:c r="C2" s="530"/>
      <x:c r="D2" s="530"/>
      <x:c r="E2" s="530"/>
    </x:row>
    <x:row r="4">
      <x:c r="A4" s="535" t="str">
        <x:v>Section</x:v>
      </x:c>
      <x:c r="B4" s="535" t="str">
        <x:v>Proposed Term</x:v>
      </x:c>
      <x:c r="C4" s="535" t="str">
        <x:v>Requested / Offered Detail</x:v>
      </x:c>
      <x:c r="D4" s="535" t="str">
        <x:v>Why This Protects BMXMuseum</x:v>
      </x:c>
      <x:c r="E4" s="535" t="str">
        <x:v>Decision</x:v>
      </x:c>
    </x:row>
    <x:row r="5" ht="78" customHeight="1">
      <x:c r="A5" s="26" t="str">
        <x:v>Purpose</x:v>
      </x:c>
      <x:c r="B5" s="26" t="str">
        <x:v>Noncommercial preservation and research pilot</x:v>
      </x:c>
      <x:c r="C5" s="26" t="str">
        <x:v>Lititz BMX seeks permission to use limited public metadata to build a source-attributed research register linking bikes, brands, riders, results, tracks, catalogs and advertisements.</x:v>
      </x:c>
      <x:c r="D5" s="26" t="str">
        <x:v>The project is archival and educational; it is not a marketplace, commercial data product or public mirror.</x:v>
      </x:c>
      <x:c r="E5" s="26" t="str">
        <x:v>Requested</x:v>
      </x:c>
    </x:row>
    <x:row r="6" ht="78" customHeight="1">
      <x:c r="A6" s="26" t="str">
        <x:v>Preferred access</x:v>
      </x:c>
      <x:c r="B6" s="26" t="str">
        <x:v>BMXMuseum-supplied CSV export</x:v>
      </x:c>
      <x:c r="C6" s="26" t="str">
        <x:v>Preferred route: a small export prepared by BMXMuseum containing only approved fields for selected brands and object types.</x:v>
      </x:c>
      <x:c r="D6" s="26" t="str">
        <x:v>BMXMuseum controls exactly what leaves the system; no crawler load and no accidental access to excluded pages.</x:v>
      </x:c>
      <x:c r="E6" s="26" t="str">
        <x:v>Preferred</x:v>
      </x:c>
    </x:row>
    <x:row r="7" ht="78" customHeight="1">
      <x:c r="A7" s="26" t="str">
        <x:v>Alternate access</x:v>
      </x:c>
      <x:c r="B7" s="26" t="str">
        <x:v>Sanctioned low-rate crawl or API</x:v>
      </x:c>
      <x:c r="C7" s="26" t="str">
        <x:v>If an export is not practical: one named user agent, one concurrent request, no faster than one request per five seconds, local caching and an agreed record/path cap.</x:v>
      </x:c>
      <x:c r="D7" s="26" t="str">
        <x:v>Transparent identity, minimal server load, no evasion and immediate shutdown on request.</x:v>
      </x:c>
      <x:c r="E7" s="26" t="str">
        <x:v>Optional</x:v>
      </x:c>
    </x:row>
    <x:row r="8" ht="78" customHeight="1">
      <x:c r="A8" s="26" t="str">
        <x:v>Pilot cap</x:v>
      </x:c>
      <x:c r="B8" s="26" t="str">
        <x:v>30 days or 1,000 records</x:v>
      </x:c>
      <x:c r="C8" s="26" t="str">
        <x:v>Initial scope limited to DIRTWERX, GHP, JMC, GT/Dyno, Diamond Back/Harry Leary and selected reference/catalog objects, or another scope BMXMuseum chooses.</x:v>
      </x:c>
      <x:c r="D8" s="26" t="str">
        <x:v>Small enough to review, stop or revise before any expansion.</x:v>
      </x:c>
      <x:c r="E8" s="26" t="str">
        <x:v>Requested</x:v>
      </x:c>
    </x:row>
    <x:row r="9" ht="78" customHeight="1">
      <x:c r="A9" s="26" t="str">
        <x:v>Public output</x:v>
      </x:c>
      <x:c r="B9" s="26" t="str">
        <x:v>Derived register, not a substitute site</x:v>
      </x:c>
      <x:c r="C9" s="26" t="str">
        <x:v>Public records would include a factual summary, confidence status, BMXMuseum attribution and canonical link. No BMXMuseum photographs, descriptions or forum bodies would be reproduced.</x:v>
      </x:c>
      <x:c r="D9" s="26" t="str">
        <x:v>Traffic and authority stay with BMXMuseum; Lititz BMX does not replace the original records.</x:v>
      </x:c>
      <x:c r="E9" s="26" t="str">
        <x:v>Offered</x:v>
      </x:c>
    </x:row>
    <x:row r="10" ht="78" customHeight="1">
      <x:c r="A10" s="26" t="str">
        <x:v>Attribution</x:v>
      </x:c>
      <x:c r="B10" s="26" t="str">
        <x:v>Record-level credit and canonical link</x:v>
      </x:c>
      <x:c r="C10" s="26" t="str">
        <x:v>Every BMXMuseum-derived entry will name BMXMuseum.com, preserve the record/reference/thread ID and link to the original page.</x:v>
      </x:c>
      <x:c r="D10" s="26" t="str">
        <x:v>Provenance remains visible and users are directed to the source.</x:v>
      </x:c>
      <x:c r="E10" s="26" t="str">
        <x:v>Offered</x:v>
      </x:c>
    </x:row>
    <x:row r="11" ht="78" customHeight="1">
      <x:c r="A11" s="26" t="str">
        <x:v>Corrections</x:v>
      </x:c>
      <x:c r="B11" s="26" t="str">
        <x:v>Prompt correction, removal and pause process</x:v>
      </x:c>
      <x:c r="C11" s="26" t="str">
        <x:v>BMXMuseum may report errors, request a pause, narrow the scope or request removal of a derived entry. Corrections will be logged.</x:v>
      </x:c>
      <x:c r="D11" s="26" t="str">
        <x:v>BMXMuseum retains practical control over misrepresentation or unintended use.</x:v>
      </x:c>
      <x:c r="E11" s="26" t="str">
        <x:v>Offered</x:v>
      </x:c>
    </x:row>
    <x:row r="12" ht="78" customHeight="1">
      <x:c r="A12" s="26" t="str">
        <x:v>Data return</x:v>
      </x:c>
      <x:c r="B12" s="26" t="str">
        <x:v>Share useful corrections back</x:v>
      </x:c>
      <x:c r="C12" s="26" t="str">
        <x:v>Lititz BMX can return broken-link findings, normalized aliases, conflicts, period-source verification and suggested corrections for BMXMuseum’s consideration.</x:v>
      </x:c>
      <x:c r="D12" s="26" t="str">
        <x:v>The pilot can improve source quality rather than only consume it.</x:v>
      </x:c>
      <x:c r="E12" s="26" t="str">
        <x:v>Offered</x:v>
      </x:c>
    </x:row>
    <x:row r="13" ht="78" customHeight="1">
      <x:c r="A13" s="26" t="str">
        <x:v>No exclusivity</x:v>
      </x:c>
      <x:c r="B13" s="26" t="str">
        <x:v>No ownership claim over BMXMuseum data</x:v>
      </x:c>
      <x:c r="C13" s="26" t="str">
        <x:v>Lititz BMX claims ownership only over its own analysis, organization and original writing—not BMXMuseum records, images or member contributions.</x:v>
      </x:c>
      <x:c r="D13" s="26" t="str">
        <x:v>Protects BMXMuseum and contributor rights.</x:v>
      </x:c>
      <x:c r="E13" s="26" t="str">
        <x:v>Offered</x:v>
      </x:c>
    </x:row>
  </x:sheetData>
  <x:mergeCells>
    <x:mergeCell ref="A1:E1"/>
    <x:mergeCell ref="A2:E2"/>
  </x:mergeCells>
  <x:pageMargins left="0.7" right="0.7" top="0.75" bottom="0.75" header="0.3" footer="0.3"/>
  <x:tableParts count="1">
    <x:tablePart xmlns:r="http://schemas.openxmlformats.org/officeDocument/2006/relationships" r:id="Rbbd44ab69faf459c"/>
  </x:tableParts>
</x:worksheet>
</file>

<file path=xl/worksheets/sheet70.xml><?xml version="1.0" encoding="utf-8"?>
<x:worksheet xmlns:x="http://schemas.openxmlformats.org/spreadsheetml/2006/main">
  <x:sheetFormatPr defaultRowHeight="15"/>
  <x:cols>
    <x:col min="1" max="1" width="30" hidden="0" customWidth="1"/>
    <x:col min="2" max="2" width="18" hidden="0" customWidth="1"/>
    <x:col min="3" max="3" width="54" hidden="0" customWidth="1"/>
    <x:col min="4" max="4" width="48" hidden="0" customWidth="1"/>
    <x:col min="5" max="5" width="38" hidden="0" customWidth="1"/>
    <x:col min="6" max="6" width="22" hidden="0" customWidth="1"/>
  </x:cols>
  <x:sheetData>
    <x:row r="1">
      <x:c r="A1" s="525" t="str">
        <x:v>Requested Metadata Field Specification</x:v>
      </x:c>
      <x:c r="B1" s="525"/>
      <x:c r="C1" s="525"/>
      <x:c r="D1" s="525"/>
      <x:c r="E1" s="525"/>
      <x:c r="F1" s="525"/>
    </x:row>
    <x:row r="2">
      <x:c r="A2" s="530" t="str">
        <x:v>The pilot is deliberately metadata-light. Images, expressive descriptions, forum bodies, profiles, private data and marketplace dossiers are excluded.</x:v>
      </x:c>
      <x:c r="B2" s="530"/>
      <x:c r="C2" s="530"/>
      <x:c r="D2" s="530"/>
      <x:c r="E2" s="530"/>
      <x:c r="F2" s="530"/>
    </x:row>
    <x:row r="4">
      <x:c r="A4" s="535" t="str">
        <x:v>Field</x:v>
      </x:c>
      <x:c r="B4" s="535" t="str">
        <x:v>Priority</x:v>
      </x:c>
      <x:c r="C4" s="535" t="str">
        <x:v>Description</x:v>
      </x:c>
      <x:c r="D4" s="535" t="str">
        <x:v>Public Output Use</x:v>
      </x:c>
      <x:c r="E4" s="535" t="str">
        <x:v>Personal / Rights Risk</x:v>
      </x:c>
      <x:c r="F4" s="535" t="str">
        <x:v>Requested by Default</x:v>
      </x:c>
    </x:row>
    <x:row r="5" ht="66" customHeight="1">
      <x:c r="A5" s="26" t="str">
        <x:v>record_id</x:v>
      </x:c>
      <x:c r="B5" s="26" t="str">
        <x:v>Required</x:v>
      </x:c>
      <x:c r="C5" s="26" t="str">
        <x:v>Stable BMXMuseum bike/reference/thread identifier.</x:v>
      </x:c>
      <x:c r="D5" s="26" t="str">
        <x:v>Preserve provenance and de-duplicate records.</x:v>
      </x:c>
      <x:c r="E5" s="26" t="str">
        <x:v>Low</x:v>
      </x:c>
      <x:c r="F5" s="26" t="str">
        <x:v>Yes</x:v>
      </x:c>
    </x:row>
    <x:row r="6" ht="66" customHeight="1">
      <x:c r="A6" s="26" t="str">
        <x:v>canonical_url</x:v>
      </x:c>
      <x:c r="B6" s="26" t="str">
        <x:v>Required</x:v>
      </x:c>
      <x:c r="C6" s="26" t="str">
        <x:v>Original public BMXMuseum URL.</x:v>
      </x:c>
      <x:c r="D6" s="26" t="str">
        <x:v>Link users to source and avoid mirroring.</x:v>
      </x:c>
      <x:c r="E6" s="26" t="str">
        <x:v>Low</x:v>
      </x:c>
      <x:c r="F6" s="26" t="str">
        <x:v>Yes</x:v>
      </x:c>
    </x:row>
    <x:row r="7" ht="66" customHeight="1">
      <x:c r="A7" s="26" t="str">
        <x:v>object_type</x:v>
      </x:c>
      <x:c r="B7" s="26" t="str">
        <x:v>Required</x:v>
      </x:c>
      <x:c r="C7" s="26" t="str">
        <x:v>Bike, brand, reference, forum thread, catalog or other approved public type.</x:v>
      </x:c>
      <x:c r="D7" s="26" t="str">
        <x:v>Organize the knowledge graph.</x:v>
      </x:c>
      <x:c r="E7" s="26" t="str">
        <x:v>Low</x:v>
      </x:c>
      <x:c r="F7" s="26" t="str">
        <x:v>Yes</x:v>
      </x:c>
    </x:row>
    <x:row r="8" ht="66" customHeight="1">
      <x:c r="A8" s="26" t="str">
        <x:v>brand_company</x:v>
      </x:c>
      <x:c r="B8" s="26" t="str">
        <x:v>Required</x:v>
      </x:c>
      <x:c r="C8" s="26" t="str">
        <x:v>Normalized public brand/company category.</x:v>
      </x:c>
      <x:c r="D8" s="26" t="str">
        <x:v>Brand chronology and cross-reference.</x:v>
      </x:c>
      <x:c r="E8" s="26" t="str">
        <x:v>Low</x:v>
      </x:c>
      <x:c r="F8" s="26" t="str">
        <x:v>Yes</x:v>
      </x:c>
    </x:row>
    <x:row r="9" ht="66" customHeight="1">
      <x:c r="A9" s="26" t="str">
        <x:v>submitted_year</x:v>
      </x:c>
      <x:c r="B9" s="26" t="str">
        <x:v>Preferred</x:v>
      </x:c>
      <x:c r="C9" s="26" t="str">
        <x:v>Year assigned to the public record, retained as submitted unless independently verified.</x:v>
      </x:c>
      <x:c r="D9" s="26" t="str">
        <x:v>Discovery and comparison; clearly labeled as submitted.</x:v>
      </x:c>
      <x:c r="E9" s="26" t="str">
        <x:v>Low</x:v>
      </x:c>
      <x:c r="F9" s="26" t="str">
        <x:v>Yes</x:v>
      </x:c>
    </x:row>
    <x:row r="10" ht="66" customHeight="1">
      <x:c r="A10" s="26" t="str">
        <x:v>model_title</x:v>
      </x:c>
      <x:c r="B10" s="26" t="str">
        <x:v>Required</x:v>
      </x:c>
      <x:c r="C10" s="26" t="str">
        <x:v>Public record title or model name.</x:v>
      </x:c>
      <x:c r="D10" s="26" t="str">
        <x:v>Identification and exact-link display.</x:v>
      </x:c>
      <x:c r="E10" s="26" t="str">
        <x:v>Low to moderate; title only</x:v>
      </x:c>
      <x:c r="F10" s="26" t="str">
        <x:v>Yes</x:v>
      </x:c>
    </x:row>
    <x:row r="11" ht="66" customHeight="1">
      <x:c r="A11" s="26" t="str">
        <x:v>wheel_size</x:v>
      </x:c>
      <x:c r="B11" s="26" t="str">
        <x:v>Optional</x:v>
      </x:c>
      <x:c r="C11" s="26" t="str">
        <x:v>Public wheel-size category if stored.</x:v>
      </x:c>
      <x:c r="D11" s="26" t="str">
        <x:v>Separate 20, 24, 26 and other records.</x:v>
      </x:c>
      <x:c r="E11" s="26" t="str">
        <x:v>Low</x:v>
      </x:c>
      <x:c r="F11" s="26" t="str">
        <x:v>If available</x:v>
      </x:c>
    </x:row>
    <x:row r="12" ht="66" customHeight="1">
      <x:c r="A12" s="26" t="str">
        <x:v>public_category_tags</x:v>
      </x:c>
      <x:c r="B12" s="26" t="str">
        <x:v>Optional</x:v>
      </x:c>
      <x:c r="C12" s="26" t="str">
        <x:v>Approved public tags such as race, freestyle, cruiser, survivor, restoration, custom or replica.</x:v>
      </x:c>
      <x:c r="D12" s="26" t="str">
        <x:v>Prevents customized bikes from becoming false factory specifications.</x:v>
      </x:c>
      <x:c r="E12" s="26" t="str">
        <x:v>Low</x:v>
      </x:c>
      <x:c r="F12" s="26" t="str">
        <x:v>If available</x:v>
      </x:c>
    </x:row>
    <x:row r="13" ht="66" customHeight="1">
      <x:c r="A13" s="26" t="str">
        <x:v>date_added</x:v>
      </x:c>
      <x:c r="B13" s="26" t="str">
        <x:v>Optional</x:v>
      </x:c>
      <x:c r="C13" s="26" t="str">
        <x:v>Public record creation date.</x:v>
      </x:c>
      <x:c r="D13" s="26" t="str">
        <x:v>Chronology and preservation monitoring.</x:v>
      </x:c>
      <x:c r="E13" s="26" t="str">
        <x:v>Low</x:v>
      </x:c>
      <x:c r="F13" s="26" t="str">
        <x:v>If available</x:v>
      </x:c>
    </x:row>
    <x:row r="14" ht="66" customHeight="1">
      <x:c r="A14" s="26" t="str">
        <x:v>date_updated</x:v>
      </x:c>
      <x:c r="B14" s="26" t="str">
        <x:v>Optional</x:v>
      </x:c>
      <x:c r="C14" s="26" t="str">
        <x:v>Public record update date.</x:v>
      </x:c>
      <x:c r="D14" s="26" t="str">
        <x:v>Identify stale or changed records.</x:v>
      </x:c>
      <x:c r="E14" s="26" t="str">
        <x:v>Low</x:v>
      </x:c>
      <x:c r="F14" s="26" t="str">
        <x:v>If available</x:v>
      </x:c>
    </x:row>
    <x:row r="15" ht="66" customHeight="1">
      <x:c r="A15" s="26" t="str">
        <x:v>brand_id_model_id</x:v>
      </x:c>
      <x:c r="B15" s="26" t="str">
        <x:v>Optional</x:v>
      </x:c>
      <x:c r="C15" s="26" t="str">
        <x:v>Internal public category identifiers, if BMXMuseum is comfortable sharing them.</x:v>
      </x:c>
      <x:c r="D15" s="26" t="str">
        <x:v>Normalize relationships and avoid spelling fragmentation.</x:v>
      </x:c>
      <x:c r="E15" s="26" t="str">
        <x:v>Low</x:v>
      </x:c>
      <x:c r="F15" s="26" t="str">
        <x:v>If approved</x:v>
      </x:c>
    </x:row>
    <x:row r="16" ht="66" customHeight="1">
      <x:c r="A16" s="26" t="str">
        <x:v>public_contributor_display_name</x:v>
      </x:c>
      <x:c r="B16" s="26" t="str">
        <x:v>Excluded by default</x:v>
      </x:c>
      <x:c r="C16" s="26" t="str">
        <x:v>Only if BMXMuseum affirmatively chooses to include the already-public display name.</x:v>
      </x:c>
      <x:c r="D16" s="26" t="str">
        <x:v>Attribution where BMXMuseum believes it is appropriate.</x:v>
      </x:c>
      <x:c r="E16" s="26" t="str">
        <x:v>Moderate personal-data risk</x:v>
      </x:c>
      <x:c r="F16" s="26" t="str">
        <x:v>No</x:v>
      </x:c>
    </x:row>
    <x:row r="17" ht="66" customHeight="1">
      <x:c r="A17" s="26" t="str">
        <x:v>description_text</x:v>
      </x:c>
      <x:c r="B17" s="26" t="str">
        <x:v>Excluded</x:v>
      </x:c>
      <x:c r="C17" s="26" t="str">
        <x:v>Contributor-written descriptions and expressive text.</x:v>
      </x:c>
      <x:c r="D17" s="26" t="str">
        <x:v>Not required for the pilot.</x:v>
      </x:c>
      <x:c r="E17" s="26" t="str">
        <x:v>Copyright/member-content risk</x:v>
      </x:c>
      <x:c r="F17" s="26" t="str">
        <x:v>No</x:v>
      </x:c>
    </x:row>
    <x:row r="18" ht="66" customHeight="1">
      <x:c r="A18" s="26" t="str">
        <x:v>image_urls_or_files</x:v>
      </x:c>
      <x:c r="B18" s="26" t="str">
        <x:v>Excluded</x:v>
      </x:c>
      <x:c r="C18" s="26" t="str">
        <x:v>All photographs, thumbnails and scans.</x:v>
      </x:c>
      <x:c r="D18" s="26" t="str">
        <x:v>Not required; only an image-present flag may be requested.</x:v>
      </x:c>
      <x:c r="E18" s="26" t="str">
        <x:v>Copyright and bandwidth risk</x:v>
      </x:c>
      <x:c r="F18" s="26" t="str">
        <x:v>No</x:v>
      </x:c>
    </x:row>
    <x:row r="19" ht="66" customHeight="1">
      <x:c r="A19" s="26" t="str">
        <x:v>forum_post_bodies</x:v>
      </x:c>
      <x:c r="B19" s="26" t="str">
        <x:v>Excluded</x:v>
      </x:c>
      <x:c r="C19" s="26" t="str">
        <x:v>Comments, quotations and discussion text.</x:v>
      </x:c>
      <x:c r="D19" s="26" t="str">
        <x:v>Only thread ID/title/topic metadata is requested.</x:v>
      </x:c>
      <x:c r="E19" s="26" t="str">
        <x:v>Member-content and privacy risk</x:v>
      </x:c>
      <x:c r="F19" s="26" t="str">
        <x:v>No</x:v>
      </x:c>
    </x:row>
    <x:row r="20" ht="66" customHeight="1">
      <x:c r="A20" s="26" t="str">
        <x:v>profile_contact_data</x:v>
      </x:c>
      <x:c r="B20" s="26" t="str">
        <x:v>Excluded</x:v>
      </x:c>
      <x:c r="C20" s="26" t="str">
        <x:v>Email, phone, location, address, private profile fields and member directory data.</x:v>
      </x:c>
      <x:c r="D20" s="26" t="str">
        <x:v>No research need.</x:v>
      </x:c>
      <x:c r="E20" s="26" t="str">
        <x:v>High personal-data risk</x:v>
      </x:c>
      <x:c r="F20" s="26" t="str">
        <x:v>No</x:v>
      </x:c>
    </x:row>
    <x:row r="21" ht="66" customHeight="1">
      <x:c r="A21" s="26" t="str">
        <x:v>classified_transaction_data</x:v>
      </x:c>
      <x:c r="B21" s="26" t="str">
        <x:v>Excluded</x:v>
      </x:c>
      <x:c r="C21" s="26" t="str">
        <x:v>Seller histories, bids, transaction histories and buyer/seller dossiers.</x:v>
      </x:c>
      <x:c r="D21" s="26" t="str">
        <x:v>No research need.</x:v>
      </x:c>
      <x:c r="E21" s="26" t="str">
        <x:v>Privacy and commercial risk</x:v>
      </x:c>
      <x:c r="F21" s="26" t="str">
        <x:v>No</x:v>
      </x:c>
    </x:row>
    <x:row r="22" ht="66" customHeight="1">
      <x:c r="A22" s="26" t="str">
        <x:v>private_login_only_data</x:v>
      </x:c>
      <x:c r="B22" s="26" t="str">
        <x:v>Excluded</x:v>
      </x:c>
      <x:c r="C22" s="26" t="str">
        <x:v>Messages, administrative data, nonpublic records or access-controlled material.</x:v>
      </x:c>
      <x:c r="D22" s="26" t="str">
        <x:v>Never requested.</x:v>
      </x:c>
      <x:c r="E22" s="26" t="str">
        <x:v>High</x:v>
      </x:c>
      <x:c r="F22" s="26" t="str">
        <x:v>No</x:v>
      </x:c>
    </x:row>
  </x:sheetData>
  <x:mergeCells>
    <x:mergeCell ref="A1:F1"/>
    <x:mergeCell ref="A2:F2"/>
  </x:mergeCells>
  <x:dataValidations count="1">
    <x:dataValidation type="list" sqref="B5:B500">
      <x:formula1>"Required,Preferred,Optional,Excluded,Excluded by default"</x:formula1>
    </x:dataValidation>
  </x:dataValidations>
  <x:pageMargins left="0.7" right="0.7" top="0.75" bottom="0.75" header="0.3" footer="0.3"/>
  <x:tableParts count="1">
    <x:tablePart xmlns:r="http://schemas.openxmlformats.org/officeDocument/2006/relationships" r:id="R079b7730547c4fef"/>
  </x:tableParts>
</x:worksheet>
</file>

<file path=xl/worksheets/sheet71.xml><?xml version="1.0" encoding="utf-8"?>
<x:worksheet xmlns:x="http://schemas.openxmlformats.org/spreadsheetml/2006/main">
  <x:sheetFormatPr defaultRowHeight="15"/>
  <x:cols>
    <x:col min="1" max="1" width="24" hidden="0" customWidth="1"/>
    <x:col min="2" max="2" width="34" hidden="0" customWidth="1"/>
    <x:col min="3" max="3" width="58" hidden="0" customWidth="1"/>
    <x:col min="4" max="4" width="40" hidden="0" customWidth="1"/>
    <x:col min="5" max="5" width="18" hidden="0" customWidth="1"/>
  </x:cols>
  <x:sheetData>
    <x:row r="1">
      <x:c r="A1" s="525" t="str">
        <x:v>Technical, Rights and Privacy Safeguards</x:v>
      </x:c>
      <x:c r="B1" s="525"/>
      <x:c r="C1" s="525"/>
      <x:c r="D1" s="525"/>
      <x:c r="E1" s="525"/>
    </x:row>
    <x:row r="2">
      <x:c r="A2" s="530" t="str">
        <x:v>These safeguards apply whether BMXMuseum supplies an export or authorizes a limited crawl/API route.</x:v>
      </x:c>
      <x:c r="B2" s="530"/>
      <x:c r="C2" s="530"/>
      <x:c r="D2" s="530"/>
      <x:c r="E2" s="530"/>
    </x:row>
    <x:row r="4">
      <x:c r="A4" s="535" t="str">
        <x:v>Control Area</x:v>
      </x:c>
      <x:c r="B4" s="535" t="str">
        <x:v>Commitment</x:v>
      </x:c>
      <x:c r="C4" s="535" t="str">
        <x:v>Implementation</x:v>
      </x:c>
      <x:c r="D4" s="535" t="str">
        <x:v>Verification / Audit</x:v>
      </x:c>
      <x:c r="E4" s="535" t="str">
        <x:v>Status</x:v>
      </x:c>
    </x:row>
    <x:row r="5" ht="68" customHeight="1">
      <x:c r="A5" s="26" t="str">
        <x:v>Identity</x:v>
      </x:c>
      <x:c r="B5" s="26" t="str">
        <x:v>Transparent research identity</x:v>
      </x:c>
      <x:c r="C5" s="26" t="str">
        <x:v>Named user agent: LititzBMX-Research/1.0 with public project URL and contact route.</x:v>
      </x:c>
      <x:c r="D5" s="26" t="str">
        <x:v>User-agent and request logs retained.</x:v>
      </x:c>
      <x:c r="E5" s="26" t="str">
        <x:v>Committed</x:v>
      </x:c>
    </x:row>
    <x:row r="6" ht="68" customHeight="1">
      <x:c r="A6" s="26" t="str">
        <x:v>Rate</x:v>
      </x:c>
      <x:c r="B6" s="26" t="str">
        <x:v>Minimal request rate</x:v>
      </x:c>
      <x:c r="C6" s="26" t="str">
        <x:v>Maximum one request every five seconds and one concurrent connection unless BMXMuseum specifies lower limits.</x:v>
      </x:c>
      <x:c r="D6" s="26" t="str">
        <x:v>Request log with timestamps.</x:v>
      </x:c>
      <x:c r="E6" s="26" t="str">
        <x:v>Proposed</x:v>
      </x:c>
    </x:row>
    <x:row r="7" ht="68" customHeight="1">
      <x:c r="A7" s="26" t="str">
        <x:v>Scope</x:v>
      </x:c>
      <x:c r="B7" s="26" t="str">
        <x:v>Approved public paths only</x:v>
      </x:c>
      <x:c r="C7" s="26" t="str">
        <x:v>Only paths/fields explicitly authorized by BMXMuseum. No path guessing beyond the approved plan.</x:v>
      </x:c>
      <x:c r="D7" s="26" t="str">
        <x:v>Allowlist stored in project record.</x:v>
      </x:c>
      <x:c r="E7" s="26" t="str">
        <x:v>Committed</x:v>
      </x:c>
    </x:row>
    <x:row r="8" ht="68" customHeight="1">
      <x:c r="A8" s="26" t="str">
        <x:v>Caching</x:v>
      </x:c>
      <x:c r="B8" s="26" t="str">
        <x:v>Avoid repeat load</x:v>
      </x:c>
      <x:c r="C8" s="26" t="str">
        <x:v>Cache successful approved metadata and do not repeatedly refetch unchanged records.</x:v>
      </x:c>
      <x:c r="D8" s="26" t="str">
        <x:v>Cache and hash log.</x:v>
      </x:c>
      <x:c r="E8" s="26" t="str">
        <x:v>Committed</x:v>
      </x:c>
    </x:row>
    <x:row r="9" ht="68" customHeight="1">
      <x:c r="A9" s="26" t="str">
        <x:v>Robots/access</x:v>
      </x:c>
      <x:c r="B9" s="26" t="str">
        <x:v>No circumvention</x:v>
      </x:c>
      <x:c r="C9" s="26" t="str">
        <x:v>No proxy rotation, CAPTCHA bypass, disguised user agent, access-control evasion or alternate archive used to defeat restrictions.</x:v>
      </x:c>
      <x:c r="D9" s="26" t="str">
        <x:v>Method and rights audit.</x:v>
      </x:c>
      <x:c r="E9" s="26" t="str">
        <x:v>Committed</x:v>
      </x:c>
    </x:row>
    <x:row r="10" ht="68" customHeight="1">
      <x:c r="A10" s="26" t="str">
        <x:v>Images</x:v>
      </x:c>
      <x:c r="B10" s="26" t="str">
        <x:v>No collection or republication</x:v>
      </x:c>
      <x:c r="C10" s="26" t="str">
        <x:v>No photograph files, thumbnails or image URLs requested. Lititz BMX may record only that an image is present.</x:v>
      </x:c>
      <x:c r="D10" s="26" t="str">
        <x:v>Field-level exclusion and output audit.</x:v>
      </x:c>
      <x:c r="E10" s="26" t="str">
        <x:v>Committed</x:v>
      </x:c>
    </x:row>
    <x:row r="11" ht="68" customHeight="1">
      <x:c r="A11" s="26" t="str">
        <x:v>Text</x:v>
      </x:c>
      <x:c r="B11" s="26" t="str">
        <x:v>No mirroring</x:v>
      </x:c>
      <x:c r="C11" s="26" t="str">
        <x:v>No record descriptions, forum bodies or substantial quotations requested or republished.</x:v>
      </x:c>
      <x:c r="D11" s="26" t="str">
        <x:v>Public-output audit.</x:v>
      </x:c>
      <x:c r="E11" s="26" t="str">
        <x:v>Committed</x:v>
      </x:c>
    </x:row>
    <x:row r="12" ht="68" customHeight="1">
      <x:c r="A12" s="26" t="str">
        <x:v>Members</x:v>
      </x:c>
      <x:c r="B12" s="26" t="str">
        <x:v>No member harvesting</x:v>
      </x:c>
      <x:c r="C12" s="26" t="str">
        <x:v>No profile directory, contact information, private messages, addresses or member-behavior dossiers.</x:v>
      </x:c>
      <x:c r="D12" s="26" t="str">
        <x:v>Field exclusion and privacy audit.</x:v>
      </x:c>
      <x:c r="E12" s="26" t="str">
        <x:v>Committed</x:v>
      </x:c>
    </x:row>
    <x:row r="13" ht="68" customHeight="1">
      <x:c r="A13" s="26" t="str">
        <x:v>Marketplace</x:v>
      </x:c>
      <x:c r="B13" s="26" t="str">
        <x:v>No competing dataset</x:v>
      </x:c>
      <x:c r="C13" s="26" t="str">
        <x:v>No classifieds mirror, pricing feed, seller history or transaction database.</x:v>
      </x:c>
      <x:c r="D13" s="26" t="str">
        <x:v>Field exclusion and public-output audit.</x:v>
      </x:c>
      <x:c r="E13" s="26" t="str">
        <x:v>Committed</x:v>
      </x:c>
    </x:row>
    <x:row r="14" ht="68" customHeight="1">
      <x:c r="A14" s="26" t="str">
        <x:v>Use</x:v>
      </x:c>
      <x:c r="B14" s="26" t="str">
        <x:v>No public substitute</x:v>
      </x:c>
      <x:c r="C14" s="26" t="str">
        <x:v>Derived entries provide factual summaries, citations and canonical links; BMXMuseum remains the source of record.</x:v>
      </x:c>
      <x:c r="D14" s="26" t="str">
        <x:v>Sample-output review.</x:v>
      </x:c>
      <x:c r="E14" s="26" t="str">
        <x:v>Committed</x:v>
      </x:c>
    </x:row>
    <x:row r="15" ht="68" customHeight="1">
      <x:c r="A15" s="26" t="str">
        <x:v>Correction</x:v>
      </x:c>
      <x:c r="B15" s="26" t="str">
        <x:v>BMXMuseum-controlled pause/correction</x:v>
      </x:c>
      <x:c r="C15" s="26" t="str">
        <x:v>Named contact route for immediate pause, correction, scope reduction or removal request.</x:v>
      </x:c>
      <x:c r="D15" s="26" t="str">
        <x:v>Correction ledger and change history.</x:v>
      </x:c>
      <x:c r="E15" s="26" t="str">
        <x:v>Committed</x:v>
      </x:c>
    </x:row>
    <x:row r="16" ht="68" customHeight="1">
      <x:c r="A16" s="26" t="str">
        <x:v>Security</x:v>
      </x:c>
      <x:c r="B16" s="26" t="str">
        <x:v>Metadata-only retention</x:v>
      </x:c>
      <x:c r="C16" s="26" t="str">
        <x:v>Approved metadata stored in a controlled research workbook and preservation package; no credentials or personal data.</x:v>
      </x:c>
      <x:c r="D16" s="26" t="str">
        <x:v>Evidence manifest and access review.</x:v>
      </x:c>
      <x:c r="E16" s="26" t="str">
        <x:v>Committed</x:v>
      </x:c>
    </x:row>
    <x:row r="17" ht="68" customHeight="1">
      <x:c r="A17" s="26" t="str">
        <x:v>End of pilot</x:v>
      </x:c>
      <x:c r="B17" s="26" t="str">
        <x:v>Review before expansion</x:v>
      </x:c>
      <x:c r="C17" s="26" t="str">
        <x:v>Pilot ends at the cap; no extension without affirmative agreement.</x:v>
      </x:c>
      <x:c r="D17" s="26" t="str">
        <x:v>Record count and date controls.</x:v>
      </x:c>
      <x:c r="E17" s="26" t="str">
        <x:v>Committed</x:v>
      </x:c>
    </x:row>
  </x:sheetData>
  <x:mergeCells>
    <x:mergeCell ref="A1:E1"/>
    <x:mergeCell ref="A2:E2"/>
  </x:mergeCells>
  <x:pageMargins left="0.7" right="0.7" top="0.75" bottom="0.75" header="0.3" footer="0.3"/>
  <x:tableParts count="1">
    <x:tablePart xmlns:r="http://schemas.openxmlformats.org/officeDocument/2006/relationships" r:id="Rdf5feaad3527483b"/>
  </x:tableParts>
</x:worksheet>
</file>

<file path=xl/worksheets/sheet72.xml><?xml version="1.0" encoding="utf-8"?>
<x:worksheet xmlns:x="http://schemas.openxmlformats.org/spreadsheetml/2006/main">
  <x:sheetFormatPr defaultRowHeight="15"/>
  <x:cols>
    <x:col min="1" max="1" width="24" hidden="0" customWidth="1"/>
    <x:col min="2" max="2" width="32" hidden="0" customWidth="1"/>
    <x:col min="3" max="3" width="52" hidden="0" customWidth="1"/>
    <x:col min="4" max="4" width="34" hidden="0" customWidth="1"/>
    <x:col min="5" max="5" width="34" hidden="0" customWidth="1"/>
    <x:col min="6" max="6" width="58" hidden="0" customWidth="1"/>
    <x:col min="7" max="7" width="14" hidden="0" customWidth="1"/>
  </x:cols>
  <x:sheetData>
    <x:row r="1">
      <x:c r="A1" s="525" t="str">
        <x:v>BMXMuseum Contact Route Verification</x:v>
      </x:c>
      <x:c r="B1" s="525"/>
      <x:c r="C1" s="525"/>
      <x:c r="D1" s="525"/>
      <x:c r="E1" s="525"/>
      <x:c r="F1" s="525"/>
      <x:c r="G1" s="525"/>
    </x:row>
    <x:row r="2">
      <x:c r="A2" s="530" t="str">
        <x:v>No request has been sent. The Gmail draft uses a candidate email address from a secondary directory and must be manually verified before sending.</x:v>
      </x:c>
      <x:c r="B2" s="530"/>
      <x:c r="C2" s="530"/>
      <x:c r="D2" s="530"/>
      <x:c r="E2" s="530"/>
      <x:c r="F2" s="530"/>
      <x:c r="G2" s="530"/>
    </x:row>
    <x:row r="4">
      <x:c r="A4" s="535" t="str">
        <x:v>Contact Route</x:v>
      </x:c>
      <x:c r="B4" s="535" t="str">
        <x:v>Candidate Detail</x:v>
      </x:c>
      <x:c r="C4" s="535" t="str">
        <x:v>Evidence</x:v>
      </x:c>
      <x:c r="D4" s="535" t="str">
        <x:v>Confidence</x:v>
      </x:c>
      <x:c r="E4" s="535" t="str">
        <x:v>Use Decision</x:v>
      </x:c>
      <x:c r="F4" s="535" t="str">
        <x:v>Source URL</x:v>
      </x:c>
      <x:c r="G4" s="535" t="str">
        <x:v>Checked</x:v>
      </x:c>
    </x:row>
    <x:row r="5" ht="72" customHeight="1">
      <x:c r="A5" s="26" t="str">
        <x:v>BMXMuseum website</x:v>
      </x:c>
      <x:c r="B5" s="26" t="str">
        <x:v>Use the site’s own contact or message path if available to the user.</x:v>
      </x:c>
      <x:c r="C5" s="26" t="str">
        <x:v>Gary Sansom has publicly stated people can reach him on the site.</x:v>
      </x:c>
      <x:c r="D5" s="26" t="str">
        <x:v>High for route; exact page not retrievable by this research browser</x:v>
      </x:c>
      <x:c r="E5" s="26" t="str">
        <x:v>Preferred first route when manually accessible</x:v>
      </x:c>
      <x:c r="F5" s="26" t="str">
        <x:v>https://www.fatbmx.com/bmx-oldskool/item/52496-preserving-bmx-history-bmx-museum-s-gary-sansom-usa</x:v>
      </x:c>
      <x:c r="G5" s="26" t="str">
        <x:v>2026-07-30</x:v>
      </x:c>
    </x:row>
    <x:row r="6" ht="72" customHeight="1">
      <x:c r="A6" s="26" t="str">
        <x:v>Email channel</x:v>
      </x:c>
      <x:c r="B6" s="26" t="str">
        <x:v>Email is an invited contact method.</x:v>
      </x:c>
      <x:c r="C6" s="26" t="str">
        <x:v>Gary Sansom’s public interview says people can reach him by email.</x:v>
      </x:c>
      <x:c r="D6" s="26" t="str">
        <x:v>High for channel; exact address must be checked</x:v>
      </x:c>
      <x:c r="E6" s="26" t="str">
        <x:v>Use after address verification</x:v>
      </x:c>
      <x:c r="F6" s="26" t="str">
        <x:v>https://www.fatbmx.com/bmx-oldskool/item/52496-preserving-bmx-history-bmx-museum-s-gary-sansom-usa</x:v>
      </x:c>
      <x:c r="G6" s="26" t="str">
        <x:v>2026-07-30</x:v>
      </x:c>
    </x:row>
    <x:row r="7" ht="72" customHeight="1">
      <x:c r="A7" s="26" t="str">
        <x:v>Candidate email</x:v>
      </x:c>
      <x:c r="B7" s="26" t="str">
        <x:v>bmxmuseum@gmail.com</x:v>
      </x:c>
      <x:c r="C7" s="26" t="str">
        <x:v>A current third-party contact directory lists this address for BMXMuseum.</x:v>
      </x:c>
      <x:c r="D7" s="26" t="str">
        <x:v>Medium; direct site verification unavailable because automated access is blocked</x:v>
      </x:c>
      <x:c r="E7" s="26" t="str">
        <x:v>Draft only; verify before sending</x:v>
      </x:c>
      <x:c r="F7" s="26" t="str">
        <x:v>https://www.pissedconsumer.com/company/bmxmuseum/customer-service.html</x:v>
      </x:c>
      <x:c r="G7" s="26" t="str">
        <x:v>2026-07-30</x:v>
      </x:c>
    </x:row>
    <x:row r="8" ht="72" customHeight="1">
      <x:c r="A8" s="26" t="str">
        <x:v>Facebook</x:v>
      </x:c>
      <x:c r="B8" s="26" t="str">
        <x:v>BMXMuseum LLC / Gary Sansom official presence</x:v>
      </x:c>
      <x:c r="C8" s="26" t="str">
        <x:v>Gary Sansom has publicly named Facebook as a contact route.</x:v>
      </x:c>
      <x:c r="D8" s="26" t="str">
        <x:v>High for route; exact current page not independently confirmed</x:v>
      </x:c>
      <x:c r="E8" s="26" t="str">
        <x:v>Alternate manual contact route</x:v>
      </x:c>
      <x:c r="F8" s="26" t="str">
        <x:v>https://www.fatbmx.com/bmx-oldskool/item/52496-preserving-bmx-history-bmx-museum-s-gary-sansom-usa</x:v>
      </x:c>
      <x:c r="G8" s="26" t="str">
        <x:v>2026-07-30</x:v>
      </x:c>
    </x:row>
    <x:row r="9" ht="72" customHeight="1">
      <x:c r="A9" s="26" t="str">
        <x:v>Reddit</x:v>
      </x:c>
      <x:c r="B9" s="26" t="str">
        <x:v>u/bmxmuseum</x:v>
      </x:c>
      <x:c r="C9" s="26" t="str">
        <x:v>Public first-party posts have exposed exact BMXMuseum record links and catalog additions.</x:v>
      </x:c>
      <x:c r="D9" s="26" t="str">
        <x:v>High for account function within this project</x:v>
      </x:c>
      <x:c r="E9" s="26" t="str">
        <x:v>Useful secondary contact or identity-verification route</x:v>
      </x:c>
      <x:c r="F9" s="26" t="str">
        <x:v>https://www.reddit.com/user/bmxmuseum/</x:v>
      </x:c>
      <x:c r="G9" s="26" t="str">
        <x:v>2026-07-30</x:v>
      </x:c>
    </x:row>
    <x:row r="10" ht="72" customHeight="1">
      <x:c r="A10" s="26" t="str">
        <x:v>Instagram lead</x:v>
      </x:c>
      <x:c r="B10" s="26" t="str">
        <x:v>@bmxmuseumdotcom</x:v>
      </x:c>
      <x:c r="C10" s="26" t="str">
        <x:v>A social-profile aggregator associates this handle with Gary Sansom/BMXMuseum.</x:v>
      </x:c>
      <x:c r="D10" s="26" t="str">
        <x:v>Low to medium; aggregator only</x:v>
      </x:c>
      <x:c r="E10" s="26" t="str">
        <x:v>Do not use until manually verified</x:v>
      </x:c>
      <x:c r="F10" s="26" t="str">
        <x:v>https://www.idcrawl.com/gary-sansom</x:v>
      </x:c>
      <x:c r="G10" s="26" t="str">
        <x:v>2026-07-30</x:v>
      </x:c>
    </x:row>
  </x:sheetData>
  <x:mergeCells>
    <x:mergeCell ref="A1:G1"/>
    <x:mergeCell ref="A2:G2"/>
  </x:mergeCells>
  <x:pageMargins left="0.7" right="0.7" top="0.75" bottom="0.75" header="0.3" footer="0.3"/>
  <x:tableParts count="1">
    <x:tablePart xmlns:r="http://schemas.openxmlformats.org/officeDocument/2006/relationships" r:id="Raa6cd8e7da4d4dc0"/>
  </x:tableParts>
</x:worksheet>
</file>

<file path=xl/worksheets/sheet73.xml><?xml version="1.0" encoding="utf-8"?>
<x:worksheet xmlns:x="http://schemas.openxmlformats.org/spreadsheetml/2006/main">
  <x:sheetFormatPr defaultRowHeight="15"/>
  <x:cols>
    <x:col min="1" max="1" width="15" hidden="0" customWidth="1"/>
    <x:col min="2" max="2" width="18" hidden="0" customWidth="1"/>
    <x:col min="3" max="3" width="22" hidden="0" customWidth="1"/>
    <x:col min="4" max="4" width="42" hidden="0" customWidth="1"/>
    <x:col min="5" max="5" width="24" hidden="0" customWidth="1"/>
    <x:col min="6" max="6" width="52" hidden="0" customWidth="1"/>
    <x:col min="7" max="7" width="56" hidden="0" customWidth="1"/>
    <x:col min="8" max="8" width="42" hidden="0" customWidth="1"/>
    <x:col min="9" max="9" width="18" hidden="0" customWidth="1"/>
  </x:cols>
  <x:sheetData>
    <x:row r="1">
      <x:c r="A1" s="525" t="str">
        <x:v>v1.3 Continued Exact-ID and Reference Recovery</x:v>
      </x:c>
      <x:c r="B1" s="525"/>
      <x:c r="C1" s="525"/>
      <x:c r="D1" s="525"/>
      <x:c r="E1" s="525"/>
      <x:c r="F1" s="525"/>
      <x:c r="G1" s="525"/>
      <x:c r="H1" s="525"/>
      <x:c r="I1" s="525"/>
    </x:row>
    <x:row r="2">
      <x:c r="A2" s="530" t="str">
        <x:v>This pass recovered one additional GHP record, one Dyno bike, three Dyno forum objects and two GT references. DIRTWERX remains a priority gap.</x:v>
      </x:c>
      <x:c r="B2" s="530"/>
      <x:c r="C2" s="530"/>
      <x:c r="D2" s="530"/>
      <x:c r="E2" s="530"/>
      <x:c r="F2" s="530"/>
      <x:c r="G2" s="530"/>
      <x:c r="H2" s="530"/>
      <x:c r="I2" s="530"/>
    </x:row>
    <x:row r="4">
      <x:c r="A4" s="535" t="str">
        <x:v>Finding ID</x:v>
      </x:c>
      <x:c r="B4" s="535" t="str">
        <x:v>Cluster</x:v>
      </x:c>
      <x:c r="C4" s="535" t="str">
        <x:v>BMXMuseum Object</x:v>
      </x:c>
      <x:c r="D4" s="535" t="str">
        <x:v>Recovered Identification</x:v>
      </x:c>
      <x:c r="E4" s="535" t="str">
        <x:v>Evidence Class</x:v>
      </x:c>
      <x:c r="F4" s="535" t="str">
        <x:v>Qualification</x:v>
      </x:c>
      <x:c r="G4" s="535" t="str">
        <x:v>Source URL</x:v>
      </x:c>
      <x:c r="H4" s="535" t="str">
        <x:v>Register Action</x:v>
      </x:c>
      <x:c r="I4" s="535" t="str">
        <x:v>Status</x:v>
      </x:c>
    </x:row>
    <x:row r="5" ht="74" customHeight="1">
      <x:c r="A5" s="26" t="str">
        <x:v>V13-R-001</x:v>
      </x:c>
      <x:c r="B5" s="26" t="str">
        <x:v>GHP</x:v>
      </x:c>
      <x:c r="C5" s="26" t="str">
        <x:v>Bike 134275</x:v>
      </x:c>
      <x:c r="D5" s="26" t="str">
        <x:v>Public discussion links the exact record and proposes a 2013 GHP Pro XXL.</x:v>
      </x:c>
      <x:c r="E5" s="26" t="str">
        <x:v>A2 exact backlink</x:v>
      </x:c>
      <x:c r="F5" s="26" t="str">
        <x:v>The original poster did not know the year and described many aftermarket parts; model/year remains a community identification.</x:v>
      </x:c>
      <x:c r="G5" s="26" t="str">
        <x:v>https://www.reddit.com/r/bmx/comments/1sim2k3/ghp_yard_sale_find/</x:v>
      </x:c>
      <x:c r="H5" s="26" t="str">
        <x:v>Add exact ID; label year/model as proposed, modified build likely.</x:v>
      </x:c>
      <x:c r="I5" s="26" t="str">
        <x:v>Added</x:v>
      </x:c>
    </x:row>
    <x:row r="6" ht="74" customHeight="1">
      <x:c r="A6" s="26" t="str">
        <x:v>V13-R-002</x:v>
      </x:c>
      <x:c r="B6" s="26" t="str">
        <x:v>Dyno</x:v>
      </x:c>
      <x:c r="C6" s="26" t="str">
        <x:v>Bike 70676</x:v>
      </x:c>
      <x:c r="D6" s="26" t="str">
        <x:v>External serial discussion identifies the exact record as a 1999 Dyno Zone.</x:v>
      </x:c>
      <x:c r="E6" s="26" t="str">
        <x:v>A2 exact backlink</x:v>
      </x:c>
      <x:c r="F6" s="26" t="str">
        <x:v>Useful comparison record; individual originality and universal serial rule remain unverified.</x:v>
      </x:c>
      <x:c r="G6" s="26" t="str">
        <x:v>https://www.radbmx.co.uk/forum/index.php?topic=167377.0</x:v>
      </x:c>
      <x:c r="H6" s="26" t="str">
        <x:v>Add exact ID and model/year lead.</x:v>
      </x:c>
      <x:c r="I6" s="26" t="str">
        <x:v>Added</x:v>
      </x:c>
    </x:row>
    <x:row r="7" ht="74" customHeight="1">
      <x:c r="A7" s="26" t="str">
        <x:v>V13-R-003</x:v>
      </x:c>
      <x:c r="B7" s="26" t="str">
        <x:v>Dyno</x:v>
      </x:c>
      <x:c r="C7" s="26" t="str">
        <x:v>Forum 429280</x:v>
      </x:c>
      <x:c r="D7" s="26" t="str">
        <x:v>Externally identified as a 'Talk Dyno' discussion.</x:v>
      </x:c>
      <x:c r="E7" s="26" t="str">
        <x:v>A2 exact forum backlink</x:v>
      </x:c>
      <x:c r="F7" s="26" t="str">
        <x:v>Full thread content not mirrored or inspected directly.</x:v>
      </x:c>
      <x:c r="G7" s="26" t="str">
        <x:v>https://www.radbmx.co.uk/forum/index.php?topic=167377.0</x:v>
      </x:c>
      <x:c r="H7" s="26" t="str">
        <x:v>Add thread topic/index object.</x:v>
      </x:c>
      <x:c r="I7" s="26" t="str">
        <x:v>Added</x:v>
      </x:c>
    </x:row>
    <x:row r="8" ht="74" customHeight="1">
      <x:c r="A8" s="26" t="str">
        <x:v>V13-R-004</x:v>
      </x:c>
      <x:c r="B8" s="26" t="str">
        <x:v>Dyno</x:v>
      </x:c>
      <x:c r="C8" s="26" t="str">
        <x:v>Forum 528632</x:v>
      </x:c>
      <x:c r="D8" s="26" t="str">
        <x:v>Externally cited as a GT/Dyno serial-number guidance thread.</x:v>
      </x:c>
      <x:c r="E8" s="26" t="str">
        <x:v>A2 exact forum backlink</x:v>
      </x:c>
      <x:c r="F8" s="26" t="str">
        <x:v>Community serial guidance contains uncertainty and must not be treated as factory documentation.</x:v>
      </x:c>
      <x:c r="G8" s="26" t="str">
        <x:v>https://www.radbmx.co.uk/forum/index.php?topic=167377.0</x:v>
      </x:c>
      <x:c r="H8" s="26" t="str">
        <x:v>Add thread and warning.</x:v>
      </x:c>
      <x:c r="I8" s="26" t="str">
        <x:v>Added</x:v>
      </x:c>
    </x:row>
    <x:row r="9" ht="74" customHeight="1">
      <x:c r="A9" s="26" t="str">
        <x:v>V13-R-005</x:v>
      </x:c>
      <x:c r="B9" s="26" t="str">
        <x:v>Dyno</x:v>
      </x:c>
      <x:c r="C9" s="26" t="str">
        <x:v>Forum 538921</x:v>
      </x:c>
      <x:c r="D9" s="26" t="str">
        <x:v>Externally identified as a Dyno reference thread.</x:v>
      </x:c>
      <x:c r="E9" s="26" t="str">
        <x:v>A2 exact forum backlink</x:v>
      </x:c>
      <x:c r="F9" s="26" t="str">
        <x:v>Thread title/topic only; body not copied.</x:v>
      </x:c>
      <x:c r="G9" s="26" t="str">
        <x:v>https://www.radbmx.co.uk/forum/index.php?topic=167377.0</x:v>
      </x:c>
      <x:c r="H9" s="26" t="str">
        <x:v>Add reference-thread target.</x:v>
      </x:c>
      <x:c r="I9" s="26" t="str">
        <x:v>Added</x:v>
      </x:c>
    </x:row>
    <x:row r="10" ht="74" customHeight="1">
      <x:c r="A10" s="26" t="str">
        <x:v>V13-R-006</x:v>
      </x:c>
      <x:c r="B10" s="26" t="str">
        <x:v>GT</x:v>
      </x:c>
      <x:c r="C10" s="26" t="str">
        <x:v>Reference 7358</x:v>
      </x:c>
      <x:c r="D10" s="26" t="str">
        <x:v>External researched histories identify this as Craig Turner’s first-person account concerning Gary Turner and early GT.</x:v>
      </x:c>
      <x:c r="E10" s="26" t="str">
        <x:v>Exact reference citation</x:v>
      </x:c>
      <x:c r="F10" s="26" t="str">
        <x:v>Direct BMXMuseum content remains uninspected; claims require corroboration.</x:v>
      </x:c>
      <x:c r="G10" s="26" t="str">
        <x:v>https://legendbikeco.com/pages/gary-turner</x:v>
      </x:c>
      <x:c r="H10" s="26" t="str">
        <x:v>Add exact reference target and source role.</x:v>
      </x:c>
      <x:c r="I10" s="26" t="str">
        <x:v>Added</x:v>
      </x:c>
    </x:row>
    <x:row r="11" ht="74" customHeight="1">
      <x:c r="A11" s="26" t="str">
        <x:v>V13-R-007</x:v>
      </x:c>
      <x:c r="B11" s="26" t="str">
        <x:v>GT</x:v>
      </x:c>
      <x:c r="C11" s="26" t="str">
        <x:v>Reference 7360</x:v>
      </x:c>
      <x:c r="D11" s="26" t="str">
        <x:v>External researched histories identify this as a Richard Long memorial/profile source.</x:v>
      </x:c>
      <x:c r="E11" s="26" t="str">
        <x:v>Exact reference citation</x:v>
      </x:c>
      <x:c r="F11" s="26" t="str">
        <x:v>Direct BMXMuseum content remains uninspected; biographical claims require independent sources.</x:v>
      </x:c>
      <x:c r="G11" s="26" t="str">
        <x:v>https://legendbikeco.com/pages/richard-long</x:v>
      </x:c>
      <x:c r="H11" s="26" t="str">
        <x:v>Add exact reference target and source role.</x:v>
      </x:c>
      <x:c r="I11" s="26" t="str">
        <x:v>Added</x:v>
      </x:c>
    </x:row>
    <x:row r="12" ht="74" customHeight="1">
      <x:c r="A12" s="26" t="str">
        <x:v>V13-R-008</x:v>
      </x:c>
      <x:c r="B12" s="26" t="str">
        <x:v>DIRTWERX</x:v>
      </x:c>
      <x:c r="C12" s="26" t="str">
        <x:v>No exact ID recovered</x:v>
      </x:c>
      <x:c r="D12" s="26" t="str">
        <x:v>Targeted searches still did not expose an individual Dirtwerx bike/reference/thread ID.</x:v>
      </x:c>
      <x:c r="E12" s="26" t="str">
        <x:v>Negative discovery result</x:v>
      </x:c>
      <x:c r="F12" s="26" t="str">
        <x:v>This is an indexing limitation, not proof BMXMuseum lacks Dirtwerx material.</x:v>
      </x:c>
      <x:c r="G12" s="26" t="str"/>
      <x:c r="H12" s="26" t="str">
        <x:v>Keep open; make DIRTWERX a pilot-scope priority.</x:v>
      </x:c>
      <x:c r="I12" s="26" t="str">
        <x:v>Open</x:v>
      </x:c>
    </x:row>
  </x:sheetData>
  <x:mergeCells>
    <x:mergeCell ref="A1:I1"/>
    <x:mergeCell ref="A2:I2"/>
  </x:mergeCells>
  <x:pageMargins left="0.7" right="0.7" top="0.75" bottom="0.75" header="0.3" footer="0.3"/>
  <x:tableParts count="1">
    <x:tablePart xmlns:r="http://schemas.openxmlformats.org/officeDocument/2006/relationships" r:id="R64dee6e010aa4904"/>
  </x:tableParts>
</x:worksheet>
</file>

<file path=xl/worksheets/sheet74.xml><?xml version="1.0" encoding="utf-8"?>
<x:worksheet xmlns:x="http://schemas.openxmlformats.org/spreadsheetml/2006/main">
  <x:sheetFormatPr defaultRowHeight="15"/>
  <x:cols>
    <x:col min="1" max="1" width="12" hidden="0" customWidth="1"/>
    <x:col min="2" max="2" width="28" hidden="0" customWidth="1"/>
    <x:col min="3" max="3" width="34" hidden="0" customWidth="1"/>
    <x:col min="4" max="4" width="52" hidden="0" customWidth="1"/>
    <x:col min="5" max="5" width="15" hidden="0" customWidth="1"/>
    <x:col min="6" max="6" width="46" hidden="0" customWidth="1"/>
    <x:col min="7" max="7" width="18" hidden="0" customWidth="1"/>
  </x:cols>
  <x:sheetData>
    <x:row r="1">
      <x:c r="A1" s="525" t="str">
        <x:v>Proposed 1,000-Record Pilot Scope</x:v>
      </x:c>
      <x:c r="B1" s="525"/>
      <x:c r="C1" s="525"/>
      <x:c r="D1" s="525"/>
      <x:c r="E1" s="525"/>
      <x:c r="F1" s="525"/>
      <x:c r="G1" s="525"/>
    </x:row>
    <x:row r="2">
      <x:c r="A2" s="530" t="str">
        <x:v>BMXMuseum may reduce, reorder or replace these subjects. The preferred pilot is a metadata export rather than a crawl.</x:v>
      </x:c>
      <x:c r="B2" s="530"/>
      <x:c r="C2" s="530"/>
      <x:c r="D2" s="530"/>
      <x:c r="E2" s="530"/>
      <x:c r="F2" s="530"/>
      <x:c r="G2" s="530"/>
    </x:row>
    <x:row r="4">
      <x:c r="A4" s="535" t="str">
        <x:v>Priority</x:v>
      </x:c>
      <x:c r="B4" s="535" t="str">
        <x:v>Subject / Path</x:v>
      </x:c>
      <x:c r="C4" s="535" t="str">
        <x:v>Object Types</x:v>
      </x:c>
      <x:c r="D4" s="535" t="str">
        <x:v>Reason</x:v>
      </x:c>
      <x:c r="E4" s="535" t="str">
        <x:v>Initial Cap</x:v>
      </x:c>
      <x:c r="F4" s="535" t="str">
        <x:v>Output</x:v>
      </x:c>
      <x:c r="G4" s="535" t="str">
        <x:v>Status</x:v>
      </x:c>
    </x:row>
    <x:row r="5" ht="68" customHeight="1">
      <x:c r="A5" s="26" t="str">
        <x:v>1</x:v>
      </x:c>
      <x:c r="B5" s="26" t="str">
        <x:v>DIRTWERX</x:v>
      </x:c>
      <x:c r="C5" s="26" t="str">
        <x:v>Bike, brand, reference, forum, catalog metadata</x:v>
      </x:c>
      <x:c r="D5" s="26" t="str">
        <x:v>Largest priority gap and directly connected to Harry Leary and two Lititz prototypes.</x:v>
      </x:c>
      <x:c r="E5" s="26" t="n">
        <x:v>250</x:v>
      </x:c>
      <x:c r="F5" s="26" t="str">
        <x:v>Internal research register plus source-linked factual summaries.</x:v>
      </x:c>
      <x:c r="G5" s="26" t="str">
        <x:v>Proposed</x:v>
      </x:c>
    </x:row>
    <x:row r="6" ht="68" customHeight="1">
      <x:c r="A6" s="26" t="str">
        <x:v>2</x:v>
      </x:c>
      <x:c r="B6" s="26" t="str">
        <x:v>GHP / Greg Hill</x:v>
      </x:c>
      <x:c r="C6" s="26" t="str">
        <x:v>Bike, brand, catalog, rider-reference metadata</x:v>
      </x:c>
      <x:c r="D6" s="26" t="str">
        <x:v>Exact records exist; early brand/model chronology and Lititz artifacts need context.</x:v>
      </x:c>
      <x:c r="E6" s="26" t="n">
        <x:v>200</x:v>
      </x:c>
      <x:c r="F6" s="26" t="str">
        <x:v>Model chronology and artifact comparison map.</x:v>
      </x:c>
      <x:c r="G6" s="26" t="str">
        <x:v>Proposed</x:v>
      </x:c>
    </x:row>
    <x:row r="7" ht="68" customHeight="1">
      <x:c r="A7" s="26" t="str">
        <x:v>3</x:v>
      </x:c>
      <x:c r="B7" s="26" t="str">
        <x:v>JMC Racing</x:v>
      </x:c>
      <x:c r="C7" s="26" t="str">
        <x:v>Bike, reference, catalog, price-list and forum metadata</x:v>
      </x:c>
      <x:c r="D7" s="26" t="str">
        <x:v>Strong first-person production history; exact references can improve serial/model research.</x:v>
      </x:c>
      <x:c r="E7" s="26" t="n">
        <x:v>200</x:v>
      </x:c>
      <x:c r="F7" s="26" t="str">
        <x:v>Serial/model crosswalk and Harry Leary/JMC relationships.</x:v>
      </x:c>
      <x:c r="G7" s="26" t="str">
        <x:v>Proposed</x:v>
      </x:c>
    </x:row>
    <x:row r="8" ht="68" customHeight="1">
      <x:c r="A8" s="26" t="str">
        <x:v>4</x:v>
      </x:c>
      <x:c r="B8" s="26" t="str">
        <x:v>GT / Dyno</x:v>
      </x:c>
      <x:c r="C8" s="26" t="str">
        <x:v>Bike, reference, catalog and serial-thread metadata</x:v>
      </x:c>
      <x:c r="D8" s="26" t="str">
        <x:v>Large related corporate and model history with many exact public backlinks.</x:v>
      </x:c>
      <x:c r="E8" s="26" t="n">
        <x:v>250</x:v>
      </x:c>
      <x:c r="F8" s="26" t="str">
        <x:v>Catalog-controlled model chronology and reference map.</x:v>
      </x:c>
      <x:c r="G8" s="26" t="str">
        <x:v>Proposed</x:v>
      </x:c>
    </x:row>
    <x:row r="9" ht="68" customHeight="1">
      <x:c r="A9" s="26" t="str">
        <x:v>5</x:v>
      </x:c>
      <x:c r="B9" s="26" t="str">
        <x:v>Diamond Back / Harry Leary</x:v>
      </x:c>
      <x:c r="C9" s="26" t="str">
        <x:v>Selected reference, thread and bike metadata</x:v>
      </x:c>
      <x:c r="D9" s="26" t="str">
        <x:v>Continue the established signature-model and prototype research cluster.</x:v>
      </x:c>
      <x:c r="E9" s="26" t="n">
        <x:v>100</x:v>
      </x:c>
      <x:c r="F9" s="26" t="str">
        <x:v>Source-linked rider/model relationships.</x:v>
      </x:c>
      <x:c r="G9" s="26" t="str">
        <x:v>Proposed</x:v>
      </x:c>
    </x:row>
  </x:sheetData>
  <x:mergeCells>
    <x:mergeCell ref="A1:G1"/>
    <x:mergeCell ref="A2:G2"/>
  </x:mergeCells>
  <x:pageMargins left="0.7" right="0.7" top="0.75" bottom="0.75" header="0.3" footer="0.3"/>
  <x:tableParts count="1">
    <x:tablePart xmlns:r="http://schemas.openxmlformats.org/officeDocument/2006/relationships" r:id="Rd587ca4bc8594c71"/>
  </x:tableParts>
</x:worksheet>
</file>

<file path=xl/worksheets/sheet75.xml><?xml version="1.0" encoding="utf-8"?>
<x:worksheet xmlns:x="http://schemas.openxmlformats.org/spreadsheetml/2006/main">
  <x:sheetFormatPr defaultRowHeight="15"/>
  <x:cols>
    <x:col min="1" max="1" width="30" hidden="0" customWidth="1"/>
    <x:col min="2" max="2" width="20" hidden="0" customWidth="1"/>
    <x:col min="4" max="4" width="28" hidden="0" customWidth="1"/>
    <x:col min="5" max="5" width="70" hidden="0" customWidth="1"/>
  </x:cols>
  <x:sheetData>
    <x:row r="1">
      <x:c r="A1" s="563" t="str">
        <x:v>BMXMuseum Permission Package — ARCHIVED / DORMANT</x:v>
      </x:c>
      <x:c r="B1" s="563"/>
      <x:c r="C1" s="563"/>
      <x:c r="D1" s="563"/>
      <x:c r="E1" s="563"/>
      <x:c r="F1" s="525"/>
      <x:c r="G1" s="525"/>
      <x:c r="H1" s="525"/>
      <x:c r="I1" s="525"/>
      <x:c r="J1" s="525"/>
      <x:c r="K1" s="525"/>
      <x:c r="L1" s="525"/>
      <x:c r="M1" s="525"/>
      <x:c r="N1" s="525"/>
    </x:row>
    <x:row r="2">
      <x:c r="A2" s="530" t="str">
        <x:v>A send-ready request now proposes a BMXMuseum-controlled metadata export or a small sanctioned pilot. A Gmail draft is prepared but not sent because the candidate email requires manual verification.</x:v>
      </x:c>
      <x:c r="B2" s="530"/>
      <x:c r="C2" s="530"/>
      <x:c r="D2" s="530"/>
      <x:c r="E2" s="530"/>
      <x:c r="F2" s="530"/>
      <x:c r="G2" s="530"/>
      <x:c r="H2" s="530"/>
      <x:c r="I2" s="530"/>
      <x:c r="J2" s="530"/>
      <x:c r="K2" s="530"/>
      <x:c r="L2" s="530"/>
      <x:c r="M2" s="530"/>
      <x:c r="N2" s="530"/>
    </x:row>
    <x:row r="4">
      <x:c r="A4" s="535" t="str">
        <x:v>Work Product</x:v>
      </x:c>
      <x:c r="B4" s="535" t="str">
        <x:v>Count / Status</x:v>
      </x:c>
      <x:c r="D4" s="535" t="str">
        <x:v>Decision Point</x:v>
      </x:c>
      <x:c r="E4" s="535" t="str">
        <x:v>Current Position</x:v>
      </x:c>
    </x:row>
    <x:row r="5" ht="42" customHeight="1">
      <x:c r="A5" s="26" t="str">
        <x:v>Permission terms</x:v>
      </x:c>
      <x:c r="B5" s="26" t="n">
        <x:v>9</x:v>
      </x:c>
      <x:c r="D5" s="537" t="str">
        <x:v>Preferred access</x:v>
      </x:c>
      <x:c r="E5" s="26" t="str">
        <x:v>BMXMuseum-supplied CSV export</x:v>
      </x:c>
    </x:row>
    <x:row r="6" ht="42" customHeight="1">
      <x:c r="A6" s="26" t="str">
        <x:v>Requested metadata fields</x:v>
      </x:c>
      <x:c r="B6" s="26" t="n">
        <x:v>18</x:v>
      </x:c>
      <x:c r="D6" s="537" t="str">
        <x:v>Alternate access</x:v>
      </x:c>
      <x:c r="E6" s="26" t="str">
        <x:v>One concurrent request, maximum one request per five seconds, approved paths only</x:v>
      </x:c>
    </x:row>
    <x:row r="7" ht="42" customHeight="1">
      <x:c r="A7" s="26" t="str">
        <x:v>Safeguards</x:v>
      </x:c>
      <x:c r="B7" s="26" t="n">
        <x:v>13</x:v>
      </x:c>
      <x:c r="D7" s="537" t="str">
        <x:v>Pilot cap</x:v>
      </x:c>
      <x:c r="E7" s="26" t="str">
        <x:v>30 days or 1,000 records</x:v>
      </x:c>
    </x:row>
    <x:row r="8" ht="42" customHeight="1">
      <x:c r="A8" s="26" t="str">
        <x:v>Verified/candidate contact routes</x:v>
      </x:c>
      <x:c r="B8" s="26" t="n">
        <x:v>6</x:v>
      </x:c>
      <x:c r="D8" s="537" t="str">
        <x:v>Excluded</x:v>
      </x:c>
      <x:c r="E8" s="26" t="str">
        <x:v>Images, descriptions, forum bodies, profiles, private data, classifieds and transactions</x:v>
      </x:c>
    </x:row>
    <x:row r="9" ht="42" customHeight="1">
      <x:c r="A9" s="26" t="str">
        <x:v>Pilot subject groups</x:v>
      </x:c>
      <x:c r="B9" s="26" t="n">
        <x:v>5</x:v>
      </x:c>
      <x:c r="D9" s="537" t="str">
        <x:v>Public product</x:v>
      </x:c>
      <x:c r="E9" s="26" t="str">
        <x:v>Derived factual register with BMXMuseum credit and canonical links—not a mirror</x:v>
      </x:c>
    </x:row>
    <x:row r="10" ht="42" customHeight="1">
      <x:c r="A10" s="26" t="str">
        <x:v>New recovery findings</x:v>
      </x:c>
      <x:c r="B10" s="26" t="n">
        <x:v>8</x:v>
      </x:c>
      <x:c r="D10" s="537" t="str">
        <x:v>Candidate email</x:v>
      </x:c>
      <x:c r="E10" s="26" t="str">
        <x:v>bmxmuseum@gmail.com — secondary-directory lead; verify manually</x:v>
      </x:c>
    </x:row>
    <x:row r="11" ht="42" customHeight="1">
      <x:c r="A11" s="26" t="str">
        <x:v>Gmail status</x:v>
      </x:c>
      <x:c r="B11" s="26" t="str">
        <x:v>ARCHIVED — not active</x:v>
      </x:c>
      <x:c r="D11" s="537" t="str">
        <x:v>Recipient control</x:v>
      </x:c>
      <x:c r="E11" s="26" t="str">
        <x:v>BMXMuseum may narrow, pause, correct or end the pilot</x:v>
      </x:c>
    </x:row>
    <x:row r="12">
      <x:c r="A12" s="26" t="str">
        <x:v>Send status</x:v>
      </x:c>
      <x:c r="B12" s="26" t="str">
        <x:v>NOT SENT / NO CONTACT REQUIRED</x:v>
      </x:c>
    </x:row>
    <x:row r="15">
      <x:c r="A15" s="566" t="str">
        <x:v>Current policy: continue only with permission-free public sources. Revisit this package only if a specific future research need cannot be met lawfully through the established Green route.</x:v>
      </x:c>
      <x:c r="B15" s="566"/>
      <x:c r="C15" s="566"/>
      <x:c r="D15" s="566"/>
      <x:c r="E15" s="566"/>
      <x:c r="F15" s="535"/>
      <x:c r="G15" s="535"/>
      <x:c r="H15" s="535"/>
      <x:c r="I15" s="535"/>
    </x:row>
    <x:row r="16" ht="70" customHeight="1">
      <x:c r="A16" s="549" t="str">
        <x:v>Lititz BMX is not requesting permission to copy BMXMuseum. It is requesting permission to preserve limited public metadata and provenance while leaving images, descriptions, forums, profiles, private information and marketplace activity with BMXMuseum. The site owner chooses the fields, scope and access method.</x:v>
      </x:c>
      <x:c r="B16" s="549"/>
      <x:c r="C16" s="549"/>
      <x:c r="D16" s="549"/>
      <x:c r="E16" s="549"/>
      <x:c r="F16" s="530"/>
      <x:c r="G16" s="530"/>
      <x:c r="H16" s="530"/>
      <x:c r="I16" s="530"/>
    </x:row>
    <x:row r="17" ht="70" customHeight="1">
      <x:c r="A17" s="530"/>
      <x:c r="B17" s="530"/>
      <x:c r="C17" s="530"/>
      <x:c r="D17" s="530"/>
      <x:c r="E17" s="530"/>
      <x:c r="F17" s="530"/>
      <x:c r="G17" s="530"/>
      <x:c r="H17" s="530"/>
      <x:c r="I17" s="530"/>
    </x:row>
    <x:row r="18" ht="70" customHeight="1">
      <x:c r="A18" s="530"/>
      <x:c r="B18" s="530"/>
      <x:c r="C18" s="530"/>
      <x:c r="D18" s="530"/>
      <x:c r="E18" s="530"/>
      <x:c r="F18" s="530"/>
      <x:c r="G18" s="530"/>
      <x:c r="H18" s="530"/>
      <x:c r="I18" s="530"/>
    </x:row>
    <x:row r="19" ht="70" customHeight="1">
      <x:c r="A19" s="530"/>
      <x:c r="B19" s="530"/>
      <x:c r="C19" s="530"/>
      <x:c r="D19" s="530"/>
      <x:c r="E19" s="530"/>
      <x:c r="F19" s="530"/>
      <x:c r="G19" s="530"/>
      <x:c r="H19" s="530"/>
      <x:c r="I19" s="530"/>
    </x:row>
    <x:row r="20" ht="70" customHeight="1">
      <x:c r="A20" s="530"/>
      <x:c r="B20" s="530"/>
      <x:c r="C20" s="530"/>
      <x:c r="D20" s="530"/>
      <x:c r="E20" s="530"/>
      <x:c r="F20" s="530"/>
      <x:c r="G20" s="530"/>
      <x:c r="H20" s="530"/>
      <x:c r="I20" s="530"/>
    </x:row>
  </x:sheetData>
  <x:mergeCells>
    <x:mergeCell ref="A1:N1"/>
    <x:mergeCell ref="A2:N2"/>
    <x:mergeCell ref="A15:I15"/>
    <x:mergeCell ref="A16:I20"/>
    <x:mergeCell ref="A1:E1"/>
    <x:mergeCell ref="A15:E16"/>
  </x:mergeCells>
  <x:pageMargins left="0.7" right="0.7" top="0.75" bottom="0.75" header="0.3" footer="0.3"/>
</x:worksheet>
</file>

<file path=xl/worksheets/sheet76.xml><?xml version="1.0" encoding="utf-8"?>
<x:worksheet xmlns:x="http://schemas.openxmlformats.org/spreadsheetml/2006/main">
  <x:sheetFormatPr defaultRowHeight="15"/>
  <x:cols>
    <x:col min="1" max="1" width="16" hidden="0" customWidth="1"/>
    <x:col min="2" max="2" width="18" hidden="0" customWidth="1"/>
    <x:col min="3" max="3" width="43" hidden="0" customWidth="1"/>
    <x:col min="4" max="4" width="27" hidden="0" customWidth="1"/>
    <x:col min="5" max="5" width="52" hidden="0" customWidth="1"/>
    <x:col min="6" max="6" width="48" hidden="0" customWidth="1"/>
    <x:col min="7" max="7" width="18" hidden="0" customWidth="1"/>
    <x:col min="8" max="8" width="55" hidden="0" customWidth="1"/>
    <x:col min="9" max="9" width="48" hidden="0" customWidth="1"/>
    <x:col min="10" max="10" width="23" hidden="0" customWidth="1"/>
  </x:cols>
  <x:sheetData>
    <x:row r="1" ht="30" customHeight="1">
      <x:c r="A1" s="544" t="str">
        <x:v>v1.4 DIRTWERX Company Chronology</x:v>
      </x:c>
      <x:c r="B1" s="544"/>
      <x:c r="C1" s="544"/>
      <x:c r="D1" s="544"/>
      <x:c r="E1" s="544"/>
      <x:c r="F1" s="544"/>
      <x:c r="G1" s="544"/>
      <x:c r="H1" s="544"/>
      <x:c r="I1" s="544"/>
      <x:c r="J1" s="544"/>
    </x:row>
    <x:row r="2" ht="30" customHeight="1">
      <x:c r="A2" s="549" t="str">
        <x:v>Formation and operational dates are separated. Current best conclusion: DIRTWERX formed around 1995 and began practical operations around 1996; no exact legal founding date is yet established.</x:v>
      </x:c>
      <x:c r="B2" s="549"/>
      <x:c r="C2" s="549"/>
      <x:c r="D2" s="549"/>
      <x:c r="E2" s="549"/>
      <x:c r="F2" s="549"/>
      <x:c r="G2" s="549"/>
      <x:c r="H2" s="549"/>
      <x:c r="I2" s="549"/>
      <x:c r="J2" s="549"/>
    </x:row>
    <x:row r="4">
      <x:c r="A4" s="554" t="str">
        <x:v>Chronology ID</x:v>
      </x:c>
      <x:c r="B4" s="554" t="str">
        <x:v>Date / Period</x:v>
      </x:c>
      <x:c r="C4" s="554" t="str">
        <x:v>Event</x:v>
      </x:c>
      <x:c r="D4" s="554" t="str">
        <x:v>Evidence Class</x:v>
      </x:c>
      <x:c r="E4" s="554" t="str">
        <x:v>Evidence Summary</x:v>
      </x:c>
      <x:c r="F4" s="554" t="str">
        <x:v>Qualification / Conflict</x:v>
      </x:c>
      <x:c r="G4" s="554" t="str">
        <x:v>Confidence</x:v>
      </x:c>
      <x:c r="H4" s="554" t="str">
        <x:v>Source URL</x:v>
      </x:c>
      <x:c r="I4" s="554" t="str">
        <x:v>Register Determination</x:v>
      </x:c>
      <x:c r="J4" s="554" t="str">
        <x:v>Status</x:v>
      </x:c>
    </x:row>
    <x:row r="5" ht="82" customHeight="1">
      <x:c r="A5" s="26" t="str">
        <x:v>DW-CHR-001</x:v>
      </x:c>
      <x:c r="B5" s="26" t="str">
        <x:v>Before 1995</x:v>
      </x:c>
      <x:c r="C5" s="26" t="str">
        <x:v>Harry Leary served as Balance general manager before starting DIRTWERX.</x:v>
      </x:c>
      <x:c r="D5" s="26" t="str">
        <x:v>First-person interview</x:v>
      </x:c>
      <x:c r="E5" s="26" t="str">
        <x:v>Leary described Balance as the management experience that prepared him to run his own company.</x:v>
      </x:c>
      <x:c r="F5" s="26" t="str">
        <x:v>Exact employment dates and the legal end of Balance remain outside this source.</x:v>
      </x:c>
      <x:c r="G5" s="26" t="str">
        <x:v>HIGH</x:v>
      </x:c>
      <x:c r="H5" s="26" t="str">
        <x:v>https://bmxultra.com/archive/prosection/interview/harryleary.htm</x:v>
      </x:c>
      <x:c r="I5" s="26" t="str">
        <x:v>Balance is the immediate business predecessor context, not a corporate continuation of DIRTWERX.</x:v>
      </x:c>
      <x:c r="J5" s="26" t="str">
        <x:v>ATTRIBUTED VERIFIED</x:v>
      </x:c>
    </x:row>
    <x:row r="6" ht="82" customHeight="1">
      <x:c r="A6" s="26" t="str">
        <x:v>DW-CHR-002</x:v>
      </x:c>
      <x:c r="B6" s="26" t="str">
        <x:v>Circa 1995</x:v>
      </x:c>
      <x:c r="C6" s="26" t="str">
        <x:v>Los Angeles Times reported that Leary had founded Leary Dirtwerx two years before June 1997 to make racing-bike parts.</x:v>
      </x:c>
      <x:c r="D6" s="26" t="str">
        <x:v>Contemporaneous newspaper</x:v>
      </x:c>
      <x:c r="E6" s="26" t="str">
        <x:v>The article independently places formation around 1995.</x:v>
      </x:c>
      <x:c r="F6" s="26" t="str">
        <x:v>The wording is approximate and may refer to decision, formation or earliest operation rather than a formal filing date.</x:v>
      </x:c>
      <x:c r="G6" s="26" t="str">
        <x:v>MEDIUM-HIGH</x:v>
      </x:c>
      <x:c r="H6" s="26" t="str">
        <x:v>https://www.latimes.com/archives/la-xpm-1997-06-07-me-865-story.html</x:v>
      </x:c>
      <x:c r="I6" s="26" t="str">
        <x:v>Use circa 1995 as a formation marker, not a precise legal founding date.</x:v>
      </x:c>
      <x:c r="J6" s="26" t="str">
        <x:v>QUALIFIED VERIFIED</x:v>
      </x:c>
    </x:row>
    <x:row r="7" ht="82" customHeight="1">
      <x:c r="A7" s="26" t="str">
        <x:v>DW-CHR-003</x:v>
      </x:c>
      <x:c r="B7" s="26" t="str">
        <x:v>1996</x:v>
      </x:c>
      <x:c r="C7" s="26" t="str">
        <x:v>Leary said DIRTWERX 'basically started out' in 1996 after encouragement from family and Greg Hill.</x:v>
      </x:c>
      <x:c r="D7" s="26" t="str">
        <x:v>Founder first-person interview</x:v>
      </x:c>
      <x:c r="E7" s="26" t="str">
        <x:v>Leary directly dated the operational start and described why he launched the business.</x:v>
      </x:c>
      <x:c r="F7" s="26" t="str">
        <x:v>This creates a useful formation-versus-operational-launch distinction with the 1997 newspaper account.</x:v>
      </x:c>
      <x:c r="G7" s="26" t="str">
        <x:v>HIGH</x:v>
      </x:c>
      <x:c r="H7" s="26" t="str">
        <x:v>https://bmxultra.com/archive/prosection/interview/harryleary.htm</x:v>
      </x:c>
      <x:c r="I7" s="26" t="str">
        <x:v>Locked chronology: formation around 1995; practical launch/operations around 1996; exact date unresolved.</x:v>
      </x:c>
      <x:c r="J7" s="26" t="str">
        <x:v>ATTRIBUTED VERIFIED</x:v>
      </x:c>
    </x:row>
    <x:row r="8" ht="82" customHeight="1">
      <x:c r="A8" s="26" t="str">
        <x:v>DW-CHR-004</x:v>
      </x:c>
      <x:c r="B8" s="26" t="str">
        <x:v>May–June 1996</x:v>
      </x:c>
      <x:c r="C8" s="26" t="str">
        <x:v>Snap BMX reportedly carried a Harry Leary / DIRTWERX interview.</x:v>
      </x:c>
      <x:c r="D8" s="26" t="str">
        <x:v>Bibliographic lead</x:v>
      </x:c>
      <x:c r="E8" s="26" t="str">
        <x:v>Secondary magazine indexing identifies an interview in Snap BMX Vol. 3, Issue 3.</x:v>
      </x:c>
      <x:c r="F8" s="26" t="str">
        <x:v>Page images and complete article metadata have not yet been inspected.</x:v>
      </x:c>
      <x:c r="G8" s="26" t="str">
        <x:v>MEDIUM</x:v>
      </x:c>
      <x:c r="H8" s="26" t="str">
        <x:v>https://www.23mag.com/mags/snap/snap.htm</x:v>
      </x:c>
      <x:c r="I8" s="26" t="str">
        <x:v>Priority period-source recovery target.</x:v>
      </x:c>
      <x:c r="J8" s="26" t="str">
        <x:v>LEAD</x:v>
      </x:c>
    </x:row>
    <x:row r="9" ht="82" customHeight="1">
      <x:c r="A9" s="26" t="str">
        <x:v>DW-CHR-005</x:v>
      </x:c>
      <x:c r="B9" s="26" t="str">
        <x:v>September–October 1996</x:v>
      </x:c>
      <x:c r="C9" s="26" t="str">
        <x:v>Snap BMX reportedly carried a 'Leary Dirtwerx' company/product evaluation around page 58.</x:v>
      </x:c>
      <x:c r="D9" s="26" t="str">
        <x:v>Bibliographic lead</x:v>
      </x:c>
      <x:c r="E9" s="26" t="str">
        <x:v>Secondary indexing places early DIRTWERX product coverage in Snap BMX Vol. 3, Issue 5.</x:v>
      </x:c>
      <x:c r="F9" s="26" t="str">
        <x:v>The issue/page and contents must be directly checked before extracting specifications.</x:v>
      </x:c>
      <x:c r="G9" s="26" t="str">
        <x:v>MEDIUM</x:v>
      </x:c>
      <x:c r="H9" s="26" t="str">
        <x:v>https://www.23mag.com/mags/snap/snap.htm</x:v>
      </x:c>
      <x:c r="I9" s="26" t="str">
        <x:v>Potential earliest product-line authority; no specifications imported yet.</x:v>
      </x:c>
      <x:c r="J9" s="26" t="str">
        <x:v>LEAD</x:v>
      </x:c>
    </x:row>
    <x:row r="10" ht="82" customHeight="1">
      <x:c r="A10" s="26" t="str">
        <x:v>DW-CHR-006</x:v>
      </x:c>
      <x:c r="B10" s="26" t="str">
        <x:v>June 1997</x:v>
      </x:c>
      <x:c r="C10" s="26" t="str">
        <x:v>Los Angeles Times publicly described Leary Dirtwerx as making racing-bike parts while Leary trained young riders.</x:v>
      </x:c>
      <x:c r="D10" s="26" t="str">
        <x:v>Contemporaneous newspaper</x:v>
      </x:c>
      <x:c r="E10" s="26" t="str">
        <x:v>Confirms that the business was operating and publicly visible by mid-1997.</x:v>
      </x:c>
      <x:c r="F10" s="26" t="str">
        <x:v>The article is a rider profile rather than a company or product test.</x:v>
      </x:c>
      <x:c r="G10" s="26" t="str">
        <x:v>HIGH</x:v>
      </x:c>
      <x:c r="H10" s="26" t="str">
        <x:v>https://www.latimes.com/archives/la-xpm-1997-06-07-me-865-story.html</x:v>
      </x:c>
      <x:c r="I10" s="26" t="str">
        <x:v>Operational existence by June 1997 is verified.</x:v>
      </x:c>
      <x:c r="J10" s="26" t="str">
        <x:v>VERIFIED</x:v>
      </x:c>
    </x:row>
    <x:row r="11" ht="82" customHeight="1">
      <x:c r="A11" s="26" t="str">
        <x:v>DW-CHR-007</x:v>
      </x:c>
      <x:c r="B11" s="26" t="str">
        <x:v>March 2000</x:v>
      </x:c>
      <x:c r="C11" s="26" t="str">
        <x:v>Leary gave a detailed operational snapshot: race-driven marketing, two employees, direct/dealer sales, exports and a Sycamore BMX-centered team.</x:v>
      </x:c>
      <x:c r="D11" s="26" t="str">
        <x:v>Founder first-person interview</x:v>
      </x:c>
      <x:c r="E11" s="26" t="str">
        <x:v>The interview is the strongest currently accessible DIRTWERX company source.</x:v>
      </x:c>
      <x:c r="F11" s="26" t="str">
        <x:v>It describes the company in 2000 and cannot automatically be projected across every year.</x:v>
      </x:c>
      <x:c r="G11" s="26" t="str">
        <x:v>HIGH</x:v>
      </x:c>
      <x:c r="H11" s="26" t="str">
        <x:v>https://bmxultra.com/archive/prosection/interview/harryleary.htm</x:v>
      </x:c>
      <x:c r="I11" s="26" t="str">
        <x:v>Use as dated company snapshot with attributed product and team claims.</x:v>
      </x:c>
      <x:c r="J11" s="26" t="str">
        <x:v>ATTRIBUTED VERIFIED</x:v>
      </x:c>
    </x:row>
    <x:row r="12" ht="82" customHeight="1">
      <x:c r="A12" s="26" t="str">
        <x:v>DW-CHR-008</x:v>
      </x:c>
      <x:c r="B12" s="26" t="str">
        <x:v>March 2000</x:v>
      </x:c>
      <x:c r="C12" s="26" t="str">
        <x:v>DIRTWERX sold through Dan's, bicycle shops across the United States and directly.</x:v>
      </x:c>
      <x:c r="D12" s="26" t="str">
        <x:v>Founder first-person interview</x:v>
      </x:c>
      <x:c r="E12" s="26" t="str">
        <x:v>Leary named the sales channels.</x:v>
      </x:c>
      <x:c r="F12" s="26" t="str">
        <x:v>Dealer list and dates beyond the interview remain unverified.</x:v>
      </x:c>
      <x:c r="G12" s="26" t="str">
        <x:v>HIGH</x:v>
      </x:c>
      <x:c r="H12" s="26" t="str">
        <x:v>https://bmxultra.com/archive/prosection/interview/harryleary.htm</x:v>
      </x:c>
      <x:c r="I12" s="26" t="str">
        <x:v>Add retail/distribution relationships as a 2000 snapshot.</x:v>
      </x:c>
      <x:c r="J12" s="26" t="str">
        <x:v>ATTRIBUTED VERIFIED</x:v>
      </x:c>
    </x:row>
    <x:row r="13" ht="82" customHeight="1">
      <x:c r="A13" s="26" t="str">
        <x:v>DW-CHR-009</x:v>
      </x:c>
      <x:c r="B13" s="26" t="str">
        <x:v>March 2000</x:v>
      </x:c>
      <x:c r="C13" s="26" t="str">
        <x:v>DIRTWERX exported to Japan, France, Mexico, Brazil and Singapore.</x:v>
      </x:c>
      <x:c r="D13" s="26" t="str">
        <x:v>Founder first-person interview</x:v>
      </x:c>
      <x:c r="E13" s="26" t="str">
        <x:v>Leary named five export countries.</x:v>
      </x:c>
      <x:c r="F13" s="26" t="str">
        <x:v>Shipment volume, distributors and dates are not established.</x:v>
      </x:c>
      <x:c r="G13" s="26" t="str">
        <x:v>HIGH</x:v>
      </x:c>
      <x:c r="H13" s="26" t="str">
        <x:v>https://bmxultra.com/archive/prosection/interview/harryleary.htm</x:v>
      </x:c>
      <x:c r="I13" s="26" t="str">
        <x:v>Record the five-country export claim as founder-attributed.</x:v>
      </x:c>
      <x:c r="J13" s="26" t="str">
        <x:v>ATTRIBUTED VERIFIED</x:v>
      </x:c>
    </x:row>
    <x:row r="14" ht="82" customHeight="1">
      <x:c r="A14" s="26" t="str">
        <x:v>DW-CHR-010</x:v>
      </x:c>
      <x:c r="B14" s="26" t="str">
        <x:v>Late 1990s</x:v>
      </x:c>
      <x:c r="C14" s="26" t="str">
        <x:v>USA BMX later summarized that Leary founded DIRTWERX in the late 1990s.</x:v>
      </x:c>
      <x:c r="D14" s="26" t="str">
        <x:v>Official sanctioning-body memorial</x:v>
      </x:c>
      <x:c r="E14" s="26" t="str">
        <x:v>The official memorial independently confirms the company and broad period.</x:v>
      </x:c>
      <x:c r="F14" s="26" t="str">
        <x:v>The broad phrase is less precise than the 1995–1996 contemporaneous evidence.</x:v>
      </x:c>
      <x:c r="G14" s="26" t="str">
        <x:v>HIGH</x:v>
      </x:c>
      <x:c r="H14" s="26" t="str">
        <x:v>https://www.usabmx.com/news-and-media/6/2024-09-10/The-Sport-of-BMX-loses-a-Legend-%3A%3A-HARRY-LEARY?id=2035</x:v>
      </x:c>
      <x:c r="I14" s="26" t="str">
        <x:v>Use as official summary corroboration, not the controlling exact date.</x:v>
      </x:c>
      <x:c r="J14" s="26" t="str">
        <x:v>VERIFIED SUMMARY</x:v>
      </x:c>
    </x:row>
    <x:row r="15" ht="82" customHeight="1">
      <x:c r="A15" s="26" t="str">
        <x:v>DW-CHR-011</x:v>
      </x:c>
      <x:c r="B15" s="26" t="str">
        <x:v>Later career</x:v>
      </x:c>
      <x:c r="C15" s="26" t="str">
        <x:v>USA BMX records Leary as a track operator in Ontario, California, and Kingman, Arizona.</x:v>
      </x:c>
      <x:c r="D15" s="26" t="str">
        <x:v>Official sanctioning-body memorial</x:v>
      </x:c>
      <x:c r="E15" s="26" t="str">
        <x:v>Confirms later operational roles connected to Leary's BMX industry work.</x:v>
      </x:c>
      <x:c r="F15" s="26" t="str">
        <x:v>Track names and exact operating years require their own dossiers.</x:v>
      </x:c>
      <x:c r="G15" s="26" t="str">
        <x:v>HIGH</x:v>
      </x:c>
      <x:c r="H15" s="26" t="str">
        <x:v>https://www.usabmx.com/news-and-media/6/2024-09-10/The-Sport-of-BMX-loses-a-Legend-%3A%3A-HARRY-LEARY?id=2035</x:v>
      </x:c>
      <x:c r="I15" s="26" t="str">
        <x:v>Create track-operation relationships without assigning them to DIRTWERX unless separately supported.</x:v>
      </x:c>
      <x:c r="J15" s="26" t="str">
        <x:v>VERIFIED SUMMARY</x:v>
      </x:c>
    </x:row>
  </x:sheetData>
  <x:mergeCells>
    <x:mergeCell ref="A1:J1"/>
    <x:mergeCell ref="A2:J2"/>
  </x:mergeCells>
  <x:pageMargins left="0.7" right="0.7" top="0.75" bottom="0.75" header="0.3" footer="0.3"/>
  <x:tableParts count="1">
    <x:tablePart xmlns:r="http://schemas.openxmlformats.org/officeDocument/2006/relationships" r:id="Rd338ce2df6ef45c6"/>
  </x:tableParts>
</x:worksheet>
</file>

<file path=xl/worksheets/sheet77.xml><?xml version="1.0" encoding="utf-8"?>
<x:worksheet xmlns:x="http://schemas.openxmlformats.org/spreadsheetml/2006/main">
  <x:sheetFormatPr defaultRowHeight="15"/>
  <x:cols>
    <x:col min="1" max="1" width="15" hidden="0" customWidth="1"/>
    <x:col min="2" max="2" width="30" hidden="0" customWidth="1"/>
    <x:col min="3" max="3" width="24" hidden="0" customWidth="1"/>
    <x:col min="4" max="4" width="18" hidden="0" customWidth="1"/>
    <x:col min="5" max="5" width="28" hidden="0" customWidth="1"/>
    <x:col min="6" max="6" width="54" hidden="0" customWidth="1"/>
    <x:col min="7" max="7" width="25" hidden="0" customWidth="1"/>
    <x:col min="8" max="8" width="48" hidden="0" customWidth="1"/>
    <x:col min="9" max="9" width="35" hidden="0" customWidth="1"/>
    <x:col min="10" max="10" width="56" hidden="0" customWidth="1"/>
    <x:col min="11" max="11" width="44" hidden="0" customWidth="1"/>
  </x:cols>
  <x:sheetData>
    <x:row r="1" ht="30" customHeight="1">
      <x:c r="A1" s="544" t="str">
        <x:v>v1.4 DIRTWERX Product and Feature Register</x:v>
      </x:c>
      <x:c r="B1" s="544"/>
      <x:c r="C1" s="544"/>
      <x:c r="D1" s="544"/>
      <x:c r="E1" s="544"/>
      <x:c r="F1" s="544"/>
      <x:c r="G1" s="544"/>
      <x:c r="H1" s="544"/>
      <x:c r="I1" s="544"/>
      <x:c r="J1" s="544"/>
      <x:c r="K1" s="544"/>
    </x:row>
    <x:row r="2" ht="30" customHeight="1">
      <x:c r="A2" s="549" t="str">
        <x:v>The 2000 founder interview establishes a nine-size chromoly frame family, forks, handlebars and several design systems. It does not yet identify PR12 or authenticate either Lititz prototype.</x:v>
      </x:c>
      <x:c r="B2" s="549"/>
      <x:c r="C2" s="549"/>
      <x:c r="D2" s="549"/>
      <x:c r="E2" s="549"/>
      <x:c r="F2" s="549"/>
      <x:c r="G2" s="549"/>
      <x:c r="H2" s="549"/>
      <x:c r="I2" s="549"/>
      <x:c r="J2" s="549"/>
      <x:c r="K2" s="549"/>
    </x:row>
    <x:row r="4">
      <x:c r="A4" s="554" t="str">
        <x:v>Product ID</x:v>
      </x:c>
      <x:c r="B4" s="554" t="str">
        <x:v>Product / System</x:v>
      </x:c>
      <x:c r="C4" s="554" t="str">
        <x:v>Category</x:v>
      </x:c>
      <x:c r="D4" s="554" t="str">
        <x:v>Date / Period</x:v>
      </x:c>
      <x:c r="E4" s="554" t="str">
        <x:v>Evidence</x:v>
      </x:c>
      <x:c r="F4" s="554" t="str">
        <x:v>Known Specification or Claim</x:v>
      </x:c>
      <x:c r="G4" s="554" t="str">
        <x:v>Verification Status</x:v>
      </x:c>
      <x:c r="H4" s="554" t="str">
        <x:v>Limitation</x:v>
      </x:c>
      <x:c r="I4" s="554" t="str">
        <x:v>Lititz Relationship</x:v>
      </x:c>
      <x:c r="J4" s="554" t="str">
        <x:v>Source URL</x:v>
      </x:c>
      <x:c r="K4" s="554" t="str">
        <x:v>Next Evidence Action</x:v>
      </x:c>
    </x:row>
    <x:row r="5" ht="82" customHeight="1">
      <x:c r="A5" s="26" t="str">
        <x:v>DW-PRD-001</x:v>
      </x:c>
      <x:c r="B5" s="26" t="str">
        <x:v>DIRTWERX chromoly race frames</x:v>
      </x:c>
      <x:c r="C5" s="26" t="str">
        <x:v>Frame family</x:v>
      </x:c>
      <x:c r="D5" s="26" t="str">
        <x:v>By 2000</x:v>
      </x:c>
      <x:c r="E5" s="26" t="str">
        <x:v>Founder interview</x:v>
      </x:c>
      <x:c r="F5" s="26" t="str">
        <x:v>Frames were offered in nine sizes and emphasized ride characteristics and durability.</x:v>
      </x:c>
      <x:c r="G5" s="26" t="str">
        <x:v>ATTRIBUTED VERIFIED</x:v>
      </x:c>
      <x:c r="H5" s="26" t="str">
        <x:v>No complete price list, geometry table or model-year catalog recovered.</x:v>
      </x:c>
      <x:c r="I5" s="26" t="str">
        <x:v>Context for 26.0047 and 26.0029</x:v>
      </x:c>
      <x:c r="J5" s="26" t="str">
        <x:v>https://bmxultra.com/archive/prosection/interview/harryleary.htm</x:v>
      </x:c>
      <x:c r="K5" s="26" t="str">
        <x:v>Recover Snap test, catalogs, dealer sheets and survivor measurements.</x:v>
      </x:c>
    </x:row>
    <x:row r="6" ht="82" customHeight="1">
      <x:c r="A6" s="26" t="str">
        <x:v>DW-PRD-002</x:v>
      </x:c>
      <x:c r="B6" s="26" t="str">
        <x:v>Mini</x:v>
      </x:c>
      <x:c r="C6" s="26" t="str">
        <x:v>20-inch frame size</x:v>
      </x:c>
      <x:c r="D6" s="26" t="str">
        <x:v>2000 snapshot</x:v>
      </x:c>
      <x:c r="E6" s="26" t="str">
        <x:v>Founder interview</x:v>
      </x:c>
      <x:c r="F6" s="26" t="str">
        <x:v>One of nine named DIRTWERX frame sizes.</x:v>
      </x:c>
      <x:c r="G6" s="26" t="str">
        <x:v>ATTRIBUTED VERIFIED</x:v>
      </x:c>
      <x:c r="H6" s="26" t="str">
        <x:v>Size name only; geometry unknown.</x:v>
      </x:c>
      <x:c r="I6" s="26" t="str">
        <x:v>Model-register context</x:v>
      </x:c>
      <x:c r="J6" s="26" t="str">
        <x:v>https://bmxultra.com/archive/prosection/interview/harryleary.htm</x:v>
      </x:c>
      <x:c r="K6" s="26" t="str">
        <x:v>Recover geometry and period pricing.</x:v>
      </x:c>
    </x:row>
    <x:row r="7" ht="82" customHeight="1">
      <x:c r="A7" s="26" t="str">
        <x:v>DW-PRD-003</x:v>
      </x:c>
      <x:c r="B7" s="26" t="str">
        <x:v>Jr</x:v>
      </x:c>
      <x:c r="C7" s="26" t="str">
        <x:v>20-inch frame size</x:v>
      </x:c>
      <x:c r="D7" s="26" t="str">
        <x:v>2000 snapshot</x:v>
      </x:c>
      <x:c r="E7" s="26" t="str">
        <x:v>Founder interview</x:v>
      </x:c>
      <x:c r="F7" s="26" t="str">
        <x:v>One of nine named DIRTWERX frame sizes.</x:v>
      </x:c>
      <x:c r="G7" s="26" t="str">
        <x:v>ATTRIBUTED VERIFIED</x:v>
      </x:c>
      <x:c r="H7" s="26" t="str">
        <x:v>Size name only; geometry unknown.</x:v>
      </x:c>
      <x:c r="I7" s="26" t="str">
        <x:v>Model-register context</x:v>
      </x:c>
      <x:c r="J7" s="26" t="str">
        <x:v>https://bmxultra.com/archive/prosection/interview/harryleary.htm</x:v>
      </x:c>
      <x:c r="K7" s="26" t="str">
        <x:v>Recover geometry and period pricing.</x:v>
      </x:c>
    </x:row>
    <x:row r="8" ht="82" customHeight="1">
      <x:c r="A8" s="26" t="str">
        <x:v>DW-PRD-004</x:v>
      </x:c>
      <x:c r="B8" s="26" t="str">
        <x:v>Expert</x:v>
      </x:c>
      <x:c r="C8" s="26" t="str">
        <x:v>20-inch frame size</x:v>
      </x:c>
      <x:c r="D8" s="26" t="str">
        <x:v>2000 snapshot</x:v>
      </x:c>
      <x:c r="E8" s="26" t="str">
        <x:v>Founder interview</x:v>
      </x:c>
      <x:c r="F8" s="26" t="str">
        <x:v>One of nine named DIRTWERX frame sizes.</x:v>
      </x:c>
      <x:c r="G8" s="26" t="str">
        <x:v>ATTRIBUTED VERIFIED</x:v>
      </x:c>
      <x:c r="H8" s="26" t="str">
        <x:v>Size name only; geometry unknown.</x:v>
      </x:c>
      <x:c r="I8" s="26" t="str">
        <x:v>Model-register context</x:v>
      </x:c>
      <x:c r="J8" s="26" t="str">
        <x:v>https://bmxultra.com/archive/prosection/interview/harryleary.htm</x:v>
      </x:c>
      <x:c r="K8" s="26" t="str">
        <x:v>Recover geometry and period pricing.</x:v>
      </x:c>
    </x:row>
    <x:row r="9" ht="82" customHeight="1">
      <x:c r="A9" s="26" t="str">
        <x:v>DW-PRD-005</x:v>
      </x:c>
      <x:c r="B9" s="26" t="str">
        <x:v>Expert XL</x:v>
      </x:c>
      <x:c r="C9" s="26" t="str">
        <x:v>20-inch frame size</x:v>
      </x:c>
      <x:c r="D9" s="26" t="str">
        <x:v>2000 snapshot</x:v>
      </x:c>
      <x:c r="E9" s="26" t="str">
        <x:v>Founder interview</x:v>
      </x:c>
      <x:c r="F9" s="26" t="str">
        <x:v>One of nine named DIRTWERX frame sizes.</x:v>
      </x:c>
      <x:c r="G9" s="26" t="str">
        <x:v>ATTRIBUTED VERIFIED</x:v>
      </x:c>
      <x:c r="H9" s="26" t="str">
        <x:v>Size name only; geometry unknown.</x:v>
      </x:c>
      <x:c r="I9" s="26" t="str">
        <x:v>Model-register context</x:v>
      </x:c>
      <x:c r="J9" s="26" t="str">
        <x:v>https://bmxultra.com/archive/prosection/interview/harryleary.htm</x:v>
      </x:c>
      <x:c r="K9" s="26" t="str">
        <x:v>Recover geometry and period pricing.</x:v>
      </x:c>
    </x:row>
    <x:row r="10" ht="82" customHeight="1">
      <x:c r="A10" s="26" t="str">
        <x:v>DW-PRD-006</x:v>
      </x:c>
      <x:c r="B10" s="26" t="str">
        <x:v>Pro</x:v>
      </x:c>
      <x:c r="C10" s="26" t="str">
        <x:v>20-inch frame size</x:v>
      </x:c>
      <x:c r="D10" s="26" t="str">
        <x:v>2000 snapshot</x:v>
      </x:c>
      <x:c r="E10" s="26" t="str">
        <x:v>Founder interview</x:v>
      </x:c>
      <x:c r="F10" s="26" t="str">
        <x:v>One of nine named DIRTWERX frame sizes.</x:v>
      </x:c>
      <x:c r="G10" s="26" t="str">
        <x:v>ATTRIBUTED VERIFIED</x:v>
      </x:c>
      <x:c r="H10" s="26" t="str">
        <x:v>Relationship to 'Leary Pro' survivor references remains unresolved.</x:v>
      </x:c>
      <x:c r="I10" s="26" t="str">
        <x:v>Possible comparison class for PR12</x:v>
      </x:c>
      <x:c r="J10" s="26" t="str">
        <x:v>https://bmxultra.com/archive/prosection/interview/harryleary.htm</x:v>
      </x:c>
      <x:c r="K10" s="26" t="str">
        <x:v>Build known-survivor matrix.</x:v>
      </x:c>
    </x:row>
    <x:row r="11" ht="82" customHeight="1">
      <x:c r="A11" s="26" t="str">
        <x:v>DW-PRD-007</x:v>
      </x:c>
      <x:c r="B11" s="26" t="str">
        <x:v>Pro XL</x:v>
      </x:c>
      <x:c r="C11" s="26" t="str">
        <x:v>20-inch frame size</x:v>
      </x:c>
      <x:c r="D11" s="26" t="str">
        <x:v>2000 snapshot</x:v>
      </x:c>
      <x:c r="E11" s="26" t="str">
        <x:v>Founder interview</x:v>
      </x:c>
      <x:c r="F11" s="26" t="str">
        <x:v>One of nine named DIRTWERX frame sizes.</x:v>
      </x:c>
      <x:c r="G11" s="26" t="str">
        <x:v>ATTRIBUTED VERIFIED</x:v>
      </x:c>
      <x:c r="H11" s="26" t="str">
        <x:v>Geometry and decal generation unknown.</x:v>
      </x:c>
      <x:c r="I11" s="26" t="str">
        <x:v>Possible comparison class for PR12</x:v>
      </x:c>
      <x:c r="J11" s="26" t="str">
        <x:v>https://bmxultra.com/archive/prosection/interview/harryleary.htm</x:v>
      </x:c>
      <x:c r="K11" s="26" t="str">
        <x:v>Build known-survivor matrix.</x:v>
      </x:c>
    </x:row>
    <x:row r="12" ht="82" customHeight="1">
      <x:c r="A12" s="26" t="str">
        <x:v>DW-PRD-008</x:v>
      </x:c>
      <x:c r="B12" s="26" t="str">
        <x:v>XXL-Stilt</x:v>
      </x:c>
      <x:c r="C12" s="26" t="str">
        <x:v>20-inch frame size</x:v>
      </x:c>
      <x:c r="D12" s="26" t="str">
        <x:v>2000 snapshot</x:v>
      </x:c>
      <x:c r="E12" s="26" t="str">
        <x:v>Founder interview</x:v>
      </x:c>
      <x:c r="F12" s="26" t="str">
        <x:v>One of nine named DIRTWERX frame sizes.</x:v>
      </x:c>
      <x:c r="G12" s="26" t="str">
        <x:v>ATTRIBUTED VERIFIED</x:v>
      </x:c>
      <x:c r="H12" s="26" t="str">
        <x:v>Exact top-tube length and meaning of Stilt require a catalog.</x:v>
      </x:c>
      <x:c r="I12" s="26" t="str">
        <x:v>Potential tall-rider product context</x:v>
      </x:c>
      <x:c r="J12" s="26" t="str">
        <x:v>https://bmxultra.com/archive/prosection/interview/harryleary.htm</x:v>
      </x:c>
      <x:c r="K12" s="26" t="str">
        <x:v>Recover catalog and owner measurements.</x:v>
      </x:c>
    </x:row>
    <x:row r="13" ht="82" customHeight="1">
      <x:c r="A13" s="26" t="str">
        <x:v>DW-PRD-009</x:v>
      </x:c>
      <x:c r="B13" s="26" t="str">
        <x:v>24-XL</x:v>
      </x:c>
      <x:c r="C13" s="26" t="str">
        <x:v>24-inch cruiser frame size</x:v>
      </x:c>
      <x:c r="D13" s="26" t="str">
        <x:v>2000 snapshot</x:v>
      </x:c>
      <x:c r="E13" s="26" t="str">
        <x:v>Founder interview</x:v>
      </x:c>
      <x:c r="F13" s="26" t="str">
        <x:v>One of two named 24-inch DIRTWERX sizes.</x:v>
      </x:c>
      <x:c r="G13" s="26" t="str">
        <x:v>ATTRIBUTED VERIFIED</x:v>
      </x:c>
      <x:c r="H13" s="26" t="str">
        <x:v>No production chronology or geometry recovered.</x:v>
      </x:c>
      <x:c r="I13" s="26" t="str">
        <x:v>Direct comparison target for 26.0029</x:v>
      </x:c>
      <x:c r="J13" s="26" t="str">
        <x:v>https://bmxultra.com/archive/prosection/interview/harryleary.htm</x:v>
      </x:c>
      <x:c r="K13" s="26" t="str">
        <x:v>Compare 26.0029 geometry and markings.</x:v>
      </x:c>
    </x:row>
    <x:row r="14" ht="82" customHeight="1">
      <x:c r="A14" s="26" t="str">
        <x:v>DW-PRD-010</x:v>
      </x:c>
      <x:c r="B14" s="26" t="str">
        <x:v>24-XXL Stilt</x:v>
      </x:c>
      <x:c r="C14" s="26" t="str">
        <x:v>24-inch cruiser frame size</x:v>
      </x:c>
      <x:c r="D14" s="26" t="str">
        <x:v>2000 snapshot</x:v>
      </x:c>
      <x:c r="E14" s="26" t="str">
        <x:v>Founder interview</x:v>
      </x:c>
      <x:c r="F14" s="26" t="str">
        <x:v>One of two named 24-inch DIRTWERX sizes.</x:v>
      </x:c>
      <x:c r="G14" s="26" t="str">
        <x:v>ATTRIBUTED VERIFIED</x:v>
      </x:c>
      <x:c r="H14" s="26" t="str">
        <x:v>No production chronology or geometry recovered.</x:v>
      </x:c>
      <x:c r="I14" s="26" t="str">
        <x:v>Direct comparison target for 26.0029</x:v>
      </x:c>
      <x:c r="J14" s="26" t="str">
        <x:v>https://bmxultra.com/archive/prosection/interview/harryleary.htm</x:v>
      </x:c>
      <x:c r="K14" s="26" t="str">
        <x:v>Compare 26.0029 geometry and markings.</x:v>
      </x:c>
    </x:row>
    <x:row r="15" ht="82" customHeight="1">
      <x:c r="A15" s="26" t="str">
        <x:v>DW-PRD-011</x:v>
      </x:c>
      <x:c r="B15" s="26" t="str">
        <x:v>DIRTWERX race forks</x:v>
      </x:c>
      <x:c r="C15" s="26" t="str">
        <x:v>Fork</x:v>
      </x:c>
      <x:c r="D15" s="26" t="str">
        <x:v>By 2000</x:v>
      </x:c>
      <x:c r="E15" s="26" t="str">
        <x:v>Founder interview</x:v>
      </x:c>
      <x:c r="F15" s="26" t="str">
        <x:v>Narrow fork design with long dropouts; three tube wall-thickness areas; 4130 plate dropouts.</x:v>
      </x:c>
      <x:c r="G15" s="26" t="str">
        <x:v>ATTRIBUTED VERIFIED</x:v>
      </x:c>
      <x:c r="H15" s="26" t="str">
        <x:v>No drawing, test sheet, weights or model generations recovered.</x:v>
      </x:c>
      <x:c r="I15" s="26" t="str">
        <x:v>Direct comparison target for 26.0029 fork</x:v>
      </x:c>
      <x:c r="J15" s="26" t="str">
        <x:v>https://bmxultra.com/archive/prosection/interview/harryleary.htm</x:v>
      </x:c>
      <x:c r="K15" s="26" t="str">
        <x:v>Measure fork, document dropouts and recover period test.</x:v>
      </x:c>
    </x:row>
    <x:row r="16" ht="82" customHeight="1">
      <x:c r="A16" s="26" t="str">
        <x:v>DW-PRD-012</x:v>
      </x:c>
      <x:c r="B16" s="26" t="str">
        <x:v>DIRTWERX handlebars</x:v>
      </x:c>
      <x:c r="C16" s="26" t="str">
        <x:v>Handlebar</x:v>
      </x:c>
      <x:c r="D16" s="26" t="str">
        <x:v>By 2000</x:v>
      </x:c>
      <x:c r="E16" s="26" t="str">
        <x:v>Founder interview</x:v>
      </x:c>
      <x:c r="F16" s="26" t="str">
        <x:v>Handlebars were part of the stated core product line.</x:v>
      </x:c>
      <x:c r="G16" s="26" t="str">
        <x:v>ATTRIBUTED VERIFIED</x:v>
      </x:c>
      <x:c r="H16" s="26" t="str">
        <x:v>Models, dimensions and manufacturer remain unresolved.</x:v>
      </x:c>
      <x:c r="I16" s="26" t="str">
        <x:v>General product context</x:v>
      </x:c>
      <x:c r="J16" s="26" t="str">
        <x:v>https://bmxultra.com/archive/prosection/interview/harryleary.htm</x:v>
      </x:c>
      <x:c r="K16" s="26" t="str">
        <x:v>Recover catalog/advertisements and marked examples.</x:v>
      </x:c>
    </x:row>
    <x:row r="17" ht="82" customHeight="1">
      <x:c r="A17" s="26" t="str">
        <x:v>DW-PRD-013</x:v>
      </x:c>
      <x:c r="B17" s="26" t="str">
        <x:v>Painkiller Chain Guide System</x:v>
      </x:c>
      <x:c r="C17" s="26" t="str">
        <x:v>Frame feature / accessory</x:v>
      </x:c>
      <x:c r="D17" s="26" t="str">
        <x:v>By 2000</x:v>
      </x:c>
      <x:c r="E17" s="26" t="str">
        <x:v>Founder interview</x:v>
      </x:c>
      <x:c r="F17" s="26" t="str">
        <x:v>Guide intended to prevent lateral chain movement and derailment under acceleration.</x:v>
      </x:c>
      <x:c r="G17" s="26" t="str">
        <x:v>ATTRIBUTED VERIFIED</x:v>
      </x:c>
      <x:c r="H17" s="26" t="str">
        <x:v>Performance claim is founder description, not an independent test.</x:v>
      </x:c>
      <x:c r="I17" s="26" t="str">
        <x:v>Physical comparison target for both Lititz frames</x:v>
      </x:c>
      <x:c r="J17" s="26" t="str">
        <x:v>https://bmxultra.com/archive/prosection/interview/harryleary.htm</x:v>
      </x:c>
      <x:c r="K17" s="26" t="str">
        <x:v>Check both frames for original guide mounts/components.</x:v>
      </x:c>
    </x:row>
    <x:row r="18" ht="82" customHeight="1">
      <x:c r="A18" s="26" t="str">
        <x:v>DW-PRD-014</x:v>
      </x:c>
      <x:c r="B18" s="26" t="str">
        <x:v>Right and left chain tensioners</x:v>
      </x:c>
      <x:c r="C18" s="26" t="str">
        <x:v>Frame feature</x:v>
      </x:c>
      <x:c r="D18" s="26" t="str">
        <x:v>By 2000</x:v>
      </x:c>
      <x:c r="E18" s="26" t="str">
        <x:v>Founder interview</x:v>
      </x:c>
      <x:c r="F18" s="26" t="str">
        <x:v>Frames reportedly included chain tensioners on both sides.</x:v>
      </x:c>
      <x:c r="G18" s="26" t="str">
        <x:v>ATTRIBUTED VERIFIED</x:v>
      </x:c>
      <x:c r="H18" s="26" t="str">
        <x:v>Not shown to be universal across all years or prototypes.</x:v>
      </x:c>
      <x:c r="I18" s="26" t="str">
        <x:v>Physical comparison target for both Lititz frames</x:v>
      </x:c>
      <x:c r="J18" s="26" t="str">
        <x:v>https://bmxultra.com/archive/prosection/interview/harryleary.htm</x:v>
      </x:c>
      <x:c r="K18" s="26" t="str">
        <x:v>Document dropout and tensioner construction.</x:v>
      </x:c>
    </x:row>
    <x:row r="19" ht="82" customHeight="1">
      <x:c r="A19" s="26" t="str">
        <x:v>DW-PRD-015</x:v>
      </x:c>
      <x:c r="B19" s="26" t="str">
        <x:v>Three-inch head tube</x:v>
      </x:c>
      <x:c r="C19" s="26" t="str">
        <x:v>Frame geometry feature</x:v>
      </x:c>
      <x:c r="D19" s="26" t="str">
        <x:v>By 2000</x:v>
      </x:c>
      <x:c r="E19" s="26" t="str">
        <x:v>Founder interview</x:v>
      </x:c>
      <x:c r="F19" s="26" t="str">
        <x:v>Leary described a three-inch head tube to increase bar-height adjustment and alter leverage.</x:v>
      </x:c>
      <x:c r="G19" s="26" t="str">
        <x:v>ATTRIBUTED VERIFIED</x:v>
      </x:c>
      <x:c r="H19" s="26" t="str">
        <x:v>Exact application across sizes and model years unresolved.</x:v>
      </x:c>
      <x:c r="I19" s="26" t="str">
        <x:v>Measure 26.0047 and 26.0029</x:v>
      </x:c>
      <x:c r="J19" s="26" t="str">
        <x:v>https://bmxultra.com/archive/prosection/interview/harryleary.htm</x:v>
      </x:c>
      <x:c r="K19" s="26" t="str">
        <x:v>Photograph and measure both head tubes.</x:v>
      </x:c>
    </x:row>
    <x:row r="20" ht="82" customHeight="1">
      <x:c r="A20" s="26" t="str">
        <x:v>DW-PRD-016</x:v>
      </x:c>
      <x:c r="B20" s="26" t="str">
        <x:v>PR12 prototype</x:v>
      </x:c>
      <x:c r="C20" s="26" t="str">
        <x:v>Prototype frame</x:v>
      </x:c>
      <x:c r="D20" s="26" t="str">
        <x:v>Unknown</x:v>
      </x:c>
      <x:c r="E20" s="26" t="str">
        <x:v>Lititz collection provenance</x:v>
      </x:c>
      <x:c r="F20" s="26" t="str">
        <x:v>Artifact 26.0047 is cataloged as Harry Leary's DIRTWERX PR12 prototype, sourced from Justin Dumas.</x:v>
      </x:c>
      <x:c r="G20" s="26" t="str">
        <x:v>COLLECTION ATTRIBUTION</x:v>
      </x:c>
      <x:c r="H20" s="26" t="str">
        <x:v>PR12 meaning, date, geometry, builder and production quantity remain unverified.</x:v>
      </x:c>
      <x:c r="I20" s="26" t="str">
        <x:v>26.0047</x:v>
      </x:c>
      <x:c r="J20" s="26" t="str">
        <x:v>https://sites.google.com/view/lititzbmxinventorylist/home/26-0047</x:v>
      </x:c>
      <x:c r="K20" s="26" t="str">
        <x:v>Complete physical roadmap and search exact product terminology.</x:v>
      </x:c>
    </x:row>
    <x:row r="21" ht="82" customHeight="1">
      <x:c r="A21" s="26" t="str">
        <x:v>DW-PRD-017</x:v>
      </x:c>
      <x:c r="B21" s="26" t="str">
        <x:v>24-inch cruiser prototype frame and fork</x:v>
      </x:c>
      <x:c r="C21" s="26" t="str">
        <x:v>Prototype frameset</x:v>
      </x:c>
      <x:c r="D21" s="26" t="str">
        <x:v>Unknown</x:v>
      </x:c>
      <x:c r="E21" s="26" t="str">
        <x:v>Lititz collection provenance</x:v>
      </x:c>
      <x:c r="F21" s="26" t="str">
        <x:v>Artifact 26.0029 is cataloged as a DIRTWERX 24-inch prototype with original Leary Locker association.</x:v>
      </x:c>
      <x:c r="G21" s="26" t="str">
        <x:v>COLLECTION ATTRIBUTION</x:v>
      </x:c>
      <x:c r="H21" s="26" t="str">
        <x:v>Exact prototype stage, model relationship and production sequence remain unverified.</x:v>
      </x:c>
      <x:c r="I21" s="26" t="str">
        <x:v>26.0029</x:v>
      </x:c>
      <x:c r="J21" s="26" t="str">
        <x:v>https://sites.google.com/view/lititzbmxinventorylist/home/26-0029</x:v>
      </x:c>
      <x:c r="K21" s="26" t="str">
        <x:v>Compare geometry to 24-XL and 24-XXL Stilt.</x:v>
      </x:c>
    </x:row>
    <x:row r="22" ht="82" customHeight="1">
      <x:c r="A22" s="26" t="str">
        <x:v>DW-PRD-018</x:v>
      </x:c>
      <x:c r="B22" s="26" t="str">
        <x:v>Leary Dirtwerx Pro complete bicycle</x:v>
      </x:c>
      <x:c r="C22" s="26" t="str">
        <x:v>Survivor / bibliographic lead</x:v>
      </x:c>
      <x:c r="D22" s="26" t="str">
        <x:v>Reported 1995</x:v>
      </x:c>
      <x:c r="E22" s="26" t="str">
        <x:v>Public collector/reference lead</x:v>
      </x:c>
      <x:c r="F22" s="26" t="str">
        <x:v>A public BMX-history index identifies a 1995 Leary Dirtwerx Pro complete bicycle.</x:v>
      </x:c>
      <x:c r="G22" s="26" t="str">
        <x:v>LEAD</x:v>
      </x:c>
      <x:c r="H22" s="26" t="str">
        <x:v>Record and source page need direct verification; may reflect submitted dating.</x:v>
      </x:c>
      <x:c r="I22" s="26" t="str">
        <x:v>Potential comparator for 26.0047</x:v>
      </x:c>
      <x:c r="J22" s="26" t="str">
        <x:v>https://www.radbmxmuseum.com/bike-details/1995-leary-dirtwerx-pro/</x:v>
      </x:c>
      <x:c r="K22" s="26" t="str">
        <x:v>Recover accessible metadata and independent period support.</x:v>
      </x:c>
    </x:row>
    <x:row r="23" ht="82" customHeight="1">
      <x:c r="A23" s="26" t="str">
        <x:v>DW-PRD-019</x:v>
      </x:c>
      <x:c r="B23" s="26" t="str">
        <x:v>Late-1990s Dirtwerx Leary Pro survivor</x:v>
      </x:c>
      <x:c r="C23" s="26" t="str">
        <x:v>Community survivor lead</x:v>
      </x:c>
      <x:c r="D23" s="26" t="str">
        <x:v>Late 1990s</x:v>
      </x:c>
      <x:c r="E23" s="26" t="str">
        <x:v>Public community post</x:v>
      </x:c>
      <x:c r="F23" s="26" t="str">
        <x:v>A surviving bicycle is publicly described as a late-1990s Dirtwerx Leary Pro.</x:v>
      </x:c>
      <x:c r="G23" s="26" t="str">
        <x:v>COMMUNITY LEAD</x:v>
      </x:c>
      <x:c r="H23" s="26" t="str">
        <x:v>Restoration, modifications, serial and submitted year must be checked.</x:v>
      </x:c>
      <x:c r="I23" s="26" t="str">
        <x:v>Known-survivor register</x:v>
      </x:c>
      <x:c r="J23" s="26" t="str">
        <x:v>https://www.reddit.com/r/bmx/</x:v>
      </x:c>
      <x:c r="K23" s="26" t="str">
        <x:v>Locate exact post/record and capture permitted metadata.</x:v>
      </x:c>
    </x:row>
    <x:row r="24" ht="82" customHeight="1">
      <x:c r="A24" s="26" t="str">
        <x:v>DW-PRD-020</x:v>
      </x:c>
      <x:c r="B24" s="26" t="str">
        <x:v>DIRTWERX-branded helmet</x:v>
      </x:c>
      <x:c r="C24" s="26" t="str">
        <x:v>Branded personal equipment</x:v>
      </x:c>
      <x:c r="D24" s="26" t="str">
        <x:v>Post-1995 likely</x:v>
      </x:c>
      <x:c r="E24" s="26" t="str">
        <x:v>Lititz artifact image and provenance</x:v>
      </x:c>
      <x:c r="F24" s="26" t="str">
        <x:v>Artifact 26.0062 visibly represents DIRTWERX-branded Harry Leary gear.</x:v>
      </x:c>
      <x:c r="G24" s="26" t="str">
        <x:v>OBJECT CONFIRMED / DETAILS OPEN</x:v>
      </x:c>
      <x:c r="H24" s="26" t="str">
        <x:v>DIRTWERX is not established as the helmet manufacturer or painter; 1980s dating is incompatible with current company chronology.</x:v>
      </x:c>
      <x:c r="I24" s="26" t="str">
        <x:v>26.0062</x:v>
      </x:c>
      <x:c r="J24" s="26" t="str">
        <x:v>https://sites.google.com/view/lititzbmxinventorylist/home/26-0062</x:v>
      </x:c>
      <x:c r="K24" s="26" t="str">
        <x:v>Capture maker labels, decals, date codes and provenance.</x:v>
      </x:c>
    </x:row>
    <x:row r="25" ht="82" customHeight="1">
      <x:c r="A25" s="26" t="str">
        <x:v>DW-PRD-021</x:v>
      </x:c>
      <x:c r="B25" s="26" t="str">
        <x:v>DIRTWERX-branded Harry Leary jersey</x:v>
      </x:c>
      <x:c r="C25" s="26" t="str">
        <x:v>Branded team/personal apparel</x:v>
      </x:c>
      <x:c r="D25" s="26" t="str">
        <x:v>Post-1995 likely</x:v>
      </x:c>
      <x:c r="E25" s="26" t="str">
        <x:v>Lititz artifact image and provenance</x:v>
      </x:c>
      <x:c r="F25" s="26" t="str">
        <x:v>Artifact 26.0063 is cataloged as a DIRTWERX Harry Leary jersey.</x:v>
      </x:c>
      <x:c r="G25" s="26" t="str">
        <x:v>OBJECT CONFIRMED / USE OPEN</x:v>
      </x:c>
      <x:c r="H25" s="26" t="str">
        <x:v>Manufacturer, production date, race-worn status and exact team use are not established.</x:v>
      </x:c>
      <x:c r="I25" s="26" t="str">
        <x:v>26.0063</x:v>
      </x:c>
      <x:c r="J25" s="26" t="str">
        <x:v>https://sites.google.com/view/lititzbmxinventorylist/home/26-0063</x:v>
      </x:c>
      <x:c r="K25" s="26" t="str">
        <x:v>Capture all labels, construction and provenance evidence.</x:v>
      </x:c>
    </x:row>
  </x:sheetData>
  <x:mergeCells>
    <x:mergeCell ref="A1:K1"/>
    <x:mergeCell ref="A2:K2"/>
  </x:mergeCells>
  <x:pageMargins left="0.7" right="0.7" top="0.75" bottom="0.75" header="0.3" footer="0.3"/>
  <x:tableParts count="1">
    <x:tablePart xmlns:r="http://schemas.openxmlformats.org/officeDocument/2006/relationships" r:id="R11ff1e4463114166"/>
  </x:tableParts>
</x:worksheet>
</file>

<file path=xl/worksheets/sheet78.xml><?xml version="1.0" encoding="utf-8"?>
<x:worksheet xmlns:x="http://schemas.openxmlformats.org/spreadsheetml/2006/main">
  <x:sheetFormatPr defaultRowHeight="15"/>
  <x:cols>
    <x:col min="1" max="1" width="16" hidden="0" customWidth="1"/>
    <x:col min="2" max="2" width="28" hidden="0" customWidth="1"/>
    <x:col min="3" max="3" width="28" hidden="0" customWidth="1"/>
    <x:col min="4" max="4" width="42" hidden="0" customWidth="1"/>
    <x:col min="5" max="5" width="25" hidden="0" customWidth="1"/>
    <x:col min="6" max="6" width="44" hidden="0" customWidth="1"/>
    <x:col min="7" max="7" width="58" hidden="0" customWidth="1"/>
    <x:col min="8" max="8" width="25" hidden="0" customWidth="1"/>
  </x:cols>
  <x:sheetData>
    <x:row r="1" ht="30" customHeight="1">
      <x:c r="A1" s="544" t="str">
        <x:v>v1.4 DIRTWERX Team and Sycamore BMX Roster</x:v>
      </x:c>
      <x:c r="B1" s="544"/>
      <x:c r="C1" s="544"/>
      <x:c r="D1" s="544"/>
      <x:c r="E1" s="544"/>
      <x:c r="F1" s="544"/>
      <x:c r="G1" s="544"/>
      <x:c r="H1" s="544"/>
    </x:row>
    <x:row r="2" ht="30" customHeight="1">
      <x:c r="A2" s="549" t="str">
        <x:v>This is a dated March 2000 roster from Harry Leary's own account. Class labels, ages and spellings must not be projected beyond that snapshot without independent race records.</x:v>
      </x:c>
      <x:c r="B2" s="549"/>
      <x:c r="C2" s="549"/>
      <x:c r="D2" s="549"/>
      <x:c r="E2" s="549"/>
      <x:c r="F2" s="549"/>
      <x:c r="G2" s="549"/>
      <x:c r="H2" s="549"/>
    </x:row>
    <x:row r="4">
      <x:c r="A4" s="554" t="str">
        <x:v>Team ID</x:v>
      </x:c>
      <x:c r="B4" s="554" t="str">
        <x:v>Person / Family</x:v>
      </x:c>
      <x:c r="C4" s="554" t="str">
        <x:v>Role / Class in 2000</x:v>
      </x:c>
      <x:c r="D4" s="554" t="str">
        <x:v>Team / Track Relationship</x:v>
      </x:c>
      <x:c r="E4" s="554" t="str">
        <x:v>Evidence Class</x:v>
      </x:c>
      <x:c r="F4" s="554" t="str">
        <x:v>Qualification</x:v>
      </x:c>
      <x:c r="G4" s="554" t="str">
        <x:v>Source URL</x:v>
      </x:c>
      <x:c r="H4" s="554" t="str">
        <x:v>Status</x:v>
      </x:c>
    </x:row>
    <x:row r="5" ht="68" customHeight="1">
      <x:c r="A5" s="26" t="str">
        <x:v>DW-TEAM-001</x:v>
      </x:c>
      <x:c r="B5" s="26" t="str">
        <x:v>Ashley Verhagan</x:v>
      </x:c>
      <x:c r="C5" s="26" t="str">
        <x:v>8 Girls</x:v>
      </x:c>
      <x:c r="D5" s="26" t="str">
        <x:v>DIRTWERX team rider from Sycamore BMX</x:v>
      </x:c>
      <x:c r="E5" s="26" t="str">
        <x:v>Founder interview</x:v>
      </x:c>
      <x:c r="F5" s="26" t="str">
        <x:v>Class and age are a March 2000 snapshot.</x:v>
      </x:c>
      <x:c r="G5" s="26" t="str">
        <x:v>https://bmxultra.com/archive/prosection/interview/harryleary.htm</x:v>
      </x:c>
      <x:c r="H5" s="26" t="str">
        <x:v>ATTRIBUTED VERIFIED</x:v>
      </x:c>
    </x:row>
    <x:row r="6" ht="68" customHeight="1">
      <x:c r="A6" s="26" t="str">
        <x:v>DW-TEAM-002</x:v>
      </x:c>
      <x:c r="B6" s="26" t="str">
        <x:v>Chris Verhagan</x:v>
      </x:c>
      <x:c r="C6" s="26" t="str">
        <x:v>30–35 Cruiser</x:v>
      </x:c>
      <x:c r="D6" s="26" t="str">
        <x:v>DIRTWERX team rider from Sycamore BMX</x:v>
      </x:c>
      <x:c r="E6" s="26" t="str">
        <x:v>Founder interview</x:v>
      </x:c>
      <x:c r="F6" s="26" t="str">
        <x:v>Class is a March 2000 snapshot.</x:v>
      </x:c>
      <x:c r="G6" s="26" t="str">
        <x:v>https://bmxultra.com/archive/prosection/interview/harryleary.htm</x:v>
      </x:c>
      <x:c r="H6" s="26" t="str">
        <x:v>ATTRIBUTED VERIFIED</x:v>
      </x:c>
    </x:row>
    <x:row r="7" ht="68" customHeight="1">
      <x:c r="A7" s="26" t="str">
        <x:v>DW-TEAM-003</x:v>
      </x:c>
      <x:c r="B7" s="26" t="str">
        <x:v>Brooklyn Arndt</x:v>
      </x:c>
      <x:c r="C7" s="26" t="str">
        <x:v>9 Girls</x:v>
      </x:c>
      <x:c r="D7" s="26" t="str">
        <x:v>DIRTWERX team rider; Arndt family</x:v>
      </x:c>
      <x:c r="E7" s="26" t="str">
        <x:v>Founder interview</x:v>
      </x:c>
      <x:c r="F7" s="26" t="str">
        <x:v>Class and age are a March 2000 snapshot.</x:v>
      </x:c>
      <x:c r="G7" s="26" t="str">
        <x:v>https://bmxultra.com/archive/prosection/interview/harryleary.htm</x:v>
      </x:c>
      <x:c r="H7" s="26" t="str">
        <x:v>ATTRIBUTED VERIFIED</x:v>
      </x:c>
    </x:row>
    <x:row r="8" ht="68" customHeight="1">
      <x:c r="A8" s="26" t="str">
        <x:v>DW-TEAM-004</x:v>
      </x:c>
      <x:c r="B8" s="26" t="str">
        <x:v>Brandon Arndt</x:v>
      </x:c>
      <x:c r="C8" s="26" t="str">
        <x:v>11 Expert</x:v>
      </x:c>
      <x:c r="D8" s="26" t="str">
        <x:v>DIRTWERX team rider; Arndt family</x:v>
      </x:c>
      <x:c r="E8" s="26" t="str">
        <x:v>Founder interview</x:v>
      </x:c>
      <x:c r="F8" s="26" t="str">
        <x:v>Class and age are a March 2000 snapshot.</x:v>
      </x:c>
      <x:c r="G8" s="26" t="str">
        <x:v>https://bmxultra.com/archive/prosection/interview/harryleary.htm</x:v>
      </x:c>
      <x:c r="H8" s="26" t="str">
        <x:v>ATTRIBUTED VERIFIED</x:v>
      </x:c>
    </x:row>
    <x:row r="9" ht="68" customHeight="1">
      <x:c r="A9" s="26" t="str">
        <x:v>DW-TEAM-005</x:v>
      </x:c>
      <x:c r="B9" s="26" t="str">
        <x:v>Brock Arndt</x:v>
      </x:c>
      <x:c r="C9" s="26" t="str">
        <x:v>12 Expert</x:v>
      </x:c>
      <x:c r="D9" s="26" t="str">
        <x:v>DIRTWERX team rider; Arndt family</x:v>
      </x:c>
      <x:c r="E9" s="26" t="str">
        <x:v>Founder interview</x:v>
      </x:c>
      <x:c r="F9" s="26" t="str">
        <x:v>Class and age are a March 2000 snapshot.</x:v>
      </x:c>
      <x:c r="G9" s="26" t="str">
        <x:v>https://bmxultra.com/archive/prosection/interview/harryleary.htm</x:v>
      </x:c>
      <x:c r="H9" s="26" t="str">
        <x:v>ATTRIBUTED VERIFIED</x:v>
      </x:c>
    </x:row>
    <x:row r="10" ht="68" customHeight="1">
      <x:c r="A10" s="26" t="str">
        <x:v>DW-TEAM-006</x:v>
      </x:c>
      <x:c r="B10" s="26" t="str">
        <x:v>Bryan Arndt</x:v>
      </x:c>
      <x:c r="C10" s="26" t="str">
        <x:v>14 Expert</x:v>
      </x:c>
      <x:c r="D10" s="26" t="str">
        <x:v>DIRTWERX team rider; Arndt family</x:v>
      </x:c>
      <x:c r="E10" s="26" t="str">
        <x:v>Founder interview</x:v>
      </x:c>
      <x:c r="F10" s="26" t="str">
        <x:v>Class and age are a March 2000 snapshot.</x:v>
      </x:c>
      <x:c r="G10" s="26" t="str">
        <x:v>https://bmxultra.com/archive/prosection/interview/harryleary.htm</x:v>
      </x:c>
      <x:c r="H10" s="26" t="str">
        <x:v>ATTRIBUTED VERIFIED</x:v>
      </x:c>
    </x:row>
    <x:row r="11" ht="68" customHeight="1">
      <x:c r="A11" s="26" t="str">
        <x:v>DW-TEAM-007</x:v>
      </x:c>
      <x:c r="B11" s="26" t="str">
        <x:v>Seth Hall</x:v>
      </x:c>
      <x:c r="C11" s="26" t="str">
        <x:v>16 Expert</x:v>
      </x:c>
      <x:c r="D11" s="26" t="str">
        <x:v>DIRTWERX team rider from Sycamore BMX</x:v>
      </x:c>
      <x:c r="E11" s="26" t="str">
        <x:v>Founder interview</x:v>
      </x:c>
      <x:c r="F11" s="26" t="str">
        <x:v>Class and age are a March 2000 snapshot.</x:v>
      </x:c>
      <x:c r="G11" s="26" t="str">
        <x:v>https://bmxultra.com/archive/prosection/interview/harryleary.htm</x:v>
      </x:c>
      <x:c r="H11" s="26" t="str">
        <x:v>ATTRIBUTED VERIFIED</x:v>
      </x:c>
    </x:row>
    <x:row r="12" ht="68" customHeight="1">
      <x:c r="A12" s="26" t="str">
        <x:v>DW-TEAM-008</x:v>
      </x:c>
      <x:c r="B12" s="26" t="str">
        <x:v>Sierra Lininburger</x:v>
      </x:c>
      <x:c r="C12" s="26" t="str">
        <x:v>16 Girls</x:v>
      </x:c>
      <x:c r="D12" s="26" t="str">
        <x:v>DIRTWERX team rider from Sycamore BMX</x:v>
      </x:c>
      <x:c r="E12" s="26" t="str">
        <x:v>Founder interview</x:v>
      </x:c>
      <x:c r="F12" s="26" t="str">
        <x:v>Name spelling is preserved from the source and requires independent confirmation.</x:v>
      </x:c>
      <x:c r="G12" s="26" t="str">
        <x:v>https://bmxultra.com/archive/prosection/interview/harryleary.htm</x:v>
      </x:c>
      <x:c r="H12" s="26" t="str">
        <x:v>ATTRIBUTED / SPELLING OPEN</x:v>
      </x:c>
    </x:row>
    <x:row r="13" ht="68" customHeight="1">
      <x:c r="A13" s="26" t="str">
        <x:v>DW-TEAM-009</x:v>
      </x:c>
      <x:c r="B13" s="26" t="str">
        <x:v>Carrie Blancard</x:v>
      </x:c>
      <x:c r="C13" s="26" t="str">
        <x:v>36–40 Girls Cruiser</x:v>
      </x:c>
      <x:c r="D13" s="26" t="str">
        <x:v>DIRTWERX team rider from Sycamore BMX</x:v>
      </x:c>
      <x:c r="E13" s="26" t="str">
        <x:v>Founder interview</x:v>
      </x:c>
      <x:c r="F13" s="26" t="str">
        <x:v>Name spelling and class require independent confirmation.</x:v>
      </x:c>
      <x:c r="G13" s="26" t="str">
        <x:v>https://bmxultra.com/archive/prosection/interview/harryleary.htm</x:v>
      </x:c>
      <x:c r="H13" s="26" t="str">
        <x:v>ATTRIBUTED / SPELLING OPEN</x:v>
      </x:c>
    </x:row>
    <x:row r="14" ht="68" customHeight="1">
      <x:c r="A14" s="26" t="str">
        <x:v>DW-TEAM-010</x:v>
      </x:c>
      <x:c r="B14" s="26" t="str">
        <x:v>Joan Nigro</x:v>
      </x:c>
      <x:c r="C14" s="26" t="str">
        <x:v>45+ Girls Cruiser; track operator</x:v>
      </x:c>
      <x:c r="D14" s="26" t="str">
        <x:v>DIRTWERX team rider and Sycamore BMX co-operator</x:v>
      </x:c>
      <x:c r="E14" s="26" t="str">
        <x:v>Founder interview</x:v>
      </x:c>
      <x:c r="F14" s="26" t="str">
        <x:v>Class is a March 2000 snapshot; track title requires additional records.</x:v>
      </x:c>
      <x:c r="G14" s="26" t="str">
        <x:v>https://bmxultra.com/archive/prosection/interview/harryleary.htm</x:v>
      </x:c>
      <x:c r="H14" s="26" t="str">
        <x:v>ATTRIBUTED VERIFIED</x:v>
      </x:c>
    </x:row>
    <x:row r="15" ht="68" customHeight="1">
      <x:c r="A15" s="26" t="str">
        <x:v>DW-TEAM-011</x:v>
      </x:c>
      <x:c r="B15" s="26" t="str">
        <x:v>Tony Nigro</x:v>
      </x:c>
      <x:c r="C15" s="26" t="str">
        <x:v>Track operator</x:v>
      </x:c>
      <x:c r="D15" s="26" t="str">
        <x:v>Sycamore BMX co-owner/operator with Joan Nigro</x:v>
      </x:c>
      <x:c r="E15" s="26" t="str">
        <x:v>Founder interview</x:v>
      </x:c>
      <x:c r="F15" s="26" t="str">
        <x:v>Exact ownership/legal dates remain open.</x:v>
      </x:c>
      <x:c r="G15" s="26" t="str">
        <x:v>https://bmxultra.com/archive/prosection/interview/harryleary.htm</x:v>
      </x:c>
      <x:c r="H15" s="26" t="str">
        <x:v>ATTRIBUTED VERIFIED</x:v>
      </x:c>
    </x:row>
    <x:row r="16" ht="68" customHeight="1">
      <x:c r="A16" s="26" t="str">
        <x:v>DW-TEAM-012</x:v>
      </x:c>
      <x:c r="B16" s="26" t="str">
        <x:v>Brian and Cindy Arndt</x:v>
      </x:c>
      <x:c r="C16" s="26" t="str">
        <x:v>Parents / support</x:v>
      </x:c>
      <x:c r="D16" s="26" t="str">
        <x:v>Leary credited them for exceptional family commitment and four years of weekly training.</x:v>
      </x:c>
      <x:c r="E16" s="26" t="str">
        <x:v>Founder interview</x:v>
      </x:c>
      <x:c r="F16" s="26" t="str">
        <x:v>This is Leary's dated personal assessment.</x:v>
      </x:c>
      <x:c r="G16" s="26" t="str">
        <x:v>https://bmxultra.com/archive/prosection/interview/harryleary.htm</x:v>
      </x:c>
      <x:c r="H16" s="26" t="str">
        <x:v>ATTRIBUTED VERIFIED</x:v>
      </x:c>
    </x:row>
    <x:row r="17" ht="68" customHeight="1">
      <x:c r="A17" s="26" t="str">
        <x:v>DW-TEAM-013</x:v>
      </x:c>
      <x:c r="B17" s="26" t="str">
        <x:v>Harry Leary</x:v>
      </x:c>
      <x:c r="C17" s="26" t="str">
        <x:v>Founder, coach and rider</x:v>
      </x:c>
      <x:c r="D17" s="26" t="str">
        <x:v>Built a local, track-centered team and trained riders at Sycamore BMX.</x:v>
      </x:c>
      <x:c r="E17" s="26" t="str">
        <x:v>Founder interview</x:v>
      </x:c>
      <x:c r="F17" s="26" t="str">
        <x:v>Do not recast the local 2000 roster as a nationwide factory roster.</x:v>
      </x:c>
      <x:c r="G17" s="26" t="str">
        <x:v>https://bmxultra.com/archive/prosection/interview/harryleary.htm</x:v>
      </x:c>
      <x:c r="H17" s="26" t="str">
        <x:v>ATTRIBUTED VERIFIED</x:v>
      </x:c>
    </x:row>
  </x:sheetData>
  <x:mergeCells>
    <x:mergeCell ref="A1:H1"/>
    <x:mergeCell ref="A2:H2"/>
  </x:mergeCells>
  <x:pageMargins left="0.7" right="0.7" top="0.75" bottom="0.75" header="0.3" footer="0.3"/>
  <x:tableParts count="1">
    <x:tablePart xmlns:r="http://schemas.openxmlformats.org/officeDocument/2006/relationships" r:id="Ra570595392294f6d"/>
  </x:tableParts>
</x:worksheet>
</file>

<file path=xl/worksheets/sheet79.xml><?xml version="1.0" encoding="utf-8"?>
<x:worksheet xmlns:x="http://schemas.openxmlformats.org/spreadsheetml/2006/main">
  <x:sheetFormatPr defaultRowHeight="15"/>
  <x:cols>
    <x:col min="1" max="1" width="16" hidden="0" customWidth="1"/>
    <x:col min="2" max="2" width="22" hidden="0" customWidth="1"/>
    <x:col min="3" max="3" width="44" hidden="0" customWidth="1"/>
    <x:col min="4" max="4" width="27" hidden="0" customWidth="1"/>
    <x:col min="5" max="5" width="52" hidden="0" customWidth="1"/>
    <x:col min="6" max="6" width="48" hidden="0" customWidth="1"/>
    <x:col min="7" max="7" width="18" hidden="0" customWidth="1"/>
    <x:col min="8" max="8" width="58" hidden="0" customWidth="1"/>
    <x:col min="9" max="9" width="48" hidden="0" customWidth="1"/>
    <x:col min="10" max="10" width="24" hidden="0" customWidth="1"/>
  </x:cols>
  <x:sheetData>
    <x:row r="1" ht="30" customHeight="1">
      <x:c r="A1" s="544" t="str">
        <x:v>v1.4 Greg Hill Products Chronology</x:v>
      </x:c>
      <x:c r="B1" s="544"/>
      <x:c r="C1" s="544"/>
      <x:c r="D1" s="544"/>
      <x:c r="E1" s="544"/>
      <x:c r="F1" s="544"/>
      <x:c r="G1" s="544"/>
      <x:c r="H1" s="544"/>
      <x:c r="I1" s="544"/>
      <x:c r="J1" s="544"/>
    </x:row>
    <x:row r="2" ht="30" customHeight="1">
      <x:c r="A2" s="549" t="str">
        <x:v>Multiple period sources support a 1983 GHP launch. Later operating phases remain useful secondary hypotheses until first-party or period documentation is recovered.</x:v>
      </x:c>
      <x:c r="B2" s="549"/>
      <x:c r="C2" s="549"/>
      <x:c r="D2" s="549"/>
      <x:c r="E2" s="549"/>
      <x:c r="F2" s="549"/>
      <x:c r="G2" s="549"/>
      <x:c r="H2" s="549"/>
      <x:c r="I2" s="549"/>
      <x:c r="J2" s="549"/>
    </x:row>
    <x:row r="4">
      <x:c r="A4" s="554" t="str">
        <x:v>Chronology ID</x:v>
      </x:c>
      <x:c r="B4" s="554" t="str">
        <x:v>Date / Period</x:v>
      </x:c>
      <x:c r="C4" s="554" t="str">
        <x:v>Event</x:v>
      </x:c>
      <x:c r="D4" s="554" t="str">
        <x:v>Evidence Class</x:v>
      </x:c>
      <x:c r="E4" s="554" t="str">
        <x:v>Evidence Summary</x:v>
      </x:c>
      <x:c r="F4" s="554" t="str">
        <x:v>Qualification</x:v>
      </x:c>
      <x:c r="G4" s="554" t="str">
        <x:v>Confidence</x:v>
      </x:c>
      <x:c r="H4" s="554" t="str">
        <x:v>Source URL</x:v>
      </x:c>
      <x:c r="I4" s="554" t="str">
        <x:v>Register Determination</x:v>
      </x:c>
      <x:c r="J4" s="554" t="str">
        <x:v>Status</x:v>
      </x:c>
    </x:row>
    <x:row r="5" ht="82" customHeight="1">
      <x:c r="A5" s="26" t="str">
        <x:v>GHP-CHR-001</x:v>
      </x:c>
      <x:c r="B5" s="26" t="str">
        <x:v>1983</x:v>
      </x:c>
      <x:c r="C5" s="26" t="str">
        <x:v>Greg Hill Products published Greg Hill's Professional BMX Skills, a 92-page book.</x:v>
      </x:c>
      <x:c r="D5" s="26" t="str">
        <x:v>Bibliographic record</x:v>
      </x:c>
      <x:c r="E5" s="26" t="str">
        <x:v>Google Books identifies Greg Hill as author and Greg Hill Products as publisher.</x:v>
      </x:c>
      <x:c r="F5" s="26" t="str">
        <x:v>Publication date proves the company name was active by 1983, not the exact legal founding date.</x:v>
      </x:c>
      <x:c r="G5" s="26" t="str">
        <x:v>HIGH</x:v>
      </x:c>
      <x:c r="H5" s="26" t="str">
        <x:v>https://books.google.com/books/about/Greg_Hill_s_Professional_BMX_Skills.html?id=tU_dtgAACAAJ</x:v>
      </x:c>
      <x:c r="I5" s="26" t="str">
        <x:v>GHP was operating publicly by 1983.</x:v>
      </x:c>
      <x:c r="J5" s="26" t="str">
        <x:v>VERIFIED</x:v>
      </x:c>
    </x:row>
    <x:row r="6" ht="82" customHeight="1">
      <x:c r="A6" s="26" t="str">
        <x:v>GHP-CHR-002</x:v>
      </x:c>
      <x:c r="B6" s="26" t="str">
        <x:v>August 1983 Worlds / October 1983 reporting</x:v>
      </x:c>
      <x:c r="C6" s="26" t="str">
        <x:v>Period reporting said Hill's Worlds ride was his last for GT and that he appeared early for GHP on his own bike and gear.</x:v>
      </x:c>
      <x:c r="D6" s="26" t="str">
        <x:v>Period magazine</x:v>
      </x:c>
      <x:c r="E6" s="26" t="str">
        <x:v>BMX Action Bike documents the transition from GT to GHP.</x:v>
      </x:c>
      <x:c r="F6" s="26" t="str">
        <x:v>The magazine's informal tone and 'three months early' language require a contract/timeline source for precision.</x:v>
      </x:c>
      <x:c r="G6" s="26" t="str">
        <x:v>HIGH</x:v>
      </x:c>
      <x:c r="H6" s="26" t="str">
        <x:v>https://previouspage.co.uk/magazines/BMX%20Action%20Bike/issues/85-october-nineteen-eighty-three</x:v>
      </x:c>
      <x:c r="I6" s="26" t="str">
        <x:v>Period-confirmed GHP rider/company transition in 1983.</x:v>
      </x:c>
      <x:c r="J6" s="26" t="str">
        <x:v>VERIFIED PERIOD</x:v>
      </x:c>
    </x:row>
    <x:row r="7" ht="82" customHeight="1">
      <x:c r="A7" s="26" t="str">
        <x:v>GHP-CHR-003</x:v>
      </x:c>
      <x:c r="B7" s="26" t="str">
        <x:v>1983 launch</x:v>
      </x:c>
      <x:c r="C7" s="26" t="str">
        <x:v>BMX Action Bike's February 1984 profile stated that Greg Hill Products launched the previous year.</x:v>
      </x:c>
      <x:c r="D7" s="26" t="str">
        <x:v>Period magazine</x:v>
      </x:c>
      <x:c r="E7" s="26" t="str">
        <x:v>A contemporary profile directly places launch in 1983.</x:v>
      </x:c>
      <x:c r="F7" s="26" t="str">
        <x:v>Exact month and corporate filing remain open.</x:v>
      </x:c>
      <x:c r="G7" s="26" t="str">
        <x:v>HIGH</x:v>
      </x:c>
      <x:c r="H7" s="26" t="str">
        <x:v>https://previouspage.co.uk/magazines/BMX%20Action%20Bike/issues/194-february-nineteen-eighty-four</x:v>
      </x:c>
      <x:c r="I7" s="26" t="str">
        <x:v>Use 1983 as the period-confirmed GHP launch year.</x:v>
      </x:c>
      <x:c r="J7" s="26" t="str">
        <x:v>VERIFIED PERIOD</x:v>
      </x:c>
    </x:row>
    <x:row r="8" ht="82" customHeight="1">
      <x:c r="A8" s="26" t="str">
        <x:v>GHP-CHR-004</x:v>
      </x:c>
      <x:c r="B8" s="26" t="str">
        <x:v>February 1984</x:v>
      </x:c>
      <x:c r="C8" s="26" t="str">
        <x:v>Retail advertising listed Greg Hill frame-and-fork products and noted UK handling of GHP.</x:v>
      </x:c>
      <x:c r="D8" s="26" t="str">
        <x:v>Period advertising</x:v>
      </x:c>
      <x:c r="E8" s="26" t="str">
        <x:v>Shows commercial availability of frame/fork products by early 1984.</x:v>
      </x:c>
      <x:c r="F8" s="26" t="str">
        <x:v>Retail advertisement wording does not establish factory specifications or manufacturing source.</x:v>
      </x:c>
      <x:c r="G8" s="26" t="str">
        <x:v>HIGH</x:v>
      </x:c>
      <x:c r="H8" s="26" t="str">
        <x:v>https://previouspage.co.uk/magazines/BMX%20Action%20Bike/issues/194-february-nineteen-eighty-four</x:v>
      </x:c>
      <x:c r="I8" s="26" t="str">
        <x:v>Frame-and-fork commercial availability is verified by period advertising.</x:v>
      </x:c>
      <x:c r="J8" s="26" t="str">
        <x:v>VERIFIED PERIOD</x:v>
      </x:c>
    </x:row>
    <x:row r="9" ht="82" customHeight="1">
      <x:c r="A9" s="26" t="str">
        <x:v>GHP-CHR-005</x:v>
      </x:c>
      <x:c r="B9" s="26" t="str">
        <x:v>1984</x:v>
      </x:c>
      <x:c r="C9" s="26" t="str">
        <x:v>BMX Action Hot Shots reportedly identified Hill as GHP owner and captain of the Cycle Pro GHP team.</x:v>
      </x:c>
      <x:c r="D9" s="26" t="str">
        <x:v>Searchable book-text lead</x:v>
      </x:c>
      <x:c r="E9" s="26" t="str">
        <x:v>The publications census preserves a page-26 bibliographic hit.</x:v>
      </x:c>
      <x:c r="F9" s="26" t="str">
        <x:v>The complete page and wording need direct inspection; all-rights-reserved source should not be reproduced.</x:v>
      </x:c>
      <x:c r="G9" s="26" t="str">
        <x:v>MEDIUM-HIGH</x:v>
      </x:c>
      <x:c r="H9" s="26" t="str">
        <x:v>https://search.worldcat.org/</x:v>
      </x:c>
      <x:c r="I9" s="26" t="str">
        <x:v>Retain ownership/team claim as a period-text lead pending page verification.</x:v>
      </x:c>
      <x:c r="J9" s="26" t="str">
        <x:v>LEAD</x:v>
      </x:c>
    </x:row>
    <x:row r="10" ht="82" customHeight="1">
      <x:c r="A10" s="26" t="str">
        <x:v>GHP-CHR-006</x:v>
      </x:c>
      <x:c r="B10" s="26" t="str">
        <x:v>June 1984</x:v>
      </x:c>
      <x:c r="C10" s="26" t="str">
        <x:v>BMX Action advertising stated Greg Hill CyclePro Motocross and GHP products were distributed exclusively by West Coast Cycle.</x:v>
      </x:c>
      <x:c r="D10" s="26" t="str">
        <x:v>Period advertisement</x:v>
      </x:c>
      <x:c r="E10" s="26" t="str">
        <x:v>Establishes a commercial distribution relationship in 1984.</x:v>
      </x:c>
      <x:c r="F10" s="26" t="str">
        <x:v>Distribution does not establish the manufacturing split or ownership relationship among GHP, CyclePro and West Coast Cycle.</x:v>
      </x:c>
      <x:c r="G10" s="26" t="str">
        <x:v>HIGH</x:v>
      </x:c>
      <x:c r="H10" s="26" t="str">
        <x:v>https://previouspage.co.uk/magazines/BMX%20Action/issues/54-june-nineteen-eighty-four</x:v>
      </x:c>
      <x:c r="I10" s="26" t="str">
        <x:v>Create a dated distribution relationship, not a corporate-merger claim.</x:v>
      </x:c>
      <x:c r="J10" s="26" t="str">
        <x:v>VERIFIED PERIOD</x:v>
      </x:c>
    </x:row>
    <x:row r="11" ht="82" customHeight="1">
      <x:c r="A11" s="26" t="str">
        <x:v>GHP-CHR-007</x:v>
      </x:c>
      <x:c r="B11" s="26" t="str">
        <x:v>June 1984</x:v>
      </x:c>
      <x:c r="C11" s="26" t="str">
        <x:v>Period BMX Action coverage added Matt Hadan to the CyclePro/GHP factory team.</x:v>
      </x:c>
      <x:c r="D11" s="26" t="str">
        <x:v>Period magazine</x:v>
      </x:c>
      <x:c r="E11" s="26" t="str">
        <x:v>Supports at least one named GHP/CyclePro team rider beyond Greg Hill.</x:v>
      </x:c>
      <x:c r="F11" s="26" t="str">
        <x:v>Exact contract dates and full roster remain open.</x:v>
      </x:c>
      <x:c r="G11" s="26" t="str">
        <x:v>MEDIUM-HIGH</x:v>
      </x:c>
      <x:c r="H11" s="26" t="str">
        <x:v>https://previouspage.co.uk/magazines/BMX%20Action/issues/54-june-nineteen-eighty-four</x:v>
      </x:c>
      <x:c r="I11" s="26" t="str">
        <x:v>Add Matt Hadan as a period-reported team rider.</x:v>
      </x:c>
      <x:c r="J11" s="26" t="str">
        <x:v>QUALIFIED PERIOD</x:v>
      </x:c>
    </x:row>
    <x:row r="12" ht="82" customHeight="1">
      <x:c r="A12" s="26" t="str">
        <x:v>GHP-CHR-008</x:v>
      </x:c>
      <x:c r="B12" s="26" t="str">
        <x:v>1983–1986</x:v>
      </x:c>
      <x:c r="C12" s="26" t="str">
        <x:v>A later specialist review describes an initial GHP run from 1983 through 1986.</x:v>
      </x:c>
      <x:c r="D12" s="26" t="str">
        <x:v>Secondary specialist history</x:v>
      </x:c>
      <x:c r="E12" s="26" t="str">
        <x:v>Provides a useful working periodization.</x:v>
      </x:c>
      <x:c r="F12" s="26" t="str">
        <x:v>Needs period catalogs, corporate records or Greg Hill testimony before becoming a locked closure date.</x:v>
      </x:c>
      <x:c r="G12" s="26" t="str">
        <x:v>MEDIUM</x:v>
      </x:c>
      <x:c r="H12" s="26" t="str">
        <x:v>https://bmxultra.com/reviews/ghp-bmx-2014-pro-xl-frame-review/</x:v>
      </x:c>
      <x:c r="I12" s="26" t="str">
        <x:v>Use only as a secondary chronology hypothesis.</x:v>
      </x:c>
      <x:c r="J12" s="26" t="str">
        <x:v>SECONDARY LEAD</x:v>
      </x:c>
    </x:row>
    <x:row r="13" ht="82" customHeight="1">
      <x:c r="A13" s="26" t="str">
        <x:v>GHP-CHR-009</x:v>
      </x:c>
      <x:c r="B13" s="26" t="str">
        <x:v>1991–1993</x:v>
      </x:c>
      <x:c r="C13" s="26" t="str">
        <x:v>The same later specialist review describes a short GHP revival.</x:v>
      </x:c>
      <x:c r="D13" s="26" t="str">
        <x:v>Secondary specialist history</x:v>
      </x:c>
      <x:c r="E13" s="26" t="str">
        <x:v>Suggests a second production period.</x:v>
      </x:c>
      <x:c r="F13" s="26" t="str">
        <x:v>Period catalogs and model records have not yet been recovered.</x:v>
      </x:c>
      <x:c r="G13" s="26" t="str">
        <x:v>MEDIUM</x:v>
      </x:c>
      <x:c r="H13" s="26" t="str">
        <x:v>https://bmxultra.com/reviews/ghp-bmx-2014-pro-xl-frame-review/</x:v>
      </x:c>
      <x:c r="I13" s="26" t="str">
        <x:v>Open a separate 1991–1993 evidence cluster.</x:v>
      </x:c>
      <x:c r="J13" s="26" t="str">
        <x:v>SECONDARY LEAD</x:v>
      </x:c>
    </x:row>
    <x:row r="14" ht="82" customHeight="1">
      <x:c r="A14" s="26" t="str">
        <x:v>GHP-CHR-010</x:v>
      </x:c>
      <x:c r="B14" s="26" t="str">
        <x:v>2005 onward</x:v>
      </x:c>
      <x:c r="C14" s="26" t="str">
        <x:v>The specialist review describes another GHP revival beginning around 2005.</x:v>
      </x:c>
      <x:c r="D14" s="26" t="str">
        <x:v>Secondary specialist history</x:v>
      </x:c>
      <x:c r="E14" s="26" t="str">
        <x:v>Provides context for modern GHP records.</x:v>
      </x:c>
      <x:c r="F14" s="26" t="str">
        <x:v>Exact ownership, company structure and uninterrupted continuity require first-party sources.</x:v>
      </x:c>
      <x:c r="G14" s="26" t="str">
        <x:v>MEDIUM</x:v>
      </x:c>
      <x:c r="H14" s="26" t="str">
        <x:v>https://bmxultra.com/reviews/ghp-bmx-2014-pro-xl-frame-review/</x:v>
      </x:c>
      <x:c r="I14" s="26" t="str">
        <x:v>Treat modern GHP as a later operating phase pending corporate history.</x:v>
      </x:c>
      <x:c r="J14" s="26" t="str">
        <x:v>SECONDARY LEAD</x:v>
      </x:c>
    </x:row>
    <x:row r="15" ht="82" customHeight="1">
      <x:c r="A15" s="26" t="str">
        <x:v>GHP-CHR-011</x:v>
      </x:c>
      <x:c r="B15" s="26" t="str">
        <x:v>April 2012</x:v>
      </x:c>
      <x:c r="C15" s="26" t="str">
        <x:v>USA BMX profiled GHP frames and handlebars as products designed from more than 35 years of racing experience and tested by multi-world champions.</x:v>
      </x:c>
      <x:c r="D15" s="26" t="str">
        <x:v>Official sanctioning-body brand profile</x:v>
      </x:c>
      <x:c r="E15" s="26" t="str">
        <x:v>Confirms active frames/handlebars product positioning in 2012.</x:v>
      </x:c>
      <x:c r="F15" s="26" t="str">
        <x:v>The profile is promotional and does not supply model chronology or manufacturing records.</x:v>
      </x:c>
      <x:c r="G15" s="26" t="str">
        <x:v>HIGH</x:v>
      </x:c>
      <x:c r="H15" s="26" t="str">
        <x:v>https://www.usabmx.com/news-and-media/6/2012-04-26/Greg-Hill-Products?id=203</x:v>
      </x:c>
      <x:c r="I15" s="26" t="str">
        <x:v>Use as dated official profile, not universal product proof.</x:v>
      </x:c>
      <x:c r="J15" s="26" t="str">
        <x:v>VERIFIED AS PUBLISHED</x:v>
      </x:c>
    </x:row>
    <x:row r="16" ht="82" customHeight="1">
      <x:c r="A16" s="26" t="str">
        <x:v>GHP-CHR-012</x:v>
      </x:c>
      <x:c r="B16" s="26" t="str">
        <x:v>2012</x:v>
      </x:c>
      <x:c r="C16" s="26" t="str">
        <x:v>USA BMX indicated GHP bicycles could be found through Dan's Comp.</x:v>
      </x:c>
      <x:c r="D16" s="26" t="str">
        <x:v>Official sanctioning-body brand profile</x:v>
      </x:c>
      <x:c r="E16" s="26" t="str">
        <x:v>Documents a named retail route.</x:v>
      </x:c>
      <x:c r="F16" s="26" t="str">
        <x:v>Availability may have changed and is recorded only as a 2012 statement.</x:v>
      </x:c>
      <x:c r="G16" s="26" t="str">
        <x:v>HIGH</x:v>
      </x:c>
      <x:c r="H16" s="26" t="str">
        <x:v>https://www.usabmx.com/news-and-media/6/2012-04-26/Greg-Hill-Products?id=203</x:v>
      </x:c>
      <x:c r="I16" s="26" t="str">
        <x:v>Add 2012 retail relationship.</x:v>
      </x:c>
      <x:c r="J16" s="26" t="str">
        <x:v>VERIFIED AS PUBLISHED</x:v>
      </x:c>
    </x:row>
  </x:sheetData>
  <x:mergeCells>
    <x:mergeCell ref="A1:J1"/>
    <x:mergeCell ref="A2:J2"/>
  </x:mergeCells>
  <x:pageMargins left="0.7" right="0.7" top="0.75" bottom="0.75" header="0.3" footer="0.3"/>
  <x:tableParts count="1">
    <x:tablePart xmlns:r="http://schemas.openxmlformats.org/officeDocument/2006/relationships" r:id="R4522ddfb808f436b"/>
  </x:tableParts>
</x:worksheet>
</file>

<file path=xl/worksheets/sheet80.xml><?xml version="1.0" encoding="utf-8"?>
<x:worksheet xmlns:x="http://schemas.openxmlformats.org/spreadsheetml/2006/main">
  <x:sheetFormatPr defaultRowHeight="15"/>
  <x:cols>
    <x:col min="1" max="1" width="15" hidden="0" customWidth="1"/>
    <x:col min="2" max="2" width="34" hidden="0" customWidth="1"/>
    <x:col min="3" max="3" width="26" hidden="0" customWidth="1"/>
    <x:col min="4" max="4" width="20" hidden="0" customWidth="1"/>
    <x:col min="5" max="5" width="27" hidden="0" customWidth="1"/>
    <x:col min="6" max="6" width="50" hidden="0" customWidth="1"/>
    <x:col min="7" max="7" width="27" hidden="0" customWidth="1"/>
    <x:col min="8" max="8" width="50" hidden="0" customWidth="1"/>
    <x:col min="9" max="9" width="37" hidden="0" customWidth="1"/>
    <x:col min="10" max="10" width="58" hidden="0" customWidth="1"/>
    <x:col min="11" max="11" width="44" hidden="0" customWidth="1"/>
  </x:cols>
  <x:sheetData>
    <x:row r="1" ht="30" customHeight="1">
      <x:c r="A1" s="544" t="str">
        <x:v>v1.4 GHP Products, Team and Public BMXMuseum Objects</x:v>
      </x:c>
      <x:c r="B1" s="544"/>
      <x:c r="C1" s="544"/>
      <x:c r="D1" s="544"/>
      <x:c r="E1" s="544"/>
      <x:c r="F1" s="544"/>
      <x:c r="G1" s="544"/>
      <x:c r="H1" s="544"/>
      <x:c r="I1" s="544"/>
      <x:c r="J1" s="544"/>
      <x:c r="K1" s="544"/>
    </x:row>
    <x:row r="2" ht="30" customHeight="1">
      <x:c r="A2" s="549" t="str">
        <x:v>Period evidence controls the 1983–1984 launch layer. Current reproductions and submitted bikes are leads, not substitutes for catalogs or original production records.</x:v>
      </x:c>
      <x:c r="B2" s="549"/>
      <x:c r="C2" s="549"/>
      <x:c r="D2" s="549"/>
      <x:c r="E2" s="549"/>
      <x:c r="F2" s="549"/>
      <x:c r="G2" s="549"/>
      <x:c r="H2" s="549"/>
      <x:c r="I2" s="549"/>
      <x:c r="J2" s="549"/>
      <x:c r="K2" s="549"/>
    </x:row>
    <x:row r="4">
      <x:c r="A4" s="554" t="str">
        <x:v>Object ID</x:v>
      </x:c>
      <x:c r="B4" s="554" t="str">
        <x:v>Object / Relationship</x:v>
      </x:c>
      <x:c r="C4" s="554" t="str">
        <x:v>Category</x:v>
      </x:c>
      <x:c r="D4" s="554" t="str">
        <x:v>Date / Period</x:v>
      </x:c>
      <x:c r="E4" s="554" t="str">
        <x:v>Evidence</x:v>
      </x:c>
      <x:c r="F4" s="554" t="str">
        <x:v>Finding</x:v>
      </x:c>
      <x:c r="G4" s="554" t="str">
        <x:v>Status</x:v>
      </x:c>
      <x:c r="H4" s="554" t="str">
        <x:v>Qualification</x:v>
      </x:c>
      <x:c r="I4" s="554" t="str">
        <x:v>Lititz / BMXMuseum Link</x:v>
      </x:c>
      <x:c r="J4" s="554" t="str">
        <x:v>Source URL</x:v>
      </x:c>
      <x:c r="K4" s="554" t="str">
        <x:v>Next Action</x:v>
      </x:c>
    </x:row>
    <x:row r="5" ht="82" customHeight="1">
      <x:c r="A5" s="26" t="str">
        <x:v>GHP-OBJ-001</x:v>
      </x:c>
      <x:c r="B5" s="26" t="str">
        <x:v>Greg Hill's Professional BMX Skills</x:v>
      </x:c>
      <x:c r="C5" s="26" t="str">
        <x:v>Book / instructional product</x:v>
      </x:c>
      <x:c r="D5" s="26" t="str">
        <x:v>1983</x:v>
      </x:c>
      <x:c r="E5" s="26" t="str">
        <x:v>Bibliographic record</x:v>
      </x:c>
      <x:c r="F5" s="26" t="str">
        <x:v>92-page book published by Greg Hill Products.</x:v>
      </x:c>
      <x:c r="G5" s="26" t="str">
        <x:v>VERIFIED</x:v>
      </x:c>
      <x:c r="H5" s="26" t="str">
        <x:v>Contents and edition details require physical or page-level review.</x:v>
      </x:c>
      <x:c r="I5" s="26" t="str">
        <x:v>Greg Hill archive context</x:v>
      </x:c>
      <x:c r="J5" s="26" t="str">
        <x:v>https://books.google.com/books/about/Greg_Hill_s_Professional_BMX_Skills.html?id=tU_dtgAACAAJ</x:v>
      </x:c>
      <x:c r="K5" s="26" t="str">
        <x:v>Recover a lawful reference copy and index chapters/pages.</x:v>
      </x:c>
    </x:row>
    <x:row r="6" ht="82" customHeight="1">
      <x:c r="A6" s="26" t="str">
        <x:v>GHP-OBJ-002</x:v>
      </x:c>
      <x:c r="B6" s="26" t="str">
        <x:v>GHP race frame and fork</x:v>
      </x:c>
      <x:c r="C6" s="26" t="str">
        <x:v>Frameset</x:v>
      </x:c>
      <x:c r="D6" s="26" t="str">
        <x:v>By early 1984</x:v>
      </x:c>
      <x:c r="E6" s="26" t="str">
        <x:v>Period retail advertising</x:v>
      </x:c>
      <x:c r="F6" s="26" t="str">
        <x:v>Greg Hill frame-and-fork sets were commercially advertised.</x:v>
      </x:c>
      <x:c r="G6" s="26" t="str">
        <x:v>VERIFIED PERIOD</x:v>
      </x:c>
      <x:c r="H6" s="26" t="str">
        <x:v>Retail ad does not establish exact model, geometry or factory.</x:v>
      </x:c>
      <x:c r="I6" s="26" t="str">
        <x:v>Comparison context for BMXMuseum 121233/134275</x:v>
      </x:c>
      <x:c r="J6" s="26" t="str">
        <x:v>https://previouspage.co.uk/magazines/BMX%20Action%20Bike/issues/194-february-nineteen-eighty-four</x:v>
      </x:c>
      <x:c r="K6" s="26" t="str">
        <x:v>Recover product tests and catalogs.</x:v>
      </x:c>
    </x:row>
    <x:row r="7" ht="82" customHeight="1">
      <x:c r="A7" s="26" t="str">
        <x:v>GHP-OBJ-003</x:v>
      </x:c>
      <x:c r="B7" s="26" t="str">
        <x:v>GHP handlebars</x:v>
      </x:c>
      <x:c r="C7" s="26" t="str">
        <x:v>Component</x:v>
      </x:c>
      <x:c r="D7" s="26" t="str">
        <x:v>By 2012; earlier date open</x:v>
      </x:c>
      <x:c r="E7" s="26" t="str">
        <x:v>Official brand profile</x:v>
      </x:c>
      <x:c r="F7" s="26" t="str">
        <x:v>USA BMX named handlebars as a GHP product class.</x:v>
      </x:c>
      <x:c r="G7" s="26" t="str">
        <x:v>VERIFIED AS PUBLISHED</x:v>
      </x:c>
      <x:c r="H7" s="26" t="str">
        <x:v>This source does not date the Lititz bars or define model specifications.</x:v>
      </x:c>
      <x:c r="I7" s="26" t="str">
        <x:v>26.0045</x:v>
      </x:c>
      <x:c r="J7" s="26" t="str">
        <x:v>https://www.usabmx.com/news-and-media/6/2012-04-26/Greg-Hill-Products?id=203</x:v>
      </x:c>
      <x:c r="K7" s="26" t="str">
        <x:v>Identify labels, dimensions and period catalogs.</x:v>
      </x:c>
    </x:row>
    <x:row r="8" ht="82" customHeight="1">
      <x:c r="A8" s="26" t="str">
        <x:v>GHP-OBJ-004</x:v>
      </x:c>
      <x:c r="B8" s="26" t="str">
        <x:v>GHP apparel / shirt</x:v>
      </x:c>
      <x:c r="C8" s="26" t="str">
        <x:v>Apparel</x:v>
      </x:c>
      <x:c r="D8" s="26" t="str">
        <x:v>By late 1983</x:v>
      </x:c>
      <x:c r="E8" s="26" t="str">
        <x:v>Period magazine and retail metadata</x:v>
      </x:c>
      <x:c r="F8" s="26" t="str">
        <x:v>Period reporting shows GHP gear/apparel associated with Hill and available commercially.</x:v>
      </x:c>
      <x:c r="G8" s="26" t="str">
        <x:v>VERIFIED PERIOD</x:v>
      </x:c>
      <x:c r="H8" s="26" t="str">
        <x:v>Exact manufacturer and designs require page-level comparison.</x:v>
      </x:c>
      <x:c r="I8" s="26" t="str">
        <x:v>26.0022 and 26.0026</x:v>
      </x:c>
      <x:c r="J8" s="26" t="str">
        <x:v>https://previouspage.co.uk/magazines/BMX%20Action%20Bike/issues/85-october-nineteen-eighty-three</x:v>
      </x:c>
      <x:c r="K8" s="26" t="str">
        <x:v>Photograph both jerseys separately and compare labels/graphics.</x:v>
      </x:c>
    </x:row>
    <x:row r="9" ht="82" customHeight="1">
      <x:c r="A9" s="26" t="str">
        <x:v>GHP-OBJ-005</x:v>
      </x:c>
      <x:c r="B9" s="26" t="str">
        <x:v>CyclePro GHP team</x:v>
      </x:c>
      <x:c r="C9" s="26" t="str">
        <x:v>Team / commercial relationship</x:v>
      </x:c>
      <x:c r="D9" s="26" t="str">
        <x:v>1984</x:v>
      </x:c>
      <x:c r="E9" s="26" t="str">
        <x:v>Period profile and advertisement</x:v>
      </x:c>
      <x:c r="F9" s="26" t="str">
        <x:v>Period sources connect Hill, GHP and the CyclePro-branded team/program.</x:v>
      </x:c>
      <x:c r="G9" s="26" t="str">
        <x:v>QUALIFIED PERIOD</x:v>
      </x:c>
      <x:c r="H9" s="26" t="str">
        <x:v>Corporate ownership, fabrication and sponsorship roles are not yet separated.</x:v>
      </x:c>
      <x:c r="I9" s="26" t="str">
        <x:v>Relationship cluster</x:v>
      </x:c>
      <x:c r="J9" s="26" t="str">
        <x:v>https://previouspage.co.uk/magazines/BMX%20Action/issues/54-june-nineteen-eighty-four</x:v>
      </x:c>
      <x:c r="K9" s="26" t="str">
        <x:v>Recover complete team pages, ads and catalog material.</x:v>
      </x:c>
    </x:row>
    <x:row r="10" ht="82" customHeight="1">
      <x:c r="A10" s="26" t="str">
        <x:v>GHP-OBJ-006</x:v>
      </x:c>
      <x:c r="B10" s="26" t="str">
        <x:v>West Coast Cycle distribution</x:v>
      </x:c>
      <x:c r="C10" s="26" t="str">
        <x:v>Distributor relationship</x:v>
      </x:c>
      <x:c r="D10" s="26" t="str">
        <x:v>June 1984</x:v>
      </x:c>
      <x:c r="E10" s="26" t="str">
        <x:v>Period advertisement</x:v>
      </x:c>
      <x:c r="F10" s="26" t="str">
        <x:v>GHP and Greg Hill CyclePro products were advertised as exclusively distributed by West Coast Cycle.</x:v>
      </x:c>
      <x:c r="G10" s="26" t="str">
        <x:v>VERIFIED PERIOD</x:v>
      </x:c>
      <x:c r="H10" s="26" t="str">
        <x:v>Exclusive applies to the ad's period and market context, not necessarily all territories/years.</x:v>
      </x:c>
      <x:c r="I10" s="26" t="str">
        <x:v>Relationship cluster</x:v>
      </x:c>
      <x:c r="J10" s="26" t="str">
        <x:v>https://previouspage.co.uk/magazines/BMX%20Action/issues/54-june-nineteen-eighty-four</x:v>
      </x:c>
      <x:c r="K10" s="26" t="str">
        <x:v>Identify catalog/dealer sheets and manufacturing roles.</x:v>
      </x:c>
    </x:row>
    <x:row r="11" ht="82" customHeight="1">
      <x:c r="A11" s="26" t="str">
        <x:v>GHP-OBJ-007</x:v>
      </x:c>
      <x:c r="B11" s="26" t="str">
        <x:v>Greg Hill</x:v>
      </x:c>
      <x:c r="C11" s="26" t="str">
        <x:v>Owner / team captain / product developer</x:v>
      </x:c>
      <x:c r="D11" s="26" t="str">
        <x:v>1983–1984</x:v>
      </x:c>
      <x:c r="E11" s="26" t="str">
        <x:v>Period profiles</x:v>
      </x:c>
      <x:c r="F11" s="26" t="str">
        <x:v>Period sources identify Hill riding for himself and operating GHP.</x:v>
      </x:c>
      <x:c r="G11" s="26" t="str">
        <x:v>VERIFIED PERIOD</x:v>
      </x:c>
      <x:c r="H11" s="26" t="str">
        <x:v>Exact legal title and corporate filings remain open.</x:v>
      </x:c>
      <x:c r="I11" s="26" t="str">
        <x:v>Person-company node</x:v>
      </x:c>
      <x:c r="J11" s="26" t="str">
        <x:v>https://previouspage.co.uk/magazines/BMX%20Action%20Bike/issues/194-february-nineteen-eighty-four</x:v>
      </x:c>
      <x:c r="K11" s="26" t="str">
        <x:v>Recover first-person company history.</x:v>
      </x:c>
    </x:row>
    <x:row r="12" ht="82" customHeight="1">
      <x:c r="A12" s="26" t="str">
        <x:v>GHP-OBJ-008</x:v>
      </x:c>
      <x:c r="B12" s="26" t="str">
        <x:v>Matt Hadan</x:v>
      </x:c>
      <x:c r="C12" s="26" t="str">
        <x:v>Team rider</x:v>
      </x:c>
      <x:c r="D12" s="26" t="str">
        <x:v>1984</x:v>
      </x:c>
      <x:c r="E12" s="26" t="str">
        <x:v>Period magazine</x:v>
      </x:c>
      <x:c r="F12" s="26" t="str">
        <x:v>Reported addition to the CyclePro/GHP team.</x:v>
      </x:c>
      <x:c r="G12" s="26" t="str">
        <x:v>QUALIFIED PERIOD</x:v>
      </x:c>
      <x:c r="H12" s="26" t="str">
        <x:v>Full contract and duration unknown.</x:v>
      </x:c>
      <x:c r="I12" s="26" t="str">
        <x:v>Team roster node</x:v>
      </x:c>
      <x:c r="J12" s="26" t="str">
        <x:v>https://previouspage.co.uk/magazines/BMX%20Action/issues/54-june-nineteen-eighty-four</x:v>
      </x:c>
      <x:c r="K12" s="26" t="str">
        <x:v>Recover page image and race results.</x:v>
      </x:c>
    </x:row>
    <x:row r="13" ht="82" customHeight="1">
      <x:c r="A13" s="26" t="str">
        <x:v>GHP-OBJ-009</x:v>
      </x:c>
      <x:c r="B13" s="26" t="str">
        <x:v>BMXMuseum bike 121233</x:v>
      </x:c>
      <x:c r="C13" s="26" t="str">
        <x:v>Submitted bike record</x:v>
      </x:c>
      <x:c r="D13" s="26" t="str">
        <x:v>Year/model not exposed</x:v>
      </x:c>
      <x:c r="E13" s="26" t="str">
        <x:v>Public exact link</x:v>
      </x:c>
      <x:c r="F13" s="26" t="str">
        <x:v>Exact GHP BMXMuseum record is preserved.</x:v>
      </x:c>
      <x:c r="G13" s="26" t="str">
        <x:v>EXACT OBJECT / METADATA PARTIAL</x:v>
      </x:c>
      <x:c r="H13" s="26" t="str">
        <x:v>No direct page crawl; year, model, serial and originality remain open.</x:v>
      </x:c>
      <x:c r="I13" s="26" t="str">
        <x:v>https://www.bmxmuseum.com/bikes/ghp/121233</x:v>
      </x:c>
      <x:c r="J13" s="26" t="str">
        <x:v>https://www.bmxmuseum.com/bikes/ghp/121233</x:v>
      </x:c>
      <x:c r="K13" s="26" t="str">
        <x:v>Continue public backlink/social metadata recovery.</x:v>
      </x:c>
    </x:row>
    <x:row r="14" ht="82" customHeight="1">
      <x:c r="A14" s="26" t="str">
        <x:v>GHP-OBJ-010</x:v>
      </x:c>
      <x:c r="B14" s="26" t="str">
        <x:v>BMXMuseum bike 134275</x:v>
      </x:c>
      <x:c r="C14" s="26" t="str">
        <x:v>Submitted bike record</x:v>
      </x:c>
      <x:c r="D14" s="26" t="str">
        <x:v>Proposed 2013</x:v>
      </x:c>
      <x:c r="E14" s="26" t="str">
        <x:v>Public community backlink</x:v>
      </x:c>
      <x:c r="F14" s="26" t="str">
        <x:v>Discussion links exact record and proposes GHP Pro XXL identity.</x:v>
      </x:c>
      <x:c r="G14" s="26" t="str">
        <x:v>EXACT ID / COMMUNITY IDENTIFICATION</x:v>
      </x:c>
      <x:c r="H14" s="26" t="str">
        <x:v>Poster described many aftermarket parts and did not initially know the year.</x:v>
      </x:c>
      <x:c r="I14" s="26" t="str">
        <x:v>https://www.bmxmuseum.com/bikes/ghp/134275</x:v>
      </x:c>
      <x:c r="J14" s="26" t="str">
        <x:v>https://www.reddit.com/r/bmx/comments/1sim2k3/ghp_yard_sale_find/</x:v>
      </x:c>
      <x:c r="K14" s="26" t="str">
        <x:v>Retain proposed identity; seek catalog-controlled verification.</x:v>
      </x:c>
    </x:row>
    <x:row r="15" ht="82" customHeight="1">
      <x:c r="A15" s="26" t="str">
        <x:v>GHP-OBJ-011</x:v>
      </x:c>
      <x:c r="B15" s="26" t="str">
        <x:v>GHP brand gallery</x:v>
      </x:c>
      <x:c r="C15" s="26" t="str">
        <x:v>Submitted-bike endpoint</x:v>
      </x:c>
      <x:c r="D15" s="26" t="str">
        <x:v>Multiple years</x:v>
      </x:c>
      <x:c r="E15" s="26" t="str">
        <x:v>Public endpoint</x:v>
      </x:c>
      <x:c r="F15" s="26" t="str">
        <x:v>Canonical BMXMuseum GHP gallery path is known.</x:v>
      </x:c>
      <x:c r="G15" s="26" t="str">
        <x:v>ENDPOINT</x:v>
      </x:c>
      <x:c r="H15" s="26" t="str">
        <x:v>No comprehensive extraction or completeness claim.</x:v>
      </x:c>
      <x:c r="I15" s="26" t="str">
        <x:v>https://www.bmxmuseum.com/bikes/ghp/</x:v>
      </x:c>
      <x:c r="J15" s="26" t="str">
        <x:v>https://www.bmxmuseum.com/bikes/ghp/</x:v>
      </x:c>
      <x:c r="K15" s="26" t="str">
        <x:v>Recover individual exact IDs only through lawful public routes.</x:v>
      </x:c>
    </x:row>
    <x:row r="16" ht="82" customHeight="1">
      <x:c r="A16" s="26" t="str">
        <x:v>GHP-OBJ-012</x:v>
      </x:c>
      <x:c r="B16" s="26" t="str">
        <x:v>Greg Hill GHP Jersey</x:v>
      </x:c>
      <x:c r="C16" s="26" t="str">
        <x:v>Lititz textile artifact</x:v>
      </x:c>
      <x:c r="D16" s="26" t="str">
        <x:v>Date open</x:v>
      </x:c>
      <x:c r="E16" s="26" t="str">
        <x:v>Lititz inventory</x:v>
      </x:c>
      <x:c r="F16" s="26" t="str">
        <x:v>Artifact 26.0022 is a distinct GHP jersey associated with Greg Hill and sourced from the Leary Locker.</x:v>
      </x:c>
      <x:c r="G16" s="26" t="str">
        <x:v>OBJECT CONFIRMED / ERA OPEN</x:v>
      </x:c>
      <x:c r="H16" s="26" t="str">
        <x:v>Personal wear, team issue, maker and date require physical/provenance evidence.</x:v>
      </x:c>
      <x:c r="I16" s="26" t="str">
        <x:v>26.0022</x:v>
      </x:c>
      <x:c r="J16" s="26" t="str">
        <x:v>https://sites.google.com/view/lititzbmxinventorylist/home/26-0022</x:v>
      </x:c>
      <x:c r="K16" s="26" t="str">
        <x:v>Complete dedicated textile capture and provenance file.</x:v>
      </x:c>
    </x:row>
    <x:row r="17" ht="82" customHeight="1">
      <x:c r="A17" s="26" t="str">
        <x:v>GHP-OBJ-013</x:v>
      </x:c>
      <x:c r="B17" s="26" t="str">
        <x:v>GHP Jersey</x:v>
      </x:c>
      <x:c r="C17" s="26" t="str">
        <x:v>Lititz textile artifact</x:v>
      </x:c>
      <x:c r="D17" s="26" t="str">
        <x:v>Date open</x:v>
      </x:c>
      <x:c r="E17" s="26" t="str">
        <x:v>Lititz inventory</x:v>
      </x:c>
      <x:c r="F17" s="26" t="str">
        <x:v>Artifact 26.0026 is a second, separate GHP jersey sourced from the Leary Locker.</x:v>
      </x:c>
      <x:c r="G17" s="26" t="str">
        <x:v>OBJECT CONFIRMED / ERA OPEN</x:v>
      </x:c>
      <x:c r="H17" s="26" t="str">
        <x:v>Must not be merged with 26.0022; wearer, maker and team period remain open.</x:v>
      </x:c>
      <x:c r="I17" s="26" t="str">
        <x:v>26.0026</x:v>
      </x:c>
      <x:c r="J17" s="26" t="str">
        <x:v>https://sites.google.com/view/lititzbmxinventorylist/home/26-0026</x:v>
      </x:c>
      <x:c r="K17" s="26" t="str">
        <x:v>Add separate physical roadmap and comparison record.</x:v>
      </x:c>
    </x:row>
    <x:row r="18" ht="82" customHeight="1">
      <x:c r="A18" s="26" t="str">
        <x:v>GHP-OBJ-014</x:v>
      </x:c>
      <x:c r="B18" s="26" t="str">
        <x:v>GHP Cruiser Bars with #15 Plate</x:v>
      </x:c>
      <x:c r="C18" s="26" t="str">
        <x:v>Lititz component/display pairing</x:v>
      </x:c>
      <x:c r="D18" s="26" t="str">
        <x:v>Date open</x:v>
      </x:c>
      <x:c r="E18" s="26" t="str">
        <x:v>Lititz inventory</x:v>
      </x:c>
      <x:c r="F18" s="26" t="str">
        <x:v>Artifact 26.0045 pairs GHP cruiser bars with a number 15 plate from the Leary Locker.</x:v>
      </x:c>
      <x:c r="G18" s="26" t="str">
        <x:v>OBJECTS CONFIRMED / HISTORICAL PAIRING OPEN</x:v>
      </x:c>
      <x:c r="H18" s="26" t="str">
        <x:v>The #15 rider, period use, original pairing and exact bar model are unresolved.</x:v>
      </x:c>
      <x:c r="I18" s="26" t="str">
        <x:v>26.0045</x:v>
      </x:c>
      <x:c r="J18" s="26" t="str">
        <x:v>https://sites.google.com/view/lititzbmxinventorylist/home/26-0045</x:v>
      </x:c>
      <x:c r="K18" s="26" t="str">
        <x:v>Capture bars and plate separately; identify logos, dimensions and plate reverse.</x:v>
      </x:c>
    </x:row>
    <x:row r="19" ht="82" customHeight="1">
      <x:c r="A19" s="26" t="str">
        <x:v>GHP-OBJ-015</x:v>
      </x:c>
      <x:c r="B19" s="26" t="str">
        <x:v>Cycle Pro / Greg Hill model vocabulary</x:v>
      </x:c>
      <x:c r="C19" s="26" t="str">
        <x:v>Model-name lead</x:v>
      </x:c>
      <x:c r="D19" s="26" t="str">
        <x:v>1980s / current reproductions</x:v>
      </x:c>
      <x:c r="E19" s="26" t="str">
        <x:v>Period ads plus current decal reproductions</x:v>
      </x:c>
      <x:c r="F19" s="26" t="str">
        <x:v>Names such as Competitor, Replica, Signature, Pro, Pro II, Long and Trix appear across period/reproduction sources.</x:v>
      </x:c>
      <x:c r="G19" s="26" t="str">
        <x:v>NAMING LEAD</x:v>
      </x:c>
      <x:c r="H19" s="26" t="str">
        <x:v>Current decal listings do not prove original production years or specifications.</x:v>
      </x:c>
      <x:c r="I19" s="26" t="str">
        <x:v>Model chronology queue</x:v>
      </x:c>
      <x:c r="J19" s="26" t="str">
        <x:v>https://bmxproductsusa.com/</x:v>
      </x:c>
      <x:c r="K19" s="26" t="str">
        <x:v>Use only to target catalogs and period tests.</x:v>
      </x:c>
    </x:row>
  </x:sheetData>
  <x:mergeCells>
    <x:mergeCell ref="A1:K1"/>
    <x:mergeCell ref="A2:K2"/>
  </x:mergeCells>
  <x:pageMargins left="0.7" right="0.7" top="0.75" bottom="0.75" header="0.3" footer="0.3"/>
  <x:tableParts count="1">
    <x:tablePart xmlns:r="http://schemas.openxmlformats.org/officeDocument/2006/relationships" r:id="Rcf0eaf9cb8ee45eb"/>
  </x:tableParts>
</x:worksheet>
</file>

<file path=xl/worksheets/sheet81.xml><?xml version="1.0" encoding="utf-8"?>
<x:worksheet xmlns:x="http://schemas.openxmlformats.org/spreadsheetml/2006/main">
  <x:sheetFormatPr defaultRowHeight="15"/>
  <x:cols>
    <x:col min="1" max="1" width="16" hidden="0" customWidth="1"/>
    <x:col min="2" max="2" width="13" hidden="0" customWidth="1"/>
    <x:col min="3" max="3" width="34" hidden="0" customWidth="1"/>
    <x:col min="4" max="4" width="30" hidden="0" customWidth="1"/>
    <x:col min="5" max="5" width="50" hidden="0" customWidth="1"/>
    <x:col min="6" max="6" width="24" hidden="0" customWidth="1"/>
    <x:col min="7" max="7" width="58" hidden="0" customWidth="1"/>
    <x:col min="8" max="8" width="58" hidden="0" customWidth="1"/>
    <x:col min="9" max="9" width="32" hidden="0" customWidth="1"/>
    <x:col min="10" max="10" width="44" hidden="0" customWidth="1"/>
  </x:cols>
  <x:sheetData>
    <x:row r="1" ht="30" customHeight="1">
      <x:c r="A1" s="544" t="str">
        <x:v>v1.4 Lititz BMX Artifact Crosswalk — DIRTWERX and GHP</x:v>
      </x:c>
      <x:c r="B1" s="544"/>
      <x:c r="C1" s="544"/>
      <x:c r="D1" s="544"/>
      <x:c r="E1" s="544"/>
      <x:c r="F1" s="544"/>
      <x:c r="G1" s="544"/>
      <x:c r="H1" s="544"/>
      <x:c r="I1" s="544"/>
      <x:c r="J1" s="544"/>
    </x:row>
    <x:row r="2" ht="30" customHeight="1">
      <x:c r="A2" s="549" t="str">
        <x:v>Each artifact is a separate evidence object. Period company history supplies context but cannot silently authenticate the individual object, wearer, configuration or prototype status.</x:v>
      </x:c>
      <x:c r="B2" s="549"/>
      <x:c r="C2" s="549"/>
      <x:c r="D2" s="549"/>
      <x:c r="E2" s="549"/>
      <x:c r="F2" s="549"/>
      <x:c r="G2" s="549"/>
      <x:c r="H2" s="549"/>
      <x:c r="I2" s="549"/>
      <x:c r="J2" s="549"/>
    </x:row>
    <x:row r="4">
      <x:c r="A4" s="554" t="str">
        <x:v>Crosswalk ID</x:v>
      </x:c>
      <x:c r="B4" s="554" t="str">
        <x:v>Artifact ID</x:v>
      </x:c>
      <x:c r="C4" s="554" t="str">
        <x:v>Artifact</x:v>
      </x:c>
      <x:c r="D4" s="554" t="str">
        <x:v>Cluster Role</x:v>
      </x:c>
      <x:c r="E4" s="554" t="str">
        <x:v>Current Provenance / Object Fact</x:v>
      </x:c>
      <x:c r="F4" s="554" t="str">
        <x:v>Current Grade</x:v>
      </x:c>
      <x:c r="G4" s="554" t="str">
        <x:v>Deep-Dossier Determination</x:v>
      </x:c>
      <x:c r="H4" s="554" t="str">
        <x:v>Public Wording</x:v>
      </x:c>
      <x:c r="I4" s="554" t="str">
        <x:v>Physical Roadmap</x:v>
      </x:c>
      <x:c r="J4" s="554" t="str">
        <x:v>Next Research Action</x:v>
      </x:c>
    </x:row>
    <x:row r="5" ht="90" customHeight="1">
      <x:c r="A5" s="26" t="str">
        <x:v>V14-XW-001</x:v>
      </x:c>
      <x:c r="B5" s="26" t="str">
        <x:v>26.0022</x:v>
      </x:c>
      <x:c r="C5" s="26" t="str">
        <x:v>Greg Hill GHP Jersey</x:v>
      </x:c>
      <x:c r="D5" s="26" t="str">
        <x:v>Named Greg Hill / GHP apparel</x:v>
      </x:c>
      <x:c r="E5" s="26" t="str">
        <x:v>Distinct GHP jersey from the Leary Locker.</x:v>
      </x:c>
      <x:c r="F5" s="26" t="str">
        <x:v>C / OBJECT CONFIRMED</x:v>
      </x:c>
      <x:c r="G5" s="26" t="str">
        <x:v>Period evidence confirms GHP apparel existed by 1983–1984, but this individual jersey's era, maker, issue status and wearer remain open.</x:v>
      </x:c>
      <x:c r="H5" s="26" t="str">
        <x:v>A GHP jersey associated in the Lititz BMX inventory with Greg Hill and the Leary Locker; exact production era and use remain under research.</x:v>
      </x:c>
      <x:c r="I5" s="26" t="str">
        <x:v>PHYS-GHP-01 through 04</x:v>
      </x:c>
      <x:c r="J5" s="26" t="str">
        <x:v>Compare labels and graphics to period GHP/CyclePro material.</x:v>
      </x:c>
    </x:row>
    <x:row r="6" ht="90" customHeight="1">
      <x:c r="A6" s="26" t="str">
        <x:v>V14-XW-002</x:v>
      </x:c>
      <x:c r="B6" s="26" t="str">
        <x:v>26.0026</x:v>
      </x:c>
      <x:c r="C6" s="26" t="str">
        <x:v>GHP Jersey</x:v>
      </x:c>
      <x:c r="D6" s="26" t="str">
        <x:v>Second GHP apparel object</x:v>
      </x:c>
      <x:c r="E6" s="26" t="str">
        <x:v>Separate GHP jersey from the Leary Locker.</x:v>
      </x:c>
      <x:c r="F6" s="26" t="str">
        <x:v>C / OBJECT CONFIRMED</x:v>
      </x:c>
      <x:c r="G6" s="26" t="str">
        <x:v>This is a different artifact from 26.0022 and requires its own maker, era, wearer and condition record.</x:v>
      </x:c>
      <x:c r="H6" s="26" t="str">
        <x:v>A separate GHP jersey from the Leary Locker; wearer and team period have not been established.</x:v>
      </x:c>
      <x:c r="I6" s="26" t="str">
        <x:v>NEW: PHYS-GHP2 tasks</x:v>
      </x:c>
      <x:c r="J6" s="26" t="str">
        <x:v>Create separate textile capture and provenance file.</x:v>
      </x:c>
    </x:row>
    <x:row r="7" ht="90" customHeight="1">
      <x:c r="A7" s="26" t="str">
        <x:v>V14-XW-003</x:v>
      </x:c>
      <x:c r="B7" s="26" t="str">
        <x:v>26.0045</x:v>
      </x:c>
      <x:c r="C7" s="26" t="str">
        <x:v>GHP Cruiser Bars with #15 Plate</x:v>
      </x:c>
      <x:c r="D7" s="26" t="str">
        <x:v>Component and plate pairing</x:v>
      </x:c>
      <x:c r="E7" s="26" t="str">
        <x:v>GHP bars and number plate are physically paired in the collection and sourced from the Leary Locker.</x:v>
      </x:c>
      <x:c r="F7" s="26" t="str">
        <x:v>C / OBJECTS CONFIRMED</x:v>
      </x:c>
      <x:c r="G7" s="26" t="str">
        <x:v>Period and official sources confirm GHP produced frames/components, including handlebars by 2012; exact bar model, date, #15 rider and historical pairing remain open.</x:v>
      </x:c>
      <x:c r="H7" s="26" t="str">
        <x:v>GHP cruiser handlebars displayed with a number 15 plate; exact model, rider and period use remain unresolved.</x:v>
      </x:c>
      <x:c r="I7" s="26" t="str">
        <x:v>PHYS-GHP-05 through 07</x:v>
      </x:c>
      <x:c r="J7" s="26" t="str">
        <x:v>Identify bar markings/geometry and plate maker/reverse.</x:v>
      </x:c>
    </x:row>
    <x:row r="8" ht="90" customHeight="1">
      <x:c r="A8" s="26" t="str">
        <x:v>V14-XW-004</x:v>
      </x:c>
      <x:c r="B8" s="26" t="str">
        <x:v>26.0029</x:v>
      </x:c>
      <x:c r="C8" s="26" t="str">
        <x:v>DIRTWERX 24-inch cruiser prototype frame and fork</x:v>
      </x:c>
      <x:c r="D8" s="26" t="str">
        <x:v>Prototype/product-development artifact</x:v>
      </x:c>
      <x:c r="E8" s="26" t="str">
        <x:v>Cataloged as DIRTWERX prototype with original Leary Locker association.</x:v>
      </x:c>
      <x:c r="F8" s="26" t="str">
        <x:v>C / COLLECTION ATTRIBUTION</x:v>
      </x:c>
      <x:c r="G8" s="26" t="str">
        <x:v>The 2000 product list confirms two 24-inch frame sizes, but does not establish which, if either, this frameset became or preceded.</x:v>
      </x:c>
      <x:c r="H8" s="26" t="str">
        <x:v>A DIRTWERX 24-inch frameset attributed as a prototype from the Leary Locker; its development stage and production relationship remain open.</x:v>
      </x:c>
      <x:c r="I8" s="26" t="str">
        <x:v>PHYS-DW24-01 through 06</x:v>
      </x:c>
      <x:c r="J8" s="26" t="str">
        <x:v>Compare measurements to 24-XL and 24-XXL Stilt evidence.</x:v>
      </x:c>
    </x:row>
    <x:row r="9" ht="90" customHeight="1">
      <x:c r="A9" s="26" t="str">
        <x:v>V14-XW-005</x:v>
      </x:c>
      <x:c r="B9" s="26" t="str">
        <x:v>26.0047</x:v>
      </x:c>
      <x:c r="C9" s="26" t="str">
        <x:v>Harry Leary DIRTWERX PR12 Prototype</x:v>
      </x:c>
      <x:c r="D9" s="26" t="str">
        <x:v>Named prototype frame</x:v>
      </x:c>
      <x:c r="E9" s="26" t="str">
        <x:v>Cataloged as Leary-owned PR12 prototype sourced from Justin Dumas.</x:v>
      </x:c>
      <x:c r="F9" s="26" t="str">
        <x:v>C / COLLECTION ATTRIBUTION</x:v>
      </x:c>
      <x:c r="G9" s="26" t="str">
        <x:v>No period or public source has yet explained PR12, dated the frame or established production quantity.</x:v>
      </x:c>
      <x:c r="H9" s="26" t="str">
        <x:v>A DIRTWERX frame attributed through collection provenance as Harry Leary's PR12 prototype; the designation and production history remain unresolved.</x:v>
      </x:c>
      <x:c r="I9" s="26" t="str">
        <x:v>PHYS-PR12-01 through 06</x:v>
      </x:c>
      <x:c r="J9" s="26" t="str">
        <x:v>Capture markings/geometry and build known-example comparison.</x:v>
      </x:c>
    </x:row>
    <x:row r="10" ht="90" customHeight="1">
      <x:c r="A10" s="26" t="str">
        <x:v>V14-XW-006</x:v>
      </x:c>
      <x:c r="B10" s="26" t="str">
        <x:v>26.0062</x:v>
      </x:c>
      <x:c r="C10" s="26" t="str">
        <x:v>Harry Leary 'Harry' DIRTWERX Helmet</x:v>
      </x:c>
      <x:c r="D10" s="26" t="str">
        <x:v>Branded personal equipment</x:v>
      </x:c>
      <x:c r="E10" s="26" t="str">
        <x:v>Physical helmet with DIRTWERX and Harry identification in the collection.</x:v>
      </x:c>
      <x:c r="F10" s="26" t="str">
        <x:v>C / OBJECT CONFIRMED</x:v>
      </x:c>
      <x:c r="G10" s="26" t="str">
        <x:v>The object is DIRTWERX-branded gear, but DIRTWERX is not established as the helmet maker or custom-paint provider. 1980s dating is rejected.</x:v>
      </x:c>
      <x:c r="H10" s="26" t="str">
        <x:v>Harry Leary DIRTWERX-branded helmet; manufacturer, date and exact use remain under authentication.</x:v>
      </x:c>
      <x:c r="I10" s="26" t="str">
        <x:v>Add helmet label/decal capture</x:v>
      </x:c>
      <x:c r="J10" s="26" t="str">
        <x:v>Correct inventory wording and document maker/date codes.</x:v>
      </x:c>
    </x:row>
    <x:row r="11" ht="90" customHeight="1">
      <x:c r="A11" s="26" t="str">
        <x:v>V14-XW-007</x:v>
      </x:c>
      <x:c r="B11" s="26" t="str">
        <x:v>26.0063</x:v>
      </x:c>
      <x:c r="C11" s="26" t="str">
        <x:v>Harry Leary DIRTWERX Jersey</x:v>
      </x:c>
      <x:c r="D11" s="26" t="str">
        <x:v>Branded personal/team apparel</x:v>
      </x:c>
      <x:c r="E11" s="26" t="str">
        <x:v>Physical DIRTWERX jersey associated with Leary and the Leary Locker.</x:v>
      </x:c>
      <x:c r="F11" s="26" t="str">
        <x:v>C / OBJECT CONFIRMED</x:v>
      </x:c>
      <x:c r="G11" s="26" t="str">
        <x:v>DIRTWERX branding is visible/recorded; manufacturer, date, factory-team status and race-worn use are not yet proven.</x:v>
      </x:c>
      <x:c r="H11" s="26" t="str">
        <x:v>Harry Leary DIRTWERX-branded jersey from the Leary Locker; production date and race-use history remain open.</x:v>
      </x:c>
      <x:c r="I11" s="26" t="str">
        <x:v>Add dedicated textile capture</x:v>
      </x:c>
      <x:c r="J11" s="26" t="str">
        <x:v>Photograph labels, wear, repairs, graphics and provenance.</x:v>
      </x:c>
    </x:row>
  </x:sheetData>
  <x:mergeCells>
    <x:mergeCell ref="A1:J1"/>
    <x:mergeCell ref="A2:J2"/>
  </x:mergeCells>
  <x:pageMargins left="0.7" right="0.7" top="0.75" bottom="0.75" header="0.3" footer="0.3"/>
  <x:tableParts count="1">
    <x:tablePart xmlns:r="http://schemas.openxmlformats.org/officeDocument/2006/relationships" r:id="Rfcb5d29bf6ae474c"/>
  </x:tableParts>
</x:worksheet>
</file>

<file path=xl/worksheets/sheet82.xml><?xml version="1.0" encoding="utf-8"?>
<x:worksheet xmlns:x="http://schemas.openxmlformats.org/spreadsheetml/2006/main">
  <x:sheetFormatPr defaultRowHeight="15"/>
  <x:cols>
    <x:col min="1" max="1" width="16" hidden="0" customWidth="1"/>
    <x:col min="2" max="2" width="18" hidden="0" customWidth="1"/>
    <x:col min="3" max="3" width="56" hidden="0" customWidth="1"/>
    <x:col min="4" max="4" width="25" hidden="0" customWidth="1"/>
    <x:col min="5" max="5" width="20" hidden="0" customWidth="1"/>
    <x:col min="6" max="6" width="48" hidden="0" customWidth="1"/>
    <x:col min="7" max="7" width="27" hidden="0" customWidth="1"/>
    <x:col min="8" max="8" width="60" hidden="0" customWidth="1"/>
    <x:col min="9" max="9" width="50" hidden="0" customWidth="1"/>
    <x:col min="10" max="10" width="58" hidden="0" customWidth="1"/>
  </x:cols>
  <x:sheetData>
    <x:row r="1" ht="30" customHeight="1">
      <x:c r="A1" s="544" t="str">
        <x:v>v1.4 Claim-by-Claim Evidence Ledger</x:v>
      </x:c>
      <x:c r="B1" s="544"/>
      <x:c r="C1" s="544"/>
      <x:c r="D1" s="544"/>
      <x:c r="E1" s="544"/>
      <x:c r="F1" s="544"/>
      <x:c r="G1" s="544"/>
      <x:c r="H1" s="544"/>
      <x:c r="I1" s="544"/>
      <x:c r="J1" s="544"/>
    </x:row>
    <x:row r="2" ht="30" customHeight="1">
      <x:c r="A2" s="549" t="str">
        <x:v>A verified company history cannot authenticate an individual artifact. Every public claim is bounded by its evidence level, rejected overstatements and explicit path to stronger confidence.</x:v>
      </x:c>
      <x:c r="B2" s="549"/>
      <x:c r="C2" s="549"/>
      <x:c r="D2" s="549"/>
      <x:c r="E2" s="549"/>
      <x:c r="F2" s="549"/>
      <x:c r="G2" s="549"/>
      <x:c r="H2" s="549"/>
      <x:c r="I2" s="549"/>
      <x:c r="J2" s="549"/>
    </x:row>
    <x:row r="4">
      <x:c r="A4" s="554" t="str">
        <x:v>Claim ID</x:v>
      </x:c>
      <x:c r="B4" s="554" t="str">
        <x:v>Cluster</x:v>
      </x:c>
      <x:c r="C4" s="554" t="str">
        <x:v>Claim</x:v>
      </x:c>
      <x:c r="D4" s="554" t="str">
        <x:v>Claim Type</x:v>
      </x:c>
      <x:c r="E4" s="554" t="str">
        <x:v>Evidence Level</x:v>
      </x:c>
      <x:c r="F4" s="554" t="str">
        <x:v>Evidence Basis</x:v>
      </x:c>
      <x:c r="G4" s="554" t="str">
        <x:v>Status</x:v>
      </x:c>
      <x:c r="H4" s="554" t="str">
        <x:v>Safe Public Wording</x:v>
      </x:c>
      <x:c r="I4" s="554" t="str">
        <x:v>What Would Raise Confidence</x:v>
      </x:c>
      <x:c r="J4" s="554" t="str">
        <x:v>Source URL</x:v>
      </x:c>
    </x:row>
    <x:row r="5" ht="88" customHeight="1">
      <x:c r="A5" s="26" t="str">
        <x:v>V14-CLM-001</x:v>
      </x:c>
      <x:c r="B5" s="26" t="str">
        <x:v>DIRTWERX</x:v>
      </x:c>
      <x:c r="C5" s="26" t="str">
        <x:v>DIRTWERX was formed around 1995 and practically launched around 1996.</x:v>
      </x:c>
      <x:c r="D5" s="26" t="str">
        <x:v>Company chronology</x:v>
      </x:c>
      <x:c r="E5" s="26" t="str">
        <x:v>V4/V3 combined</x:v>
      </x:c>
      <x:c r="F5" s="26" t="str">
        <x:v>1997 newspaper plus 2000 founder interview</x:v>
      </x:c>
      <x:c r="G5" s="26" t="str">
        <x:v>QUALIFIED VERIFIED</x:v>
      </x:c>
      <x:c r="H5" s="26" t="str">
        <x:v>DIRTWERX formed around 1995 and began practical operations around 1996; the exact legal founding date remains unresolved.</x:v>
      </x:c>
      <x:c r="I5" s="26" t="str">
        <x:v>Company filing, first invoice or first dated advertisement.</x:v>
      </x:c>
      <x:c r="J5" s="26" t="str">
        <x:v>https://www.latimes.com/archives/la-xpm-1997-06-07-me-865-story.html</x:v>
      </x:c>
    </x:row>
    <x:row r="6" ht="88" customHeight="1">
      <x:c r="A6" s="26" t="str">
        <x:v>V14-CLM-002</x:v>
      </x:c>
      <x:c r="B6" s="26" t="str">
        <x:v>DIRTWERX</x:v>
      </x:c>
      <x:c r="C6" s="26" t="str">
        <x:v>Greg Hill encouraged Harry Leary to start DIRTWERX.</x:v>
      </x:c>
      <x:c r="D6" s="26" t="str">
        <x:v>Person-company relationship</x:v>
      </x:c>
      <x:c r="E6" s="26" t="str">
        <x:v>V3</x:v>
      </x:c>
      <x:c r="F6" s="26" t="str">
        <x:v>Leary first-person interview</x:v>
      </x:c>
      <x:c r="G6" s="26" t="str">
        <x:v>ATTRIBUTED VERIFIED</x:v>
      </x:c>
      <x:c r="H6" s="26" t="str">
        <x:v>Harry Leary credited Greg Hill as one of the friends who encouraged him to start DIRTWERX.</x:v>
      </x:c>
      <x:c r="I6" s="26" t="str">
        <x:v>Greg Hill first-person corroboration.</x:v>
      </x:c>
      <x:c r="J6" s="26" t="str">
        <x:v>https://bmxultra.com/archive/prosection/interview/harryleary.htm</x:v>
      </x:c>
    </x:row>
    <x:row r="7" ht="88" customHeight="1">
      <x:c r="A7" s="26" t="str">
        <x:v>V14-CLM-003</x:v>
      </x:c>
      <x:c r="B7" s="26" t="str">
        <x:v>DIRTWERX</x:v>
      </x:c>
      <x:c r="C7" s="26" t="str">
        <x:v>Greg Hill was a DIRTWERX co-founder.</x:v>
      </x:c>
      <x:c r="D7" s="26" t="str">
        <x:v>Ownership</x:v>
      </x:c>
      <x:c r="E7" s="26" t="str">
        <x:v>None</x:v>
      </x:c>
      <x:c r="F7" s="26" t="str">
        <x:v>No source supports co-founder status.</x:v>
      </x:c>
      <x:c r="G7" s="26" t="str">
        <x:v>REJECTED</x:v>
      </x:c>
      <x:c r="H7" s="26" t="str">
        <x:v>Greg Hill should not be called a DIRTWERX founder or co-founder on current evidence.</x:v>
      </x:c>
      <x:c r="I7" s="26" t="str">
        <x:v>Corporate record or direct testimony establishing ownership.</x:v>
      </x:c>
      <x:c r="J7" s="26" t="str"/>
    </x:row>
    <x:row r="8" ht="88" customHeight="1">
      <x:c r="A8" s="26" t="str">
        <x:v>V14-CLM-004</x:v>
      </x:c>
      <x:c r="B8" s="26" t="str">
        <x:v>DIRTWERX</x:v>
      </x:c>
      <x:c r="C8" s="26" t="str">
        <x:v>DIRTWERX produced chromoly frames, forks and handlebars.</x:v>
      </x:c>
      <x:c r="D8" s="26" t="str">
        <x:v>Product range</x:v>
      </x:c>
      <x:c r="E8" s="26" t="str">
        <x:v>V3</x:v>
      </x:c>
      <x:c r="F8" s="26" t="str">
        <x:v>Leary first-person interview</x:v>
      </x:c>
      <x:c r="G8" s="26" t="str">
        <x:v>ATTRIBUTED VERIFIED</x:v>
      </x:c>
      <x:c r="H8" s="26" t="str">
        <x:v>In 2000, Leary described DIRTWERX as producing chromoly frames, forks and handlebars.</x:v>
      </x:c>
      <x:c r="I8" s="26" t="str">
        <x:v>Period catalog/test or invoices.</x:v>
      </x:c>
      <x:c r="J8" s="26" t="str">
        <x:v>https://bmxultra.com/archive/prosection/interview/harryleary.htm</x:v>
      </x:c>
    </x:row>
    <x:row r="9" ht="88" customHeight="1">
      <x:c r="A9" s="26" t="str">
        <x:v>V14-CLM-005</x:v>
      </x:c>
      <x:c r="B9" s="26" t="str">
        <x:v>DIRTWERX</x:v>
      </x:c>
      <x:c r="C9" s="26" t="str">
        <x:v>DIRTWERX offered nine named frame sizes by 2000.</x:v>
      </x:c>
      <x:c r="D9" s="26" t="str">
        <x:v>Product range</x:v>
      </x:c>
      <x:c r="E9" s="26" t="str">
        <x:v>V3</x:v>
      </x:c>
      <x:c r="F9" s="26" t="str">
        <x:v>Leary first-person interview</x:v>
      </x:c>
      <x:c r="G9" s="26" t="str">
        <x:v>ATTRIBUTED VERIFIED</x:v>
      </x:c>
      <x:c r="H9" s="26" t="str">
        <x:v>Leary listed nine DIRTWERX frame sizes in a March 2000 interview.</x:v>
      </x:c>
      <x:c r="I9" s="26" t="str">
        <x:v>Dated catalog with geometry and pricing.</x:v>
      </x:c>
      <x:c r="J9" s="26" t="str">
        <x:v>https://bmxultra.com/archive/prosection/interview/harryleary.htm</x:v>
      </x:c>
    </x:row>
    <x:row r="10" ht="88" customHeight="1">
      <x:c r="A10" s="26" t="str">
        <x:v>V14-CLM-006</x:v>
      </x:c>
      <x:c r="B10" s="26" t="str">
        <x:v>DIRTWERX</x:v>
      </x:c>
      <x:c r="C10" s="26" t="str">
        <x:v>All DIRTWERX frames in every year used the Painkiller guide, tensioners and three-inch head tube.</x:v>
      </x:c>
      <x:c r="D10" s="26" t="str">
        <x:v>Universal specification</x:v>
      </x:c>
      <x:c r="E10" s="26" t="str">
        <x:v>V3 limited</x:v>
      </x:c>
      <x:c r="F10" s="26" t="str">
        <x:v>Founder described these as frame features in 2000.</x:v>
      </x:c>
      <x:c r="G10" s="26" t="str">
        <x:v>OPEN / OVERBROAD</x:v>
      </x:c>
      <x:c r="H10" s="26" t="str">
        <x:v>The features are documented in Leary's 2000 product description; application to every model and prototype is not established.</x:v>
      </x:c>
      <x:c r="I10" s="26" t="str">
        <x:v>Model-year catalogs and surviving-frame comparison.</x:v>
      </x:c>
      <x:c r="J10" s="26" t="str">
        <x:v>https://bmxultra.com/archive/prosection/interview/harryleary.htm</x:v>
      </x:c>
    </x:row>
    <x:row r="11" ht="88" customHeight="1">
      <x:c r="A11" s="26" t="str">
        <x:v>V14-CLM-007</x:v>
      </x:c>
      <x:c r="B11" s="26" t="str">
        <x:v>DIRTWERX</x:v>
      </x:c>
      <x:c r="C11" s="26" t="str">
        <x:v>PR12 was a production model.</x:v>
      </x:c>
      <x:c r="D11" s="26" t="str">
        <x:v>Model identity</x:v>
      </x:c>
      <x:c r="E11" s="26" t="str">
        <x:v>V2</x:v>
      </x:c>
      <x:c r="F11" s="26" t="str">
        <x:v>Collection provenance names PR12 prototype.</x:v>
      </x:c>
      <x:c r="G11" s="26" t="str">
        <x:v>UNRESOLVED</x:v>
      </x:c>
      <x:c r="H11" s="26" t="str">
        <x:v>PR12 is retained as the collection's prototype designation; no production model has been established.</x:v>
      </x:c>
      <x:c r="I11" s="26" t="str">
        <x:v>Period catalog, advertisement, builder statement or additional examples.</x:v>
      </x:c>
      <x:c r="J11" s="26" t="str">
        <x:v>https://sites.google.com/view/lititzbmxinventorylist/home/26-0047</x:v>
      </x:c>
    </x:row>
    <x:row r="12" ht="88" customHeight="1">
      <x:c r="A12" s="26" t="str">
        <x:v>V14-CLM-008</x:v>
      </x:c>
      <x:c r="B12" s="26" t="str">
        <x:v>DIRTWERX</x:v>
      </x:c>
      <x:c r="C12" s="26" t="str">
        <x:v>Artifact 26.0047 belonged to Harry Leary.</x:v>
      </x:c>
      <x:c r="D12" s="26" t="str">
        <x:v>Provenance</x:v>
      </x:c>
      <x:c r="E12" s="26" t="str">
        <x:v>V2</x:v>
      </x:c>
      <x:c r="F12" s="26" t="str">
        <x:v>Lititz collection record; source Justin Dumas.</x:v>
      </x:c>
      <x:c r="G12" s="26" t="str">
        <x:v>COLLECTION ATTRIBUTION</x:v>
      </x:c>
      <x:c r="H12" s="26" t="str">
        <x:v>Artifact 26.0047 is attributed through collection provenance as Harry Leary's DIRTWERX PR12 prototype.</x:v>
      </x:c>
      <x:c r="I12" s="26" t="str">
        <x:v>Transfer correspondence, photographs or direct testimony.</x:v>
      </x:c>
      <x:c r="J12" s="26" t="str">
        <x:v>https://sites.google.com/view/lititzbmxinventorylist/home/26-0047</x:v>
      </x:c>
    </x:row>
    <x:row r="13" ht="88" customHeight="1">
      <x:c r="A13" s="26" t="str">
        <x:v>V14-CLM-009</x:v>
      </x:c>
      <x:c r="B13" s="26" t="str">
        <x:v>DIRTWERX</x:v>
      </x:c>
      <x:c r="C13" s="26" t="str">
        <x:v>Artifact 26.0029 is a DIRTWERX prototype.</x:v>
      </x:c>
      <x:c r="D13" s="26" t="str">
        <x:v>Authentication</x:v>
      </x:c>
      <x:c r="E13" s="26" t="str">
        <x:v>V2</x:v>
      </x:c>
      <x:c r="F13" s="26" t="str">
        <x:v>Lititz collection record and Leary Locker association.</x:v>
      </x:c>
      <x:c r="G13" s="26" t="str">
        <x:v>COLLECTION ATTRIBUTION</x:v>
      </x:c>
      <x:c r="H13" s="26" t="str">
        <x:v>Artifact 26.0029 is attributed as a DIRTWERX 24-inch prototype frameset.</x:v>
      </x:c>
      <x:c r="I13" s="26" t="str">
        <x:v>Serial/geometry package, period imagery and comparison examples.</x:v>
      </x:c>
      <x:c r="J13" s="26" t="str">
        <x:v>https://sites.google.com/view/lititzbmxinventorylist/home/26-0029</x:v>
      </x:c>
    </x:row>
    <x:row r="14" ht="88" customHeight="1">
      <x:c r="A14" s="26" t="str">
        <x:v>V14-CLM-010</x:v>
      </x:c>
      <x:c r="B14" s="26" t="str">
        <x:v>DIRTWERX</x:v>
      </x:c>
      <x:c r="C14" s="26" t="str">
        <x:v>DIRTWERX was a helmet-paint provider in the 1980s.</x:v>
      </x:c>
      <x:c r="D14" s="26" t="str">
        <x:v>Company activity / dating</x:v>
      </x:c>
      <x:c r="E14" s="26" t="str">
        <x:v>None</x:v>
      </x:c>
      <x:c r="F14" s="26" t="str">
        <x:v>Conflicts with 1995–1996 company chronology and lacks support.</x:v>
      </x:c>
      <x:c r="G14" s="26" t="str">
        <x:v>REJECTED / CORRECTION</x:v>
      </x:c>
      <x:c r="H14" s="26" t="str">
        <x:v>Do not describe DIRTWERX as an 1980s helmet-paint company.</x:v>
      </x:c>
      <x:c r="I14" s="26" t="str">
        <x:v>No current reason to retain; only extraordinary direct evidence could reopen it.</x:v>
      </x:c>
      <x:c r="J14" s="26" t="str"/>
    </x:row>
    <x:row r="15" ht="88" customHeight="1">
      <x:c r="A15" s="26" t="str">
        <x:v>V14-CLM-011</x:v>
      </x:c>
      <x:c r="B15" s="26" t="str">
        <x:v>DIRTWERX</x:v>
      </x:c>
      <x:c r="C15" s="26" t="str">
        <x:v>DIRTWERX manufactured Harry Leary's helmet.</x:v>
      </x:c>
      <x:c r="D15" s="26" t="str">
        <x:v>Manufacturing</x:v>
      </x:c>
      <x:c r="E15" s="26" t="str">
        <x:v>None</x:v>
      </x:c>
      <x:c r="F15" s="26" t="str">
        <x:v>Branding does not identify helmet manufacturer.</x:v>
      </x:c>
      <x:c r="G15" s="26" t="str">
        <x:v>UNRESOLVED</x:v>
      </x:c>
      <x:c r="H15" s="26" t="str">
        <x:v>Artifact 26.0062 is DIRTWERX-branded; helmet manufacturer and decorator remain unidentified.</x:v>
      </x:c>
      <x:c r="I15" s="26" t="str">
        <x:v>Maker labels, invoice, artist statement or period photo.</x:v>
      </x:c>
      <x:c r="J15" s="26" t="str">
        <x:v>https://sites.google.com/view/lititzbmxinventorylist/home/26-0062</x:v>
      </x:c>
    </x:row>
    <x:row r="16" ht="88" customHeight="1">
      <x:c r="A16" s="26" t="str">
        <x:v>V14-CLM-012</x:v>
      </x:c>
      <x:c r="B16" s="26" t="str">
        <x:v>DIRTWERX</x:v>
      </x:c>
      <x:c r="C16" s="26" t="str">
        <x:v>Artifact 26.0063 was race-worn by Harry Leary.</x:v>
      </x:c>
      <x:c r="D16" s="26" t="str">
        <x:v>Use/provenance</x:v>
      </x:c>
      <x:c r="E16" s="26" t="str">
        <x:v>V2</x:v>
      </x:c>
      <x:c r="F16" s="26" t="str">
        <x:v>Collection record asserts Leary association.</x:v>
      </x:c>
      <x:c r="G16" s="26" t="str">
        <x:v>OPEN AUTHENTICATION</x:v>
      </x:c>
      <x:c r="H16" s="26" t="str">
        <x:v>Artifact 26.0063 is a Harry Leary DIRTWERX-branded jersey; race-worn use remains under authentication.</x:v>
      </x:c>
      <x:c r="I16" s="26" t="str">
        <x:v>Wear photographs, event image, labels and transfer documentation.</x:v>
      </x:c>
      <x:c r="J16" s="26" t="str">
        <x:v>https://sites.google.com/view/lititzbmxinventorylist/home/26-0063</x:v>
      </x:c>
    </x:row>
    <x:row r="17" ht="88" customHeight="1">
      <x:c r="A17" s="26" t="str">
        <x:v>V14-CLM-013</x:v>
      </x:c>
      <x:c r="B17" s="26" t="str">
        <x:v>DIRTWERX</x:v>
      </x:c>
      <x:c r="C17" s="26" t="str">
        <x:v>The 2000 DIRTWERX team was nationally distributed.</x:v>
      </x:c>
      <x:c r="D17" s="26" t="str">
        <x:v>Team structure</x:v>
      </x:c>
      <x:c r="E17" s="26" t="str">
        <x:v>None</x:v>
      </x:c>
      <x:c r="F17" s="26" t="str">
        <x:v>Leary explicitly described a one-track, western-states team.</x:v>
      </x:c>
      <x:c r="G17" s="26" t="str">
        <x:v>REJECTED</x:v>
      </x:c>
      <x:c r="H17" s="26" t="str">
        <x:v>In 2000, Leary described a local, Sycamore BMX-centered team that raced mainly in western states.</x:v>
      </x:c>
      <x:c r="I17" s="26" t="str">
        <x:v>Evidence of other dated rosters could establish different phases.</x:v>
      </x:c>
      <x:c r="J17" s="26" t="str">
        <x:v>https://bmxultra.com/archive/prosection/interview/harryleary.htm</x:v>
      </x:c>
    </x:row>
    <x:row r="18" ht="88" customHeight="1">
      <x:c r="A18" s="26" t="str">
        <x:v>V14-CLM-014</x:v>
      </x:c>
      <x:c r="B18" s="26" t="str">
        <x:v>DIRTWERX</x:v>
      </x:c>
      <x:c r="C18" s="26" t="str">
        <x:v>The March 2000 roster contains ten riders.</x:v>
      </x:c>
      <x:c r="D18" s="26" t="str">
        <x:v>Team roster</x:v>
      </x:c>
      <x:c r="E18" s="26" t="str">
        <x:v>V3</x:v>
      </x:c>
      <x:c r="F18" s="26" t="str">
        <x:v>Leary named ten riders/classes.</x:v>
      </x:c>
      <x:c r="G18" s="26" t="str">
        <x:v>ATTRIBUTED VERIFIED</x:v>
      </x:c>
      <x:c r="H18" s="26" t="str">
        <x:v>Harry Leary named ten DIRTWERX riders in a March 2000 interview.</x:v>
      </x:c>
      <x:c r="I18" s="26" t="str">
        <x:v>Race rosters/results to verify spellings and classes.</x:v>
      </x:c>
      <x:c r="J18" s="26" t="str">
        <x:v>https://bmxultra.com/archive/prosection/interview/harryleary.htm</x:v>
      </x:c>
    </x:row>
    <x:row r="19" ht="88" customHeight="1">
      <x:c r="A19" s="26" t="str">
        <x:v>V14-CLM-015</x:v>
      </x:c>
      <x:c r="B19" s="26" t="str">
        <x:v>GHP</x:v>
      </x:c>
      <x:c r="C19" s="26" t="str">
        <x:v>GHP launched in 1983.</x:v>
      </x:c>
      <x:c r="D19" s="26" t="str">
        <x:v>Company chronology</x:v>
      </x:c>
      <x:c r="E19" s="26" t="str">
        <x:v>V4 period</x:v>
      </x:c>
      <x:c r="F19" s="26" t="str">
        <x:v>Multiple period sources and 1983 company-published book.</x:v>
      </x:c>
      <x:c r="G19" s="26" t="str">
        <x:v>VERIFIED PERIOD</x:v>
      </x:c>
      <x:c r="H19" s="26" t="str">
        <x:v>Greg Hill Products was publicly active and period-reported as launched in 1983.</x:v>
      </x:c>
      <x:c r="I19" s="26" t="str">
        <x:v>Corporate filing or Greg Hill first-person company chronology.</x:v>
      </x:c>
      <x:c r="J19" s="26" t="str">
        <x:v>https://previouspage.co.uk/magazines/BMX%20Action%20Bike/issues/194-february-nineteen-eighty-four</x:v>
      </x:c>
    </x:row>
    <x:row r="20" ht="88" customHeight="1">
      <x:c r="A20" s="26" t="str">
        <x:v>V14-CLM-016</x:v>
      </x:c>
      <x:c r="B20" s="26" t="str">
        <x:v>GHP</x:v>
      </x:c>
      <x:c r="C20" s="26" t="str">
        <x:v>Hill's 1983 Worlds ride marked the transition from GT to GHP.</x:v>
      </x:c>
      <x:c r="D20" s="26" t="str">
        <x:v>Rider-company chronology</x:v>
      </x:c>
      <x:c r="E20" s="26" t="str">
        <x:v>V4 period</x:v>
      </x:c>
      <x:c r="F20" s="26" t="str">
        <x:v>October 1983 period report.</x:v>
      </x:c>
      <x:c r="G20" s="26" t="str">
        <x:v>VERIFIED PERIOD</x:v>
      </x:c>
      <x:c r="H20" s="26" t="str">
        <x:v>Period reporting identifies Hill's 1983 Worlds appearance as his last GT ride and records his early move to GHP.</x:v>
      </x:c>
      <x:c r="I20" s="26" t="str">
        <x:v>Contract or Hill testimony for exact effective date.</x:v>
      </x:c>
      <x:c r="J20" s="26" t="str">
        <x:v>https://previouspage.co.uk/magazines/BMX%20Action%20Bike/issues/85-october-nineteen-eighty-three</x:v>
      </x:c>
    </x:row>
    <x:row r="21" ht="88" customHeight="1">
      <x:c r="A21" s="26" t="str">
        <x:v>V14-CLM-017</x:v>
      </x:c>
      <x:c r="B21" s="26" t="str">
        <x:v>GHP</x:v>
      </x:c>
      <x:c r="C21" s="26" t="str">
        <x:v>GHP sold frame-and-fork products by early 1984.</x:v>
      </x:c>
      <x:c r="D21" s="26" t="str">
        <x:v>Product availability</x:v>
      </x:c>
      <x:c r="E21" s="26" t="str">
        <x:v>V4 period</x:v>
      </x:c>
      <x:c r="F21" s="26" t="str">
        <x:v>Retail advertisement.</x:v>
      </x:c>
      <x:c r="G21" s="26" t="str">
        <x:v>VERIFIED PERIOD</x:v>
      </x:c>
      <x:c r="H21" s="26" t="str">
        <x:v>Greg Hill frame-and-fork products were commercially advertised by February 1984.</x:v>
      </x:c>
      <x:c r="I21" s="26" t="str">
        <x:v>Catalog/test with model specifications.</x:v>
      </x:c>
      <x:c r="J21" s="26" t="str">
        <x:v>https://previouspage.co.uk/magazines/BMX%20Action%20Bike/issues/194-february-nineteen-eighty-four</x:v>
      </x:c>
    </x:row>
    <x:row r="22" ht="88" customHeight="1">
      <x:c r="A22" s="26" t="str">
        <x:v>V14-CLM-018</x:v>
      </x:c>
      <x:c r="B22" s="26" t="str">
        <x:v>GHP</x:v>
      </x:c>
      <x:c r="C22" s="26" t="str">
        <x:v>West Coast Cycle distributed GHP products in 1984.</x:v>
      </x:c>
      <x:c r="D22" s="26" t="str">
        <x:v>Distribution relationship</x:v>
      </x:c>
      <x:c r="E22" s="26" t="str">
        <x:v>V4 period</x:v>
      </x:c>
      <x:c r="F22" s="26" t="str">
        <x:v>June 1984 advertisement.</x:v>
      </x:c>
      <x:c r="G22" s="26" t="str">
        <x:v>VERIFIED PERIOD</x:v>
      </x:c>
      <x:c r="H22" s="26" t="str">
        <x:v>A June 1984 advertisement stated that GHP products were distributed exclusively by West Coast Cycle.</x:v>
      </x:c>
      <x:c r="I22" s="26" t="str">
        <x:v>Dealer/distributor documents clarifying territory and term.</x:v>
      </x:c>
      <x:c r="J22" s="26" t="str">
        <x:v>https://previouspage.co.uk/magazines/BMX%20Action/issues/54-june-nineteen-eighty-four</x:v>
      </x:c>
    </x:row>
    <x:row r="23" ht="88" customHeight="1">
      <x:c r="A23" s="26" t="str">
        <x:v>V14-CLM-019</x:v>
      </x:c>
      <x:c r="B23" s="26" t="str">
        <x:v>GHP</x:v>
      </x:c>
      <x:c r="C23" s="26" t="str">
        <x:v>CyclePro manufactured every GHP frame.</x:v>
      </x:c>
      <x:c r="D23" s="26" t="str">
        <x:v>Manufacturing</x:v>
      </x:c>
      <x:c r="E23" s="26" t="str">
        <x:v>None</x:v>
      </x:c>
      <x:c r="F23" s="26" t="str">
        <x:v>Team/distribution association does not prove fabrication.</x:v>
      </x:c>
      <x:c r="G23" s="26" t="str">
        <x:v>UNRESOLVED / DO NOT CLAIM</x:v>
      </x:c>
      <x:c r="H23" s="26" t="str">
        <x:v>CyclePro, GHP and West Coast Cycle are connected in 1984 marketing; manufacturing roles remain unresolved.</x:v>
      </x:c>
      <x:c r="I23" s="26" t="str">
        <x:v>Factory records, product tests or first-person testimony.</x:v>
      </x:c>
      <x:c r="J23" s="26" t="str"/>
    </x:row>
    <x:row r="24" ht="88" customHeight="1">
      <x:c r="A24" s="26" t="str">
        <x:v>V14-CLM-020</x:v>
      </x:c>
      <x:c r="B24" s="26" t="str">
        <x:v>GHP</x:v>
      </x:c>
      <x:c r="C24" s="26" t="str">
        <x:v>Matt Hadan rode for the CyclePro/GHP team in 1984.</x:v>
      </x:c>
      <x:c r="D24" s="26" t="str">
        <x:v>Team roster</x:v>
      </x:c>
      <x:c r="E24" s="26" t="str">
        <x:v>V4 period lead</x:v>
      </x:c>
      <x:c r="F24" s="26" t="str">
        <x:v>Period magazine coverage.</x:v>
      </x:c>
      <x:c r="G24" s="26" t="str">
        <x:v>QUALIFIED PERIOD</x:v>
      </x:c>
      <x:c r="H24" s="26" t="str">
        <x:v>Period coverage reported Matt Hadan's addition to the CyclePro/GHP team in 1984.</x:v>
      </x:c>
      <x:c r="I24" s="26" t="str">
        <x:v>Direct page image and race/team records.</x:v>
      </x:c>
      <x:c r="J24" s="26" t="str">
        <x:v>https://previouspage.co.uk/magazines/BMX%20Action/issues/54-june-nineteen-eighty-four</x:v>
      </x:c>
    </x:row>
    <x:row r="25" ht="88" customHeight="1">
      <x:c r="A25" s="26" t="str">
        <x:v>V14-CLM-021</x:v>
      </x:c>
      <x:c r="B25" s="26" t="str">
        <x:v>GHP</x:v>
      </x:c>
      <x:c r="C25" s="26" t="str">
        <x:v>26.0022 and 26.0026 are the same jersey.</x:v>
      </x:c>
      <x:c r="D25" s="26" t="str">
        <x:v>Artifact identity</x:v>
      </x:c>
      <x:c r="E25" s="26" t="str">
        <x:v>V1 conflict check</x:v>
      </x:c>
      <x:c r="F25" s="26" t="str">
        <x:v>Inventory assigns two separate IDs and descriptions.</x:v>
      </x:c>
      <x:c r="G25" s="26" t="str">
        <x:v>REJECTED / CORRECTION</x:v>
      </x:c>
      <x:c r="H25" s="26" t="str">
        <x:v>Artifacts 26.0022 and 26.0026 are separate GHP jerseys and must be researched independently.</x:v>
      </x:c>
      <x:c r="I25" s="26" t="str">
        <x:v>Separate physical capture confirms distinctions.</x:v>
      </x:c>
      <x:c r="J25" s="26" t="str"/>
    </x:row>
    <x:row r="26" ht="88" customHeight="1">
      <x:c r="A26" s="26" t="str">
        <x:v>V14-CLM-022</x:v>
      </x:c>
      <x:c r="B26" s="26" t="str">
        <x:v>GHP</x:v>
      </x:c>
      <x:c r="C26" s="26" t="str">
        <x:v>26.0022 was worn by Greg Hill.</x:v>
      </x:c>
      <x:c r="D26" s="26" t="str">
        <x:v>Use/provenance</x:v>
      </x:c>
      <x:c r="E26" s="26" t="str">
        <x:v>V2 limited</x:v>
      </x:c>
      <x:c r="F26" s="26" t="str">
        <x:v>Inventory name associates the object with Greg Hill but does not show use evidence.</x:v>
      </x:c>
      <x:c r="G26" s="26" t="str">
        <x:v>OPEN AUTHENTICATION</x:v>
      </x:c>
      <x:c r="H26" s="26" t="str">
        <x:v>Artifact 26.0022 is a Greg Hill/GHP-associated jersey; personal wear has not been independently verified.</x:v>
      </x:c>
      <x:c r="I26" s="26" t="str">
        <x:v>Hill photograph, transfer history, labels and comparison.</x:v>
      </x:c>
      <x:c r="J26" s="26" t="str">
        <x:v>https://sites.google.com/view/lititzbmxinventorylist/home/26-0022</x:v>
      </x:c>
    </x:row>
    <x:row r="27" ht="88" customHeight="1">
      <x:c r="A27" s="26" t="str">
        <x:v>V14-CLM-023</x:v>
      </x:c>
      <x:c r="B27" s="26" t="str">
        <x:v>GHP</x:v>
      </x:c>
      <x:c r="C27" s="26" t="str">
        <x:v>26.0026 was a GHP team-issued jersey.</x:v>
      </x:c>
      <x:c r="D27" s="26" t="str">
        <x:v>Use/provenance</x:v>
      </x:c>
      <x:c r="E27" s="26" t="str">
        <x:v>V2 limited</x:v>
      </x:c>
      <x:c r="F27" s="26" t="str">
        <x:v>Inventory calls it a GHP jersey from the Leary Locker.</x:v>
      </x:c>
      <x:c r="G27" s="26" t="str">
        <x:v>OPEN AUTHENTICATION</x:v>
      </x:c>
      <x:c r="H27" s="26" t="str">
        <x:v>Artifact 26.0026 is a GHP jersey from the Leary Locker; team issue and wearer remain unresolved.</x:v>
      </x:c>
      <x:c r="I27" s="26" t="str">
        <x:v>Labels, provenance and period team imagery.</x:v>
      </x:c>
      <x:c r="J27" s="26" t="str">
        <x:v>https://sites.google.com/view/lititzbmxinventorylist/home/26-0026</x:v>
      </x:c>
    </x:row>
    <x:row r="28" ht="88" customHeight="1">
      <x:c r="A28" s="26" t="str">
        <x:v>V14-CLM-024</x:v>
      </x:c>
      <x:c r="B28" s="26" t="str">
        <x:v>GHP</x:v>
      </x:c>
      <x:c r="C28" s="26" t="str">
        <x:v>The #15 plate on 26.0045 belonged to Greg Hill.</x:v>
      </x:c>
      <x:c r="D28" s="26" t="str">
        <x:v>Rider attribution</x:v>
      </x:c>
      <x:c r="E28" s="26" t="str">
        <x:v>None</x:v>
      </x:c>
      <x:c r="F28" s="26" t="str">
        <x:v>No current source identifies the #15 rider.</x:v>
      </x:c>
      <x:c r="G28" s="26" t="str">
        <x:v>UNRESOLVED / DO NOT CLAIM</x:v>
      </x:c>
      <x:c r="H28" s="26" t="str">
        <x:v>The number 15 plate is present; its rider and event history are unknown.</x:v>
      </x:c>
      <x:c r="I28" s="26" t="str">
        <x:v>Plate reverse, period photos and provenance testimony.</x:v>
      </x:c>
      <x:c r="J28" s="26" t="str">
        <x:v>https://sites.google.com/view/lititzbmxinventorylist/home/26-0045</x:v>
      </x:c>
    </x:row>
    <x:row r="29" ht="88" customHeight="1">
      <x:c r="A29" s="26" t="str">
        <x:v>V14-CLM-025</x:v>
      </x:c>
      <x:c r="B29" s="26" t="str">
        <x:v>GHP</x:v>
      </x:c>
      <x:c r="C29" s="26" t="str">
        <x:v>The bars and #15 plate were historically used together.</x:v>
      </x:c>
      <x:c r="D29" s="26" t="str">
        <x:v>Artifact pairing</x:v>
      </x:c>
      <x:c r="E29" s="26" t="str">
        <x:v>V2 physical pairing only</x:v>
      </x:c>
      <x:c r="F29" s="26" t="str">
        <x:v>Collection currently pairs the objects.</x:v>
      </x:c>
      <x:c r="G29" s="26" t="str">
        <x:v>OPEN AUTHENTICATION</x:v>
      </x:c>
      <x:c r="H29" s="26" t="str">
        <x:v>The bars and plate are displayed together; period use as a pair has not been established.</x:v>
      </x:c>
      <x:c r="I29" s="26" t="str">
        <x:v>Acquisition documentation and period images.</x:v>
      </x:c>
      <x:c r="J29" s="26" t="str">
        <x:v>https://sites.google.com/view/lititzbmxinventorylist/home/26-0045</x:v>
      </x:c>
    </x:row>
    <x:row r="30" ht="88" customHeight="1">
      <x:c r="A30" s="26" t="str">
        <x:v>V14-CLM-026</x:v>
      </x:c>
      <x:c r="B30" s="26" t="str">
        <x:v>GHP</x:v>
      </x:c>
      <x:c r="C30" s="26" t="str">
        <x:v>BMXMuseum record 121233 is an exact GHP submitted-bike object.</x:v>
      </x:c>
      <x:c r="D30" s="26" t="str">
        <x:v>BMXMuseum discovery</x:v>
      </x:c>
      <x:c r="E30" s="26" t="str">
        <x:v>A1</x:v>
      </x:c>
      <x:c r="F30" s="26" t="str">
        <x:v>Public exact canonical link.</x:v>
      </x:c>
      <x:c r="G30" s="26" t="str">
        <x:v>EXACT OBJECT</x:v>
      </x:c>
      <x:c r="H30" s="26" t="str">
        <x:v>BMXMuseum record 121233 is retained as an exact GHP submitted-bike record; year/model details were not recovered.</x:v>
      </x:c>
      <x:c r="I30" s="26" t="str">
        <x:v>Public first-party metadata or future sanctioned access.</x:v>
      </x:c>
      <x:c r="J30" s="26" t="str">
        <x:v>https://www.bmxmuseum.com/bikes/ghp/121233</x:v>
      </x:c>
    </x:row>
    <x:row r="31" ht="88" customHeight="1">
      <x:c r="A31" s="26" t="str">
        <x:v>V14-CLM-027</x:v>
      </x:c>
      <x:c r="B31" s="26" t="str">
        <x:v>GHP</x:v>
      </x:c>
      <x:c r="C31" s="26" t="str">
        <x:v>BMXMuseum record 134275 is a 2013 Pro XXL.</x:v>
      </x:c>
      <x:c r="D31" s="26" t="str">
        <x:v>BMXMuseum identification</x:v>
      </x:c>
      <x:c r="E31" s="26" t="str">
        <x:v>A2/V1</x:v>
      </x:c>
      <x:c r="F31" s="26" t="str">
        <x:v>Public discussion proposes identity and notes modifications.</x:v>
      </x:c>
      <x:c r="G31" s="26" t="str">
        <x:v>COMMUNITY IDENTIFICATION</x:v>
      </x:c>
      <x:c r="H31" s="26" t="str">
        <x:v>Record 134275 is an exact GHP link with a proposed 2013 Pro XXL identification; the build contains aftermarket parts and requires catalog verification.</x:v>
      </x:c>
      <x:c r="I31" s="26" t="str">
        <x:v>Catalog and serial comparison.</x:v>
      </x:c>
      <x:c r="J31" s="26" t="str">
        <x:v>https://www.reddit.com/r/bmx/comments/1sim2k3/ghp_yard_sale_find/</x:v>
      </x:c>
    </x:row>
  </x:sheetData>
  <x:mergeCells>
    <x:mergeCell ref="A1:J1"/>
    <x:mergeCell ref="A2:J2"/>
  </x:mergeCells>
  <x:dataValidations count="1">
    <x:dataValidation type="list" sqref="G5:G31">
      <x:formula1>"VERIFIED,VERIFIED PERIOD,QUALIFIED VERIFIED,ATTRIBUTED VERIFIED,COLLECTION ATTRIBUTION,OPEN AUTHENTICATION,UNRESOLVED,REJECTED,REJECTED / CORRECTION,COMMUNITY IDENTIFICATION,EXACT OBJECT"</x:formula1>
    </x:dataValidation>
  </x:dataValidations>
  <x:pageMargins left="0.7" right="0.7" top="0.75" bottom="0.75" header="0.3" footer="0.3"/>
  <x:tableParts count="1">
    <x:tablePart xmlns:r="http://schemas.openxmlformats.org/officeDocument/2006/relationships" r:id="Rc04389c90ccc4a58"/>
  </x:tableParts>
</x:worksheet>
</file>

<file path=xl/worksheets/sheet83.xml><?xml version="1.0" encoding="utf-8"?>
<x:worksheet xmlns:x="http://schemas.openxmlformats.org/spreadsheetml/2006/main">
  <x:sheetFormatPr defaultRowHeight="15"/>
  <x:cols>
    <x:col min="1" max="1" width="16" hidden="0" customWidth="1"/>
    <x:col min="2" max="2" width="18" hidden="0" customWidth="1"/>
    <x:col min="3" max="3" width="38" hidden="0" customWidth="1"/>
    <x:col min="4" max="4" width="18" hidden="0" customWidth="1"/>
    <x:col min="5" max="5" width="28" hidden="0" customWidth="1"/>
    <x:col min="6" max="6" width="54" hidden="0" customWidth="1"/>
    <x:col min="7" max="7" width="44" hidden="0" customWidth="1"/>
    <x:col min="8" max="8" width="48" hidden="0" customWidth="1"/>
    <x:col min="9" max="9" width="58" hidden="0" customWidth="1"/>
    <x:col min="10" max="10" width="26" hidden="0" customWidth="1"/>
  </x:cols>
  <x:sheetData>
    <x:row r="1" ht="30" customHeight="1">
      <x:c r="A1" s="544" t="str">
        <x:v>v1.4 DIRTWERX and GHP Source Register</x:v>
      </x:c>
      <x:c r="B1" s="544"/>
      <x:c r="C1" s="544"/>
      <x:c r="D1" s="544"/>
      <x:c r="E1" s="544"/>
      <x:c r="F1" s="544"/>
      <x:c r="G1" s="544"/>
      <x:c r="H1" s="544"/>
      <x:c r="I1" s="544"/>
      <x:c r="J1" s="544"/>
    </x:row>
    <x:row r="2" ht="30" customHeight="1">
      <x:c r="A2" s="549" t="str">
        <x:v>Contemporaneous and first-person sources control the chronology. Bibliographic, community and BMXMuseum records remain clearly limited to what the public route actually exposes.</x:v>
      </x:c>
      <x:c r="B2" s="549"/>
      <x:c r="C2" s="549"/>
      <x:c r="D2" s="549"/>
      <x:c r="E2" s="549"/>
      <x:c r="F2" s="549"/>
      <x:c r="G2" s="549"/>
      <x:c r="H2" s="549"/>
      <x:c r="I2" s="549"/>
      <x:c r="J2" s="549"/>
    </x:row>
    <x:row r="4">
      <x:c r="A4" s="554" t="str">
        <x:v>Source ID</x:v>
      </x:c>
      <x:c r="B4" s="554" t="str">
        <x:v>Cluster</x:v>
      </x:c>
      <x:c r="C4" s="554" t="str">
        <x:v>Source / Publication</x:v>
      </x:c>
      <x:c r="D4" s="554" t="str">
        <x:v>Date</x:v>
      </x:c>
      <x:c r="E4" s="554" t="str">
        <x:v>Source Class</x:v>
      </x:c>
      <x:c r="F4" s="554" t="str">
        <x:v>Key Evidence</x:v>
      </x:c>
      <x:c r="G4" s="554" t="str">
        <x:v>Use in Register</x:v>
      </x:c>
      <x:c r="H4" s="554" t="str">
        <x:v>Limitations / Rights</x:v>
      </x:c>
      <x:c r="I4" s="554" t="str">
        <x:v>URL</x:v>
      </x:c>
      <x:c r="J4" s="554" t="str">
        <x:v>Verification Status</x:v>
      </x:c>
    </x:row>
    <x:row r="5" ht="82" customHeight="1">
      <x:c r="A5" s="26" t="str">
        <x:v>V14-SRC-001</x:v>
      </x:c>
      <x:c r="B5" s="26" t="str">
        <x:v>DIRTWERX</x:v>
      </x:c>
      <x:c r="C5" s="26" t="str">
        <x:v>Los Angeles Times — Old Enough to Win</x:v>
      </x:c>
      <x:c r="D5" s="26" t="str">
        <x:v>1997-06-07</x:v>
      </x:c>
      <x:c r="E5" s="26" t="str">
        <x:v>Contemporaneous newspaper</x:v>
      </x:c>
      <x:c r="F5" s="26" t="str">
        <x:v>Leary had founded Leary Dirtwerx about two years earlier to make racing-bike parts.</x:v>
      </x:c>
      <x:c r="G5" s="26" t="str">
        <x:v>Controls circa-1995 formation marker.</x:v>
      </x:c>
      <x:c r="H5" s="26" t="str">
        <x:v>Summarize and cite; approximate dating.</x:v>
      </x:c>
      <x:c r="I5" s="26" t="str">
        <x:v>https://www.latimes.com/archives/la-xpm-1997-06-07-me-865-story.html</x:v>
      </x:c>
      <x:c r="J5" s="26" t="str">
        <x:v>VERIFIED</x:v>
      </x:c>
    </x:row>
    <x:row r="6" ht="82" customHeight="1">
      <x:c r="A6" s="26" t="str">
        <x:v>V14-SRC-002</x:v>
      </x:c>
      <x:c r="B6" s="26" t="str">
        <x:v>DIRTWERX</x:v>
      </x:c>
      <x:c r="C6" s="26" t="str">
        <x:v>BMXUltra Harry Leary interview</x:v>
      </x:c>
      <x:c r="D6" s="26" t="str">
        <x:v>2000-03-06</x:v>
      </x:c>
      <x:c r="E6" s="26" t="str">
        <x:v>Founder first-person interview</x:v>
      </x:c>
      <x:c r="F6" s="26" t="str">
        <x:v>Start date, name origin, products, sizes, exports, design features, sales, Greg Hill relationship and team roster.</x:v>
      </x:c>
      <x:c r="G6" s="26" t="str">
        <x:v>Primary DIRTWERX operating-history source.</x:v>
      </x:c>
      <x:c r="H6" s="26" t="str">
        <x:v>Paraphrase; do not reproduce full interview.</x:v>
      </x:c>
      <x:c r="I6" s="26" t="str">
        <x:v>https://bmxultra.com/archive/prosection/interview/harryleary.htm</x:v>
      </x:c>
      <x:c r="J6" s="26" t="str">
        <x:v>VERIFIED</x:v>
      </x:c>
    </x:row>
    <x:row r="7" ht="82" customHeight="1">
      <x:c r="A7" s="26" t="str">
        <x:v>V14-SRC-003</x:v>
      </x:c>
      <x:c r="B7" s="26" t="str">
        <x:v>DIRTWERX</x:v>
      </x:c>
      <x:c r="C7" s="26" t="str">
        <x:v>USA BMX Harry Leary memorial</x:v>
      </x:c>
      <x:c r="D7" s="26" t="str">
        <x:v>2024-09-10</x:v>
      </x:c>
      <x:c r="E7" s="26" t="str">
        <x:v>Official sanctioning-body memorial</x:v>
      </x:c>
      <x:c r="F7" s="26" t="str">
        <x:v>Official summary of DIRTWERX founding in late 1990s and later track-operation roles.</x:v>
      </x:c>
      <x:c r="G7" s="26" t="str">
        <x:v>Independent broad corroboration.</x:v>
      </x:c>
      <x:c r="H7" s="26" t="str">
        <x:v>Memorial is high-level, not product history.</x:v>
      </x:c>
      <x:c r="I7" s="26" t="str">
        <x:v>https://www.usabmx.com/news-and-media/6/2024-09-10/The-Sport-of-BMX-loses-a-Legend-%3A%3A-HARRY-LEARY?id=2035</x:v>
      </x:c>
      <x:c r="J7" s="26" t="str">
        <x:v>VERIFIED</x:v>
      </x:c>
    </x:row>
    <x:row r="8" ht="82" customHeight="1">
      <x:c r="A8" s="26" t="str">
        <x:v>V14-SRC-004</x:v>
      </x:c>
      <x:c r="B8" s="26" t="str">
        <x:v>DIRTWERX</x:v>
      </x:c>
      <x:c r="C8" s="26" t="str">
        <x:v>Snap BMX May/June 1996 interview</x:v>
      </x:c>
      <x:c r="D8" s="26" t="str">
        <x:v>1996</x:v>
      </x:c>
      <x:c r="E8" s="26" t="str">
        <x:v>Bibliographic lead</x:v>
      </x:c>
      <x:c r="F8" s="26" t="str">
        <x:v>Reported Harry Leary / DIRTWERX interview.</x:v>
      </x:c>
      <x:c r="G8" s="26" t="str">
        <x:v>Priority recovery target for early chronology.</x:v>
      </x:c>
      <x:c r="H8" s="26" t="str">
        <x:v>Full issue/page not inspected.</x:v>
      </x:c>
      <x:c r="I8" s="26" t="str">
        <x:v>https://www.23mag.com/mags/snap/snap.htm</x:v>
      </x:c>
      <x:c r="J8" s="26" t="str">
        <x:v>LEAD</x:v>
      </x:c>
    </x:row>
    <x:row r="9" ht="82" customHeight="1">
      <x:c r="A9" s="26" t="str">
        <x:v>V14-SRC-005</x:v>
      </x:c>
      <x:c r="B9" s="26" t="str">
        <x:v>DIRTWERX</x:v>
      </x:c>
      <x:c r="C9" s="26" t="str">
        <x:v>Snap BMX Sept/Oct 1996 company/product evaluation</x:v>
      </x:c>
      <x:c r="D9" s="26" t="str">
        <x:v>1996</x:v>
      </x:c>
      <x:c r="E9" s="26" t="str">
        <x:v>Bibliographic lead</x:v>
      </x:c>
      <x:c r="F9" s="26" t="str">
        <x:v>Reported early Leary Dirtwerx product/company coverage around page 58.</x:v>
      </x:c>
      <x:c r="G9" s="26" t="str">
        <x:v>Potential first-product authority.</x:v>
      </x:c>
      <x:c r="H9" s="26" t="str">
        <x:v>Full issue/page not inspected.</x:v>
      </x:c>
      <x:c r="I9" s="26" t="str">
        <x:v>https://www.23mag.com/mags/snap/snap.htm</x:v>
      </x:c>
      <x:c r="J9" s="26" t="str">
        <x:v>LEAD</x:v>
      </x:c>
    </x:row>
    <x:row r="10" ht="82" customHeight="1">
      <x:c r="A10" s="26" t="str">
        <x:v>V14-SRC-006</x:v>
      </x:c>
      <x:c r="B10" s="26" t="str">
        <x:v>GHP</x:v>
      </x:c>
      <x:c r="C10" s="26" t="str">
        <x:v>Greg Hill's Professional BMX Skills</x:v>
      </x:c>
      <x:c r="D10" s="26" t="str">
        <x:v>1983</x:v>
      </x:c>
      <x:c r="E10" s="26" t="str">
        <x:v>Bibliographic record / first-party publication</x:v>
      </x:c>
      <x:c r="F10" s="26" t="str">
        <x:v>Greg Hill Products published a 92-page BMX instruction book.</x:v>
      </x:c>
      <x:c r="G10" s="26" t="str">
        <x:v>Proves public company operation by 1983.</x:v>
      </x:c>
      <x:c r="H10" s="26" t="str">
        <x:v>Contents not inspected.</x:v>
      </x:c>
      <x:c r="I10" s="26" t="str">
        <x:v>https://books.google.com/books/about/Greg_Hill_s_Professional_BMX_Skills.html?id=tU_dtgAACAAJ</x:v>
      </x:c>
      <x:c r="J10" s="26" t="str">
        <x:v>VERIFIED BIBLIOGRAPHY</x:v>
      </x:c>
    </x:row>
    <x:row r="11" ht="82" customHeight="1">
      <x:c r="A11" s="26" t="str">
        <x:v>V14-SRC-007</x:v>
      </x:c>
      <x:c r="B11" s="26" t="str">
        <x:v>GHP</x:v>
      </x:c>
      <x:c r="C11" s="26" t="str">
        <x:v>BMX Action Bike October 1983</x:v>
      </x:c>
      <x:c r="D11" s="26" t="str">
        <x:v>1983-10</x:v>
      </x:c>
      <x:c r="E11" s="26" t="str">
        <x:v>Period magazine</x:v>
      </x:c>
      <x:c r="F11" s="26" t="str">
        <x:v>Reported Hill's last GT Worlds ride and early appearance for GHP on his own bike/gear.</x:v>
      </x:c>
      <x:c r="G11" s="26" t="str">
        <x:v>Controls rider/company transition.</x:v>
      </x:c>
      <x:c r="H11" s="26" t="str">
        <x:v>Magazine language is informal; exact contract date open.</x:v>
      </x:c>
      <x:c r="I11" s="26" t="str">
        <x:v>https://previouspage.co.uk/magazines/BMX%20Action%20Bike/issues/85-october-nineteen-eighty-three</x:v>
      </x:c>
      <x:c r="J11" s="26" t="str">
        <x:v>VERIFIED</x:v>
      </x:c>
    </x:row>
    <x:row r="12" ht="82" customHeight="1">
      <x:c r="A12" s="26" t="str">
        <x:v>V14-SRC-008</x:v>
      </x:c>
      <x:c r="B12" s="26" t="str">
        <x:v>GHP</x:v>
      </x:c>
      <x:c r="C12" s="26" t="str">
        <x:v>BMX Action Bike February 1984</x:v>
      </x:c>
      <x:c r="D12" s="26" t="str">
        <x:v>1984-02</x:v>
      </x:c>
      <x:c r="E12" s="26" t="str">
        <x:v>Period magazine and advertising</x:v>
      </x:c>
      <x:c r="F12" s="26" t="str">
        <x:v>Said GHP launched the previous year; carried book excerpts and retail frame/fork listings.</x:v>
      </x:c>
      <x:c r="G12" s="26" t="str">
        <x:v>Controls 1983 launch and early commercial availability.</x:v>
      </x:c>
      <x:c r="H12" s="26" t="str">
        <x:v>Separate editorial and retail claims.</x:v>
      </x:c>
      <x:c r="I12" s="26" t="str">
        <x:v>https://previouspage.co.uk/magazines/BMX%20Action%20Bike/issues/194-february-nineteen-eighty-four</x:v>
      </x:c>
      <x:c r="J12" s="26" t="str">
        <x:v>VERIFIED</x:v>
      </x:c>
    </x:row>
    <x:row r="13" ht="82" customHeight="1">
      <x:c r="A13" s="26" t="str">
        <x:v>V14-SRC-009</x:v>
      </x:c>
      <x:c r="B13" s="26" t="str">
        <x:v>GHP</x:v>
      </x:c>
      <x:c r="C13" s="26" t="str">
        <x:v>BMX Action June 1984</x:v>
      </x:c>
      <x:c r="D13" s="26" t="str">
        <x:v>1984-06</x:v>
      </x:c>
      <x:c r="E13" s="26" t="str">
        <x:v>Period magazine/advertisement</x:v>
      </x:c>
      <x:c r="F13" s="26" t="str">
        <x:v>CyclePro/GHP distribution through West Coast Cycle; Matt Hadan team lead; period GHP program.</x:v>
      </x:c>
      <x:c r="G13" s="26" t="str">
        <x:v>Controls 1984 commercial/team relationships.</x:v>
      </x:c>
      <x:c r="H13" s="26" t="str">
        <x:v>Exact manufacturing roles remain open.</x:v>
      </x:c>
      <x:c r="I13" s="26" t="str">
        <x:v>https://previouspage.co.uk/magazines/BMX%20Action/issues/54-june-nineteen-eighty-four</x:v>
      </x:c>
      <x:c r="J13" s="26" t="str">
        <x:v>VERIFIED / PARTIAL</x:v>
      </x:c>
    </x:row>
    <x:row r="14" ht="82" customHeight="1">
      <x:c r="A14" s="26" t="str">
        <x:v>V14-SRC-010</x:v>
      </x:c>
      <x:c r="B14" s="26" t="str">
        <x:v>GHP</x:v>
      </x:c>
      <x:c r="C14" s="26" t="str">
        <x:v>BMX Action Hot Shots</x:v>
      </x:c>
      <x:c r="D14" s="26" t="str">
        <x:v>1984</x:v>
      </x:c>
      <x:c r="E14" s="26" t="str">
        <x:v>Searchable book-text lead</x:v>
      </x:c>
      <x:c r="F14" s="26" t="str">
        <x:v>Reported Hill as GHP owner and Cycle Pro GHP team captain.</x:v>
      </x:c>
      <x:c r="G14" s="26" t="str">
        <x:v>Period profile lead.</x:v>
      </x:c>
      <x:c r="H14" s="26" t="str">
        <x:v>Complete page not inspected; no reproduction.</x:v>
      </x:c>
      <x:c r="I14" s="26" t="str">
        <x:v>https://search.worldcat.org/</x:v>
      </x:c>
      <x:c r="J14" s="26" t="str">
        <x:v>LEAD</x:v>
      </x:c>
    </x:row>
    <x:row r="15" ht="82" customHeight="1">
      <x:c r="A15" s="26" t="str">
        <x:v>V14-SRC-011</x:v>
      </x:c>
      <x:c r="B15" s="26" t="str">
        <x:v>GHP</x:v>
      </x:c>
      <x:c r="C15" s="26" t="str">
        <x:v>BMX Speed September 1984</x:v>
      </x:c>
      <x:c r="D15" s="26" t="str">
        <x:v>1984-09</x:v>
      </x:c>
      <x:c r="E15" s="26" t="str">
        <x:v>German-language period metadata lead</x:v>
      </x:c>
      <x:c r="F15" s="26" t="str">
        <x:v>References a new GHP program and Diamond Back Formula One.</x:v>
      </x:c>
      <x:c r="G15" s="26" t="str">
        <x:v>Product/market context.</x:v>
      </x:c>
      <x:c r="H15" s="26" t="str">
        <x:v>Exact page and translation review pending.</x:v>
      </x:c>
      <x:c r="I15" s="26" t="str">
        <x:v>https://www.23mag.com/mags/</x:v>
      </x:c>
      <x:c r="J15" s="26" t="str">
        <x:v>LEAD</x:v>
      </x:c>
    </x:row>
    <x:row r="16" ht="82" customHeight="1">
      <x:c r="A16" s="26" t="str">
        <x:v>V14-SRC-012</x:v>
      </x:c>
      <x:c r="B16" s="26" t="str">
        <x:v>GHP</x:v>
      </x:c>
      <x:c r="C16" s="26" t="str">
        <x:v>USA BMX Greg Hill Products profile</x:v>
      </x:c>
      <x:c r="D16" s="26" t="str">
        <x:v>2012-04-26</x:v>
      </x:c>
      <x:c r="E16" s="26" t="str">
        <x:v>Official sanctioning-body brand profile</x:v>
      </x:c>
      <x:c r="F16" s="26" t="str">
        <x:v>Frames and handlebars; 35+ years of experience; tested by multi-world champions; Dan's Comp availability.</x:v>
      </x:c>
      <x:c r="G16" s="26" t="str">
        <x:v>Controls dated 2012 brand positioning.</x:v>
      </x:c>
      <x:c r="H16" s="26" t="str">
        <x:v>Promotional profile, not production ledger.</x:v>
      </x:c>
      <x:c r="I16" s="26" t="str">
        <x:v>https://www.usabmx.com/news-and-media/6/2012-04-26/Greg-Hill-Products?id=203</x:v>
      </x:c>
      <x:c r="J16" s="26" t="str">
        <x:v>VERIFIED AS PUBLISHED</x:v>
      </x:c>
    </x:row>
    <x:row r="17" ht="82" customHeight="1">
      <x:c r="A17" s="26" t="str">
        <x:v>V14-SRC-013</x:v>
      </x:c>
      <x:c r="B17" s="26" t="str">
        <x:v>GHP</x:v>
      </x:c>
      <x:c r="C17" s="26" t="str">
        <x:v>BMXUltra 2014 GHP Pro XL review</x:v>
      </x:c>
      <x:c r="D17" s="26" t="str">
        <x:v>2014</x:v>
      </x:c>
      <x:c r="E17" s="26" t="str">
        <x:v>Secondary specialist review</x:v>
      </x:c>
      <x:c r="F17" s="26" t="str">
        <x:v>Suggests GHP operating phases 1983–1986, 1991–1993 and revival around 2005.</x:v>
      </x:c>
      <x:c r="G17" s="26" t="str">
        <x:v>Working chronology hypothesis.</x:v>
      </x:c>
      <x:c r="H17" s="26" t="str">
        <x:v>Needs first-party/period corroboration.</x:v>
      </x:c>
      <x:c r="I17" s="26" t="str">
        <x:v>https://bmxultra.com/reviews/ghp-bmx-2014-pro-xl-frame-review/</x:v>
      </x:c>
      <x:c r="J17" s="26" t="str">
        <x:v>SECONDARY</x:v>
      </x:c>
    </x:row>
    <x:row r="18" ht="82" customHeight="1">
      <x:c r="A18" s="26" t="str">
        <x:v>V14-SRC-014</x:v>
      </x:c>
      <x:c r="B18" s="26" t="str">
        <x:v>Lititz</x:v>
      </x:c>
      <x:c r="C18" s="26" t="str">
        <x:v>Lititz BMX Inventory — DIRTWERX/GHP artifact records</x:v>
      </x:c>
      <x:c r="D18" s="26" t="str">
        <x:v>2026</x:v>
      </x:c>
      <x:c r="E18" s="26" t="str">
        <x:v>Collection catalog</x:v>
      </x:c>
      <x:c r="F18" s="26" t="str">
        <x:v>Identifies seven physical objects and their current provenance descriptions.</x:v>
      </x:c>
      <x:c r="G18" s="26" t="str">
        <x:v>Controls object identity and internal attribution.</x:v>
      </x:c>
      <x:c r="H18" s="26" t="str">
        <x:v>Does not independently verify company-era or use claims.</x:v>
      </x:c>
      <x:c r="I18" s="26" t="str">
        <x:v>https://sites.google.com/view/lititzbmxinventorylist/</x:v>
      </x:c>
      <x:c r="J18" s="26" t="str">
        <x:v>COLLECTION SOURCE</x:v>
      </x:c>
    </x:row>
    <x:row r="19" ht="82" customHeight="1">
      <x:c r="A19" s="26" t="str">
        <x:v>V14-SRC-015</x:v>
      </x:c>
      <x:c r="B19" s="26" t="str">
        <x:v>BMXMuseum</x:v>
      </x:c>
      <x:c r="C19" s="26" t="str">
        <x:v>Public exact records and endpoints</x:v>
      </x:c>
      <x:c r="D19" s="26" t="str">
        <x:v>Current public links</x:v>
      </x:c>
      <x:c r="E19" s="26" t="str">
        <x:v>Public metadata/backlinks</x:v>
      </x:c>
      <x:c r="F19" s="26" t="str">
        <x:v>GHP records 121233 and 134275 and GHP gallery endpoint.</x:v>
      </x:c>
      <x:c r="G19" s="26" t="str">
        <x:v>Discovery/comparison source layer.</x:v>
      </x:c>
      <x:c r="H19" s="26" t="str">
        <x:v>No bulk access; no images/descriptions copied.</x:v>
      </x:c>
      <x:c r="I19" s="26" t="str">
        <x:v>https://www.bmxmuseum.com/bikes/ghp/</x:v>
      </x:c>
      <x:c r="J19" s="26" t="str">
        <x:v>INDEX ONLY</x:v>
      </x:c>
    </x:row>
  </x:sheetData>
  <x:mergeCells>
    <x:mergeCell ref="A1:J1"/>
    <x:mergeCell ref="A2:J2"/>
  </x:mergeCells>
  <x:pageMargins left="0.7" right="0.7" top="0.75" bottom="0.75" header="0.3" footer="0.3"/>
  <x:tableParts count="1">
    <x:tablePart xmlns:r="http://schemas.openxmlformats.org/officeDocument/2006/relationships" r:id="Rfaf306b6b4884bd8"/>
  </x:tableParts>
</x:worksheet>
</file>

<file path=xl/worksheets/sheet84.xml><?xml version="1.0" encoding="utf-8"?>
<x:worksheet xmlns:x="http://schemas.openxmlformats.org/spreadsheetml/2006/main">
  <x:sheetFormatPr defaultRowHeight="15"/>
  <x:cols>
    <x:col min="1" max="1" width="16" hidden="0" customWidth="1"/>
    <x:col min="2" max="2" width="30" hidden="0" customWidth="1"/>
    <x:col min="3" max="3" width="31" hidden="0" customWidth="1"/>
    <x:col min="4" max="4" width="38" hidden="0" customWidth="1"/>
    <x:col min="5" max="5" width="22" hidden="0" customWidth="1"/>
    <x:col min="6" max="6" width="30" hidden="0" customWidth="1"/>
    <x:col min="7" max="7" width="18" hidden="0" customWidth="1"/>
    <x:col min="8" max="8" width="48" hidden="0" customWidth="1"/>
    <x:col min="9" max="9" width="58" hidden="0" customWidth="1"/>
    <x:col min="10" max="10" width="25" hidden="0" customWidth="1"/>
  </x:cols>
  <x:sheetData>
    <x:row r="1" ht="30" customHeight="1">
      <x:c r="A1" s="544" t="str">
        <x:v>v1.4 DIRTWERX–GHP Relationship Map</x:v>
      </x:c>
      <x:c r="B1" s="544"/>
      <x:c r="C1" s="544"/>
      <x:c r="D1" s="544"/>
      <x:c r="E1" s="544"/>
      <x:c r="F1" s="544"/>
      <x:c r="G1" s="544"/>
      <x:c r="H1" s="544"/>
      <x:c r="I1" s="544"/>
      <x:c r="J1" s="544"/>
    </x:row>
    <x:row r="2" ht="30" customHeight="1">
      <x:c r="A2" s="549" t="str">
        <x:v>Edges record exactly what connects people, companies, products, teams, tracks and artifacts. Association never silently becomes ownership, manufacturing or personal-use proof.</x:v>
      </x:c>
      <x:c r="B2" s="549"/>
      <x:c r="C2" s="549"/>
      <x:c r="D2" s="549"/>
      <x:c r="E2" s="549"/>
      <x:c r="F2" s="549"/>
      <x:c r="G2" s="549"/>
      <x:c r="H2" s="549"/>
      <x:c r="I2" s="549"/>
      <x:c r="J2" s="549"/>
    </x:row>
    <x:row r="4">
      <x:c r="A4" s="554" t="str">
        <x:v>Edge ID</x:v>
      </x:c>
      <x:c r="B4" s="554" t="str">
        <x:v>Subject</x:v>
      </x:c>
      <x:c r="C4" s="554" t="str">
        <x:v>Relationship</x:v>
      </x:c>
      <x:c r="D4" s="554" t="str">
        <x:v>Object</x:v>
      </x:c>
      <x:c r="E4" s="554" t="str">
        <x:v>Date / Period</x:v>
      </x:c>
      <x:c r="F4" s="554" t="str">
        <x:v>Evidence</x:v>
      </x:c>
      <x:c r="G4" s="554" t="str">
        <x:v>Confidence</x:v>
      </x:c>
      <x:c r="H4" s="554" t="str">
        <x:v>Qualification</x:v>
      </x:c>
      <x:c r="I4" s="554" t="str">
        <x:v>Source URL</x:v>
      </x:c>
      <x:c r="J4" s="554" t="str">
        <x:v>Public Use</x:v>
      </x:c>
    </x:row>
    <x:row r="5" ht="76" customHeight="1">
      <x:c r="A5" s="26" t="str">
        <x:v>V14-REL-001</x:v>
      </x:c>
      <x:c r="B5" s="26" t="str">
        <x:v>Harry Leary</x:v>
      </x:c>
      <x:c r="C5" s="26" t="str">
        <x:v>FOUNDED / OPERATED</x:v>
      </x:c>
      <x:c r="D5" s="26" t="str">
        <x:v>DIRTWERX</x:v>
      </x:c>
      <x:c r="E5" s="26" t="str">
        <x:v>Circa 1995–1996</x:v>
      </x:c>
      <x:c r="F5" s="26" t="str">
        <x:v>Newspaper + founder interview</x:v>
      </x:c>
      <x:c r="G5" s="26" t="str">
        <x:v>HIGH</x:v>
      </x:c>
      <x:c r="H5" s="26" t="str">
        <x:v>Exact legal founding date unresolved.</x:v>
      </x:c>
      <x:c r="I5" s="26" t="str">
        <x:v>https://bmxultra.com/archive/prosection/interview/harryleary.htm</x:v>
      </x:c>
      <x:c r="J5" s="26" t="str">
        <x:v>Publish qualified</x:v>
      </x:c>
    </x:row>
    <x:row r="6" ht="76" customHeight="1">
      <x:c r="A6" s="26" t="str">
        <x:v>V14-REL-002</x:v>
      </x:c>
      <x:c r="B6" s="26" t="str">
        <x:v>Balance</x:v>
      </x:c>
      <x:c r="C6" s="26" t="str">
        <x:v>PREDECESSOR BUSINESS CONTEXT</x:v>
      </x:c>
      <x:c r="D6" s="26" t="str">
        <x:v>DIRTWERX</x:v>
      </x:c>
      <x:c r="E6" s="26" t="str">
        <x:v>Before 1996</x:v>
      </x:c>
      <x:c r="F6" s="26" t="str">
        <x:v>Founder interview</x:v>
      </x:c>
      <x:c r="G6" s="26" t="str">
        <x:v>HIGH</x:v>
      </x:c>
      <x:c r="H6" s="26" t="str">
        <x:v>No corporate-continuity claim.</x:v>
      </x:c>
      <x:c r="I6" s="26" t="str">
        <x:v>https://bmxultra.com/archive/prosection/interview/harryleary.htm</x:v>
      </x:c>
      <x:c r="J6" s="26" t="str">
        <x:v>Publish qualified</x:v>
      </x:c>
    </x:row>
    <x:row r="7" ht="76" customHeight="1">
      <x:c r="A7" s="26" t="str">
        <x:v>V14-REL-003</x:v>
      </x:c>
      <x:c r="B7" s="26" t="str">
        <x:v>Greg Hill</x:v>
      </x:c>
      <x:c r="C7" s="26" t="str">
        <x:v>ENCOURAGED</x:v>
      </x:c>
      <x:c r="D7" s="26" t="str">
        <x:v>Harry Leary to start DIRTWERX</x:v>
      </x:c>
      <x:c r="E7" s="26" t="str">
        <x:v>1995–1996 recollection</x:v>
      </x:c>
      <x:c r="F7" s="26" t="str">
        <x:v>Founder interview</x:v>
      </x:c>
      <x:c r="G7" s="26" t="str">
        <x:v>HIGH</x:v>
      </x:c>
      <x:c r="H7" s="26" t="str">
        <x:v>Not co-founder or owner on current evidence.</x:v>
      </x:c>
      <x:c r="I7" s="26" t="str">
        <x:v>https://bmxultra.com/archive/prosection/interview/harryleary.htm</x:v>
      </x:c>
      <x:c r="J7" s="26" t="str">
        <x:v>Publish attributed</x:v>
      </x:c>
    </x:row>
    <x:row r="8" ht="76" customHeight="1">
      <x:c r="A8" s="26" t="str">
        <x:v>V14-REL-004</x:v>
      </x:c>
      <x:c r="B8" s="26" t="str">
        <x:v>Sergio / Smith, Smith &amp; Smith</x:v>
      </x:c>
      <x:c r="C8" s="26" t="str">
        <x:v>NAMING / DESIGN CONTRIBUTION</x:v>
      </x:c>
      <x:c r="D8" s="26" t="str">
        <x:v>DIRTWERX name, logo, stickers and jersey</x:v>
      </x:c>
      <x:c r="E8" s="26" t="str">
        <x:v>Formation period</x:v>
      </x:c>
      <x:c r="F8" s="26" t="str">
        <x:v>Founder interview</x:v>
      </x:c>
      <x:c r="G8" s="26" t="str">
        <x:v>HIGH</x:v>
      </x:c>
      <x:c r="H8" s="26" t="str">
        <x:v>Specific legal authorship/rights not evaluated.</x:v>
      </x:c>
      <x:c r="I8" s="26" t="str">
        <x:v>https://bmxultra.com/archive/prosection/interview/harryleary.htm</x:v>
      </x:c>
      <x:c r="J8" s="26" t="str">
        <x:v>Publish attributed</x:v>
      </x:c>
    </x:row>
    <x:row r="9" ht="76" customHeight="1">
      <x:c r="A9" s="26" t="str">
        <x:v>V14-REL-005</x:v>
      </x:c>
      <x:c r="B9" s="26" t="str">
        <x:v>DIRTWERX</x:v>
      </x:c>
      <x:c r="C9" s="26" t="str">
        <x:v>PRODUCED</x:v>
      </x:c>
      <x:c r="D9" s="26" t="str">
        <x:v>Chromoly frames, forks and handlebars</x:v>
      </x:c>
      <x:c r="E9" s="26" t="str">
        <x:v>By 2000</x:v>
      </x:c>
      <x:c r="F9" s="26" t="str">
        <x:v>Founder interview</x:v>
      </x:c>
      <x:c r="G9" s="26" t="str">
        <x:v>HIGH</x:v>
      </x:c>
      <x:c r="H9" s="26" t="str">
        <x:v>Model-year coverage not universalized.</x:v>
      </x:c>
      <x:c r="I9" s="26" t="str">
        <x:v>https://bmxultra.com/archive/prosection/interview/harryleary.htm</x:v>
      </x:c>
      <x:c r="J9" s="26" t="str">
        <x:v>Publish dated</x:v>
      </x:c>
    </x:row>
    <x:row r="10" ht="76" customHeight="1">
      <x:c r="A10" s="26" t="str">
        <x:v>V14-REL-006</x:v>
      </x:c>
      <x:c r="B10" s="26" t="str">
        <x:v>DIRTWERX</x:v>
      </x:c>
      <x:c r="C10" s="26" t="str">
        <x:v>SOLD THROUGH</x:v>
      </x:c>
      <x:c r="D10" s="26" t="str">
        <x:v>Dan's, bike shops and direct sales</x:v>
      </x:c>
      <x:c r="E10" s="26" t="str">
        <x:v>2000</x:v>
      </x:c>
      <x:c r="F10" s="26" t="str">
        <x:v>Founder interview</x:v>
      </x:c>
      <x:c r="G10" s="26" t="str">
        <x:v>HIGH</x:v>
      </x:c>
      <x:c r="H10" s="26" t="str">
        <x:v>Dated operating snapshot.</x:v>
      </x:c>
      <x:c r="I10" s="26" t="str">
        <x:v>https://bmxultra.com/archive/prosection/interview/harryleary.htm</x:v>
      </x:c>
      <x:c r="J10" s="26" t="str">
        <x:v>Publish dated</x:v>
      </x:c>
    </x:row>
    <x:row r="11" ht="76" customHeight="1">
      <x:c r="A11" s="26" t="str">
        <x:v>V14-REL-007</x:v>
      </x:c>
      <x:c r="B11" s="26" t="str">
        <x:v>DIRTWERX</x:v>
      </x:c>
      <x:c r="C11" s="26" t="str">
        <x:v>EXPORTED TO</x:v>
      </x:c>
      <x:c r="D11" s="26" t="str">
        <x:v>Japan, France, Mexico, Brazil and Singapore</x:v>
      </x:c>
      <x:c r="E11" s="26" t="str">
        <x:v>2000</x:v>
      </x:c>
      <x:c r="F11" s="26" t="str">
        <x:v>Founder interview</x:v>
      </x:c>
      <x:c r="G11" s="26" t="str">
        <x:v>HIGH</x:v>
      </x:c>
      <x:c r="H11" s="26" t="str">
        <x:v>Volume and distributors unknown.</x:v>
      </x:c>
      <x:c r="I11" s="26" t="str">
        <x:v>https://bmxultra.com/archive/prosection/interview/harryleary.htm</x:v>
      </x:c>
      <x:c r="J11" s="26" t="str">
        <x:v>Publish attributed</x:v>
      </x:c>
    </x:row>
    <x:row r="12" ht="76" customHeight="1">
      <x:c r="A12" s="26" t="str">
        <x:v>V14-REL-008</x:v>
      </x:c>
      <x:c r="B12" s="26" t="str">
        <x:v>DIRTWERX team</x:v>
      </x:c>
      <x:c r="C12" s="26" t="str">
        <x:v>BASED AT</x:v>
      </x:c>
      <x:c r="D12" s="26" t="str">
        <x:v>Sycamore BMX, Simi Valley</x:v>
      </x:c>
      <x:c r="E12" s="26" t="str">
        <x:v>2000</x:v>
      </x:c>
      <x:c r="F12" s="26" t="str">
        <x:v>Founder interview</x:v>
      </x:c>
      <x:c r="G12" s="26" t="str">
        <x:v>HIGH</x:v>
      </x:c>
      <x:c r="H12" s="26" t="str">
        <x:v>Roster phase limited to March 2000.</x:v>
      </x:c>
      <x:c r="I12" s="26" t="str">
        <x:v>https://bmxultra.com/archive/prosection/interview/harryleary.htm</x:v>
      </x:c>
      <x:c r="J12" s="26" t="str">
        <x:v>Publish dated</x:v>
      </x:c>
    </x:row>
    <x:row r="13" ht="76" customHeight="1">
      <x:c r="A13" s="26" t="str">
        <x:v>V14-REL-009</x:v>
      </x:c>
      <x:c r="B13" s="26" t="str">
        <x:v>Joan and Tony Nigro</x:v>
      </x:c>
      <x:c r="C13" s="26" t="str">
        <x:v>OWNED / OPERATED</x:v>
      </x:c>
      <x:c r="D13" s="26" t="str">
        <x:v>Sycamore BMX</x:v>
      </x:c>
      <x:c r="E13" s="26" t="str">
        <x:v>2000 account</x:v>
      </x:c>
      <x:c r="F13" s="26" t="str">
        <x:v>Founder interview</x:v>
      </x:c>
      <x:c r="G13" s="26" t="str">
        <x:v>MEDIUM-HIGH</x:v>
      </x:c>
      <x:c r="H13" s="26" t="str">
        <x:v>Legal ownership dates need track records.</x:v>
      </x:c>
      <x:c r="I13" s="26" t="str">
        <x:v>https://bmxultra.com/archive/prosection/interview/harryleary.htm</x:v>
      </x:c>
      <x:c r="J13" s="26" t="str">
        <x:v>Publish attributed</x:v>
      </x:c>
    </x:row>
    <x:row r="14" ht="76" customHeight="1">
      <x:c r="A14" s="26" t="str">
        <x:v>V14-REL-010</x:v>
      </x:c>
      <x:c r="B14" s="26" t="str">
        <x:v>DIRTWERX</x:v>
      </x:c>
      <x:c r="C14" s="26" t="str">
        <x:v>SPONSORED</x:v>
      </x:c>
      <x:c r="D14" s="26" t="str">
        <x:v>Harry Leary</x:v>
      </x:c>
      <x:c r="E14" s="26" t="str">
        <x:v>2000</x:v>
      </x:c>
      <x:c r="F14" s="26" t="str">
        <x:v>Founder interview</x:v>
      </x:c>
      <x:c r="G14" s="26" t="str">
        <x:v>HIGH</x:v>
      </x:c>
      <x:c r="H14" s="26" t="str">
        <x:v>Leary listed DIRTWERX among his then-current sponsors.</x:v>
      </x:c>
      <x:c r="I14" s="26" t="str">
        <x:v>https://bmxultra.com/archive/prosection/interview/harryleary.htm</x:v>
      </x:c>
      <x:c r="J14" s="26" t="str">
        <x:v>Publish dated</x:v>
      </x:c>
    </x:row>
    <x:row r="15" ht="76" customHeight="1">
      <x:c r="A15" s="26" t="str">
        <x:v>V14-REL-011</x:v>
      </x:c>
      <x:c r="B15" s="26" t="str">
        <x:v>Greg Hill</x:v>
      </x:c>
      <x:c r="C15" s="26" t="str">
        <x:v>FOUNDED / OPERATED</x:v>
      </x:c>
      <x:c r="D15" s="26" t="str">
        <x:v>Greg Hill Products</x:v>
      </x:c>
      <x:c r="E15" s="26" t="str">
        <x:v>1983</x:v>
      </x:c>
      <x:c r="F15" s="26" t="str">
        <x:v>Period sources</x:v>
      </x:c>
      <x:c r="G15" s="26" t="str">
        <x:v>HIGH</x:v>
      </x:c>
      <x:c r="H15" s="26" t="str">
        <x:v>Exact legal title/filing open.</x:v>
      </x:c>
      <x:c r="I15" s="26" t="str">
        <x:v>https://previouspage.co.uk/magazines/BMX%20Action%20Bike/issues/194-february-nineteen-eighty-four</x:v>
      </x:c>
      <x:c r="J15" s="26" t="str">
        <x:v>Publish period-verified</x:v>
      </x:c>
    </x:row>
    <x:row r="16" ht="76" customHeight="1">
      <x:c r="A16" s="26" t="str">
        <x:v>V14-REL-012</x:v>
      </x:c>
      <x:c r="B16" s="26" t="str">
        <x:v>Greg Hill</x:v>
      </x:c>
      <x:c r="C16" s="26" t="str">
        <x:v>TRANSITIONED FROM</x:v>
      </x:c>
      <x:c r="D16" s="26" t="str">
        <x:v>GT to GHP</x:v>
      </x:c>
      <x:c r="E16" s="26" t="str">
        <x:v>1983</x:v>
      </x:c>
      <x:c r="F16" s="26" t="str">
        <x:v>Period magazine</x:v>
      </x:c>
      <x:c r="G16" s="26" t="str">
        <x:v>HIGH</x:v>
      </x:c>
      <x:c r="H16" s="26" t="str">
        <x:v>Exact contract effective date open.</x:v>
      </x:c>
      <x:c r="I16" s="26" t="str">
        <x:v>https://previouspage.co.uk/magazines/BMX%20Action%20Bike/issues/85-october-nineteen-eighty-three</x:v>
      </x:c>
      <x:c r="J16" s="26" t="str">
        <x:v>Publish period-verified</x:v>
      </x:c>
    </x:row>
    <x:row r="17" ht="76" customHeight="1">
      <x:c r="A17" s="26" t="str">
        <x:v>V14-REL-013</x:v>
      </x:c>
      <x:c r="B17" s="26" t="str">
        <x:v>Greg Hill Products</x:v>
      </x:c>
      <x:c r="C17" s="26" t="str">
        <x:v>PUBLISHED</x:v>
      </x:c>
      <x:c r="D17" s="26" t="str">
        <x:v>Greg Hill's Professional BMX Skills</x:v>
      </x:c>
      <x:c r="E17" s="26" t="str">
        <x:v>1983</x:v>
      </x:c>
      <x:c r="F17" s="26" t="str">
        <x:v>Bibliographic record</x:v>
      </x:c>
      <x:c r="G17" s="26" t="str">
        <x:v>HIGH</x:v>
      </x:c>
      <x:c r="H17" s="26" t="str">
        <x:v>Edition/contents not yet inspected.</x:v>
      </x:c>
      <x:c r="I17" s="26" t="str">
        <x:v>https://books.google.com/books/about/Greg_Hill_s_Professional_BMX_Skills.html?id=tU_dtgAACAAJ</x:v>
      </x:c>
      <x:c r="J17" s="26" t="str">
        <x:v>Publish bibliography</x:v>
      </x:c>
    </x:row>
    <x:row r="18" ht="76" customHeight="1">
      <x:c r="A18" s="26" t="str">
        <x:v>V14-REL-014</x:v>
      </x:c>
      <x:c r="B18" s="26" t="str">
        <x:v>West Coast Cycle</x:v>
      </x:c>
      <x:c r="C18" s="26" t="str">
        <x:v>DISTRIBUTED</x:v>
      </x:c>
      <x:c r="D18" s="26" t="str">
        <x:v>GHP and Greg Hill CyclePro products</x:v>
      </x:c>
      <x:c r="E18" s="26" t="str">
        <x:v>June 1984</x:v>
      </x:c>
      <x:c r="F18" s="26" t="str">
        <x:v>Period advertisement</x:v>
      </x:c>
      <x:c r="G18" s="26" t="str">
        <x:v>HIGH</x:v>
      </x:c>
      <x:c r="H18" s="26" t="str">
        <x:v>Territory and term limited to the ad.</x:v>
      </x:c>
      <x:c r="I18" s="26" t="str">
        <x:v>https://previouspage.co.uk/magazines/BMX%20Action/issues/54-june-nineteen-eighty-four</x:v>
      </x:c>
      <x:c r="J18" s="26" t="str">
        <x:v>Publish dated</x:v>
      </x:c>
    </x:row>
    <x:row r="19" ht="76" customHeight="1">
      <x:c r="A19" s="26" t="str">
        <x:v>V14-REL-015</x:v>
      </x:c>
      <x:c r="B19" s="26" t="str">
        <x:v>CyclePro</x:v>
      </x:c>
      <x:c r="C19" s="26" t="str">
        <x:v>TEAM / MARKETING ASSOCIATION</x:v>
      </x:c>
      <x:c r="D19" s="26" t="str">
        <x:v>GHP</x:v>
      </x:c>
      <x:c r="E19" s="26" t="str">
        <x:v>1984</x:v>
      </x:c>
      <x:c r="F19" s="26" t="str">
        <x:v>Period sources</x:v>
      </x:c>
      <x:c r="G19" s="26" t="str">
        <x:v>MEDIUM-HIGH</x:v>
      </x:c>
      <x:c r="H19" s="26" t="str">
        <x:v>Manufacturing/ownership split unresolved.</x:v>
      </x:c>
      <x:c r="I19" s="26" t="str">
        <x:v>https://previouspage.co.uk/magazines/BMX%20Action/issues/54-june-nineteen-eighty-four</x:v>
      </x:c>
      <x:c r="J19" s="26" t="str">
        <x:v>Publish qualified</x:v>
      </x:c>
    </x:row>
    <x:row r="20" ht="76" customHeight="1">
      <x:c r="A20" s="26" t="str">
        <x:v>V14-REL-016</x:v>
      </x:c>
      <x:c r="B20" s="26" t="str">
        <x:v>Matt Hadan</x:v>
      </x:c>
      <x:c r="C20" s="26" t="str">
        <x:v>RODE FOR</x:v>
      </x:c>
      <x:c r="D20" s="26" t="str">
        <x:v>CyclePro/GHP team</x:v>
      </x:c>
      <x:c r="E20" s="26" t="str">
        <x:v>1984</x:v>
      </x:c>
      <x:c r="F20" s="26" t="str">
        <x:v>Period report</x:v>
      </x:c>
      <x:c r="G20" s="26" t="str">
        <x:v>MEDIUM-HIGH</x:v>
      </x:c>
      <x:c r="H20" s="26" t="str">
        <x:v>Full term and roster open.</x:v>
      </x:c>
      <x:c r="I20" s="26" t="str">
        <x:v>https://previouspage.co.uk/magazines/BMX%20Action/issues/54-june-nineteen-eighty-four</x:v>
      </x:c>
      <x:c r="J20" s="26" t="str">
        <x:v>Publish qualified</x:v>
      </x:c>
    </x:row>
    <x:row r="21" ht="76" customHeight="1">
      <x:c r="A21" s="26" t="str">
        <x:v>V14-REL-017</x:v>
      </x:c>
      <x:c r="B21" s="26" t="str">
        <x:v>GHP</x:v>
      </x:c>
      <x:c r="C21" s="26" t="str">
        <x:v>PRODUCT CLASS</x:v>
      </x:c>
      <x:c r="D21" s="26" t="str">
        <x:v>Frames and handlebars</x:v>
      </x:c>
      <x:c r="E21" s="26" t="str">
        <x:v>2012 snapshot</x:v>
      </x:c>
      <x:c r="F21" s="26" t="str">
        <x:v>Official USA BMX profile</x:v>
      </x:c>
      <x:c r="G21" s="26" t="str">
        <x:v>HIGH</x:v>
      </x:c>
      <x:c r="H21" s="26" t="str">
        <x:v>Does not date individual Lititz objects.</x:v>
      </x:c>
      <x:c r="I21" s="26" t="str">
        <x:v>https://www.usabmx.com/news-and-media/6/2012-04-26/Greg-Hill-Products?id=203</x:v>
      </x:c>
      <x:c r="J21" s="26" t="str">
        <x:v>Publish dated</x:v>
      </x:c>
    </x:row>
    <x:row r="22" ht="76" customHeight="1">
      <x:c r="A22" s="26" t="str">
        <x:v>V14-REL-018</x:v>
      </x:c>
      <x:c r="B22" s="26" t="str">
        <x:v>Lititz artifact 26.0022</x:v>
      </x:c>
      <x:c r="C22" s="26" t="str">
        <x:v>SEPARATE OBJECT FROM</x:v>
      </x:c>
      <x:c r="D22" s="26" t="str">
        <x:v>Lititz artifact 26.0026</x:v>
      </x:c>
      <x:c r="E22" s="26" t="str">
        <x:v>Current collection</x:v>
      </x:c>
      <x:c r="F22" s="26" t="str">
        <x:v>Inventory ID structure</x:v>
      </x:c>
      <x:c r="G22" s="26" t="str">
        <x:v>HIGH</x:v>
      </x:c>
      <x:c r="H22" s="26" t="str">
        <x:v>Must never merge their evidence/provenance.</x:v>
      </x:c>
      <x:c r="I22" s="26" t="str">
        <x:v>https://sites.google.com/view/lititzbmxinventorylist/</x:v>
      </x:c>
      <x:c r="J22" s="26" t="str">
        <x:v>Publish</x:v>
      </x:c>
    </x:row>
    <x:row r="23" ht="76" customHeight="1">
      <x:c r="A23" s="26" t="str">
        <x:v>V14-REL-019</x:v>
      </x:c>
      <x:c r="B23" s="26" t="str">
        <x:v>Lititz artifact 26.0045</x:v>
      </x:c>
      <x:c r="C23" s="26" t="str">
        <x:v>CURRENTLY PAIRED WITH</x:v>
      </x:c>
      <x:c r="D23" s="26" t="str">
        <x:v>Number 15 plate</x:v>
      </x:c>
      <x:c r="E23" s="26" t="str">
        <x:v>Current collection</x:v>
      </x:c>
      <x:c r="F23" s="26" t="str">
        <x:v>Inventory record</x:v>
      </x:c>
      <x:c r="G23" s="26" t="str">
        <x:v>HIGH for present pairing</x:v>
      </x:c>
      <x:c r="H23" s="26" t="str">
        <x:v>Historical use together is unverified.</x:v>
      </x:c>
      <x:c r="I23" s="26" t="str">
        <x:v>https://sites.google.com/view/lititzbmxinventorylist/home/26-0045</x:v>
      </x:c>
      <x:c r="J23" s="26" t="str">
        <x:v>Publish qualified</x:v>
      </x:c>
    </x:row>
    <x:row r="24" ht="76" customHeight="1">
      <x:c r="A24" s="26" t="str">
        <x:v>V14-REL-020</x:v>
      </x:c>
      <x:c r="B24" s="26" t="str">
        <x:v>BMXMuseum record 121233</x:v>
      </x:c>
      <x:c r="C24" s="26" t="str">
        <x:v>CATEGORY</x:v>
      </x:c>
      <x:c r="D24" s="26" t="str">
        <x:v>GHP submitted bike</x:v>
      </x:c>
      <x:c r="E24" s="26" t="str">
        <x:v>Public exact link</x:v>
      </x:c>
      <x:c r="F24" s="26" t="str">
        <x:v>Public link</x:v>
      </x:c>
      <x:c r="G24" s="26" t="str">
        <x:v>HIGH for object identity</x:v>
      </x:c>
      <x:c r="H24" s="26" t="str">
        <x:v>Model/year/originality open.</x:v>
      </x:c>
      <x:c r="I24" s="26" t="str">
        <x:v>https://www.bmxmuseum.com/bikes/ghp/121233</x:v>
      </x:c>
      <x:c r="J24" s="26" t="str">
        <x:v>Index and link</x:v>
      </x:c>
    </x:row>
  </x:sheetData>
  <x:mergeCells>
    <x:mergeCell ref="A1:J1"/>
    <x:mergeCell ref="A2:J2"/>
  </x:mergeCells>
  <x:pageMargins left="0.7" right="0.7" top="0.75" bottom="0.75" header="0.3" footer="0.3"/>
  <x:tableParts count="1">
    <x:tablePart xmlns:r="http://schemas.openxmlformats.org/officeDocument/2006/relationships" r:id="Rbca2659ef4e64798"/>
  </x:tableParts>
</x:worksheet>
</file>

<file path=xl/worksheets/sheet85.xml><?xml version="1.0" encoding="utf-8"?>
<x:worksheet xmlns:x="http://schemas.openxmlformats.org/spreadsheetml/2006/main">
  <x:sheetFormatPr defaultRowHeight="15"/>
  <x:cols>
    <x:col min="1" max="1" width="16" hidden="0" customWidth="1"/>
    <x:col min="2" max="2" width="28" hidden="0" customWidth="1"/>
    <x:col min="3" max="3" width="48" hidden="0" customWidth="1"/>
    <x:col min="4" max="4" width="55" hidden="0" customWidth="1"/>
    <x:col min="5" max="5" width="62" hidden="0" customWidth="1"/>
    <x:col min="6" max="6" width="16" hidden="0" customWidth="1"/>
    <x:col min="7" max="7" width="24" hidden="0" customWidth="1"/>
    <x:col min="8" max="8" width="48" hidden="0" customWidth="1"/>
  </x:cols>
  <x:sheetData>
    <x:row r="1" ht="30" customHeight="1">
      <x:c r="A1" s="544" t="str">
        <x:v>v1.4 Corrections and Public-Wording Lock</x:v>
      </x:c>
      <x:c r="B1" s="544"/>
      <x:c r="C1" s="544"/>
      <x:c r="D1" s="544"/>
      <x:c r="E1" s="544"/>
      <x:c r="F1" s="544"/>
      <x:c r="G1" s="544"/>
      <x:c r="H1" s="544"/>
    </x:row>
    <x:row r="2" ht="30" customHeight="1">
      <x:c r="A2" s="549" t="str">
        <x:v>These corrections are substantive. They prevent anachronistic DIRTWERX dating, unsupported manufacturing claims, merged artifacts and overstatement of personal or corporate relationships.</x:v>
      </x:c>
      <x:c r="B2" s="549"/>
      <x:c r="C2" s="549"/>
      <x:c r="D2" s="549"/>
      <x:c r="E2" s="549"/>
      <x:c r="F2" s="549"/>
      <x:c r="G2" s="549"/>
      <x:c r="H2" s="549"/>
    </x:row>
    <x:row r="4">
      <x:c r="A4" s="554" t="str">
        <x:v>Correction ID</x:v>
      </x:c>
      <x:c r="B4" s="554" t="str">
        <x:v>Artifact / Record</x:v>
      </x:c>
      <x:c r="C4" s="554" t="str">
        <x:v>Existing or Risky Wording</x:v>
      </x:c>
      <x:c r="D4" s="554" t="str">
        <x:v>Audit Finding</x:v>
      </x:c>
      <x:c r="E4" s="554" t="str">
        <x:v>Locked Replacement Wording</x:v>
      </x:c>
      <x:c r="F4" s="554" t="str">
        <x:v>Severity</x:v>
      </x:c>
      <x:c r="G4" s="554" t="str">
        <x:v>Status</x:v>
      </x:c>
      <x:c r="H4" s="554" t="str">
        <x:v>Required Follow-up</x:v>
      </x:c>
    </x:row>
    <x:row r="5" ht="92" customHeight="1">
      <x:c r="A5" s="26" t="str">
        <x:v>V14-COR-001</x:v>
      </x:c>
      <x:c r="B5" s="26" t="str">
        <x:v>26.0062 DIRTWERX Helmet</x:v>
      </x:c>
      <x:c r="C5" s="26" t="str">
        <x:v>DIRTWERX was a premier custom paint and helmet provider during the 1980s.</x:v>
      </x:c>
      <x:c r="D5" s="26" t="str">
        <x:v>DIRTWERX formation/launch evidence begins around 1995–1996; no source supports an 1980s helmet-paint business.</x:v>
      </x:c>
      <x:c r="E5" s="26" t="str">
        <x:v>Harry Leary DIRTWERX-branded helmet; manufacturer, decorator, date and exact use remain under authentication.</x:v>
      </x:c>
      <x:c r="F5" s="26" t="str">
        <x:v>CRITICAL</x:v>
      </x:c>
      <x:c r="G5" s="26" t="str">
        <x:v>LOCKED CORRECTION</x:v>
      </x:c>
      <x:c r="H5" s="26" t="str">
        <x:v>Update public inventory description when convenient; inspect maker labels.</x:v>
      </x:c>
    </x:row>
    <x:row r="6" ht="92" customHeight="1">
      <x:c r="A6" s="26" t="str">
        <x:v>V14-COR-002</x:v>
      </x:c>
      <x:c r="B6" s="26" t="str">
        <x:v>26.0063 DIRTWERX Jersey</x:v>
      </x:c>
      <x:c r="C6" s="26" t="str">
        <x:v>Late-1980s/early-1990s DIRTWERX factory-team jersey; authentic race-worn.</x:v>
      </x:c>
      <x:c r="D6" s="26" t="str">
        <x:v>The date predates the supported company timeline. Branding/object exists, but maker, issue status and race use are not proven.</x:v>
      </x:c>
      <x:c r="E6" s="26" t="str">
        <x:v>Harry Leary DIRTWERX-branded jersey from the Leary Locker; production date, manufacturer and race-use history remain open.</x:v>
      </x:c>
      <x:c r="F6" s="26" t="str">
        <x:v>CRITICAL</x:v>
      </x:c>
      <x:c r="G6" s="26" t="str">
        <x:v>LOCKED CORRECTION</x:v>
      </x:c>
      <x:c r="H6" s="26" t="str">
        <x:v>Update public description; complete textile/provenance capture.</x:v>
      </x:c>
    </x:row>
    <x:row r="7" ht="92" customHeight="1">
      <x:c r="A7" s="26" t="str">
        <x:v>V14-COR-003</x:v>
      </x:c>
      <x:c r="B7" s="26" t="str">
        <x:v>DIRTWERX founding</x:v>
      </x:c>
      <x:c r="C7" s="26" t="str">
        <x:v>Founded in 1996 as a single exact date.</x:v>
      </x:c>
      <x:c r="D7" s="26" t="str">
        <x:v>1997 reporting implies formation around 1995; Leary said the business basically started in 1996.</x:v>
      </x:c>
      <x:c r="E7" s="26" t="str">
        <x:v>DIRTWERX formed around 1995 and began practical operations around 1996; the exact legal founding date remains unresolved.</x:v>
      </x:c>
      <x:c r="F7" s="26" t="str">
        <x:v>HIGH</x:v>
      </x:c>
      <x:c r="G7" s="26" t="str">
        <x:v>LOCKED QUALIFICATION</x:v>
      </x:c>
      <x:c r="H7" s="26" t="str">
        <x:v>Seek filing, first invoice and first advertisement.</x:v>
      </x:c>
    </x:row>
    <x:row r="8" ht="92" customHeight="1">
      <x:c r="A8" s="26" t="str">
        <x:v>V14-COR-004</x:v>
      </x:c>
      <x:c r="B8" s="26" t="str">
        <x:v>26.0022 / 26.0026 GHP jerseys</x:v>
      </x:c>
      <x:c r="C8" s="26" t="str">
        <x:v>Treating the collection as containing one GHP jersey.</x:v>
      </x:c>
      <x:c r="D8" s="26" t="str">
        <x:v>The inventory assigns two separate artifact IDs and descriptions.</x:v>
      </x:c>
      <x:c r="E8" s="26" t="str">
        <x:v>26.0022 and 26.0026 are two distinct GHP jerseys and require independent photography, provenance and identification.</x:v>
      </x:c>
      <x:c r="F8" s="26" t="str">
        <x:v>HIGH</x:v>
      </x:c>
      <x:c r="G8" s="26" t="str">
        <x:v>LOCKED CORRECTION</x:v>
      </x:c>
      <x:c r="H8" s="26" t="str">
        <x:v>Add second jersey tasks to physical roadmap.</x:v>
      </x:c>
    </x:row>
    <x:row r="9" ht="92" customHeight="1">
      <x:c r="A9" s="26" t="str">
        <x:v>V14-COR-005</x:v>
      </x:c>
      <x:c r="B9" s="26" t="str">
        <x:v>26.0045 GHP bars/plate</x:v>
      </x:c>
      <x:c r="C9" s="26" t="str">
        <x:v>Implying number 15 belongs to Greg Hill or Harry Leary.</x:v>
      </x:c>
      <x:c r="D9" s="26" t="str">
        <x:v>No recovered source identifies the rider or original use of the plate.</x:v>
      </x:c>
      <x:c r="E9" s="26" t="str">
        <x:v>The number 15 plate is presently paired with GHP cruiser bars; rider and historical use are unresolved.</x:v>
      </x:c>
      <x:c r="F9" s="26" t="str">
        <x:v>HIGH</x:v>
      </x:c>
      <x:c r="G9" s="26" t="str">
        <x:v>LOCKED QUALIFICATION</x:v>
      </x:c>
      <x:c r="H9" s="26" t="str">
        <x:v>Capture plate reverse and seek event photographs/provenance.</x:v>
      </x:c>
    </x:row>
    <x:row r="10" ht="92" customHeight="1">
      <x:c r="A10" s="26" t="str">
        <x:v>V14-COR-006</x:v>
      </x:c>
      <x:c r="B10" s="26" t="str">
        <x:v>Greg Hill / DIRTWERX</x:v>
      </x:c>
      <x:c r="C10" s="26" t="str">
        <x:v>Calling Greg Hill a DIRTWERX founder or business partner.</x:v>
      </x:c>
      <x:c r="D10" s="26" t="str">
        <x:v>Leary credits Hill with encouragement; no ownership or founder role is supported.</x:v>
      </x:c>
      <x:c r="E10" s="26" t="str">
        <x:v>Greg Hill was a friend and source of encouragement when Leary started DIRTWERX.</x:v>
      </x:c>
      <x:c r="F10" s="26" t="str">
        <x:v>HIGH</x:v>
      </x:c>
      <x:c r="G10" s="26" t="str">
        <x:v>LOCKED QUALIFICATION</x:v>
      </x:c>
      <x:c r="H10" s="26" t="str">
        <x:v>Seek Hill first-person corroboration.</x:v>
      </x:c>
    </x:row>
    <x:row r="11" ht="92" customHeight="1">
      <x:c r="A11" s="26" t="str">
        <x:v>V14-COR-007</x:v>
      </x:c>
      <x:c r="B11" s="26" t="str">
        <x:v>GHP / CyclePro / West Coast Cycle</x:v>
      </x:c>
      <x:c r="C11" s="26" t="str">
        <x:v>Collapsing the three names into one manufacturer/company.</x:v>
      </x:c>
      <x:c r="D11" s="26" t="str">
        <x:v>Period evidence establishes team, product and distribution relationships but not the full manufacturing or ownership structure.</x:v>
      </x:c>
      <x:c r="E11" s="26" t="str">
        <x:v>In 1984, CyclePro/GHP products and team branding were commercially connected, with West Coast Cycle identified as distributor; manufacturing and ownership roles remain open.</x:v>
      </x:c>
      <x:c r="F11" s="26" t="str">
        <x:v>MEDIUM-HIGH</x:v>
      </x:c>
      <x:c r="G11" s="26" t="str">
        <x:v>LOCKED QUALIFICATION</x:v>
      </x:c>
      <x:c r="H11" s="26" t="str">
        <x:v>Recover catalogs, tests and corporate records.</x:v>
      </x:c>
    </x:row>
  </x:sheetData>
  <x:mergeCells>
    <x:mergeCell ref="A1:H1"/>
    <x:mergeCell ref="A2:H2"/>
  </x:mergeCells>
  <x:conditionalFormatting sqref="F5:F11">
    <x:cfRule type="expression" dxfId="43" priority="1">
      <x:formula>F5="CRITICAL"</x:formula>
    </x:cfRule>
  </x:conditionalFormatting>
  <x:pageMargins left="0.7" right="0.7" top="0.75" bottom="0.75" header="0.3" footer="0.3"/>
  <x:tableParts count="1">
    <x:tablePart xmlns:r="http://schemas.openxmlformats.org/officeDocument/2006/relationships" r:id="R1a2778c3fdd84f85"/>
  </x:tableParts>
</x:worksheet>
</file>

<file path=xl/worksheets/sheet86.xml><?xml version="1.0" encoding="utf-8"?>
<x:worksheet xmlns:x="http://schemas.openxmlformats.org/spreadsheetml/2006/main">
  <x:sheetFormatPr defaultRowHeight="15"/>
  <x:cols>
    <x:col min="1" max="1" width="16" hidden="0" customWidth="1"/>
    <x:col min="2" max="2" width="18" hidden="0" customWidth="1"/>
    <x:col min="3" max="3" width="50" hidden="0" customWidth="1"/>
    <x:col min="4" max="4" width="42" hidden="0" customWidth="1"/>
    <x:col min="5" max="5" width="52" hidden="0" customWidth="1"/>
    <x:col min="6" max="6" width="12" hidden="0" customWidth="1"/>
    <x:col min="7" max="7" width="30" hidden="0" customWidth="1"/>
    <x:col min="8" max="8" width="32" hidden="0" customWidth="1"/>
    <x:col min="9" max="9" width="18" hidden="0" customWidth="1"/>
  </x:cols>
  <x:sheetData>
    <x:row r="1" ht="30" customHeight="1">
      <x:c r="A1" s="544" t="str">
        <x:v>v1.4 Priority Open Questions</x:v>
      </x:c>
      <x:c r="B1" s="544"/>
      <x:c r="C1" s="544"/>
      <x:c r="D1" s="544"/>
      <x:c r="E1" s="544"/>
      <x:c r="F1" s="544"/>
      <x:c r="G1" s="544"/>
      <x:c r="H1" s="544"/>
      <x:c r="I1" s="544"/>
    </x:row>
    <x:row r="2" ht="30" customHeight="1">
      <x:c r="A2" s="549" t="str">
        <x:v>Questions are actionable and divided between permission-free online recovery and the existing physical evidence roadmap. None requires special BMXMuseum access at this stage.</x:v>
      </x:c>
      <x:c r="B2" s="549"/>
      <x:c r="C2" s="549"/>
      <x:c r="D2" s="549"/>
      <x:c r="E2" s="549"/>
      <x:c r="F2" s="549"/>
      <x:c r="G2" s="549"/>
      <x:c r="H2" s="549"/>
      <x:c r="I2" s="549"/>
    </x:row>
    <x:row r="4">
      <x:c r="A4" s="554" t="str">
        <x:v>Question ID</x:v>
      </x:c>
      <x:c r="B4" s="554" t="str">
        <x:v>Cluster</x:v>
      </x:c>
      <x:c r="C4" s="554" t="str">
        <x:v>Open Question</x:v>
      </x:c>
      <x:c r="D4" s="554" t="str">
        <x:v>Why It Matters</x:v>
      </x:c>
      <x:c r="E4" s="554" t="str">
        <x:v>Evidence Needed</x:v>
      </x:c>
      <x:c r="F4" s="554" t="str">
        <x:v>Priority</x:v>
      </x:c>
      <x:c r="G4" s="554" t="str">
        <x:v>Route</x:v>
      </x:c>
      <x:c r="H4" s="554" t="str">
        <x:v>Physical Roadmap Link</x:v>
      </x:c>
      <x:c r="I4" s="554" t="str">
        <x:v>Status</x:v>
      </x:c>
    </x:row>
    <x:row r="5" ht="76" customHeight="1">
      <x:c r="A5" s="26" t="str">
        <x:v>V14-Q-001</x:v>
      </x:c>
      <x:c r="B5" s="26" t="str">
        <x:v>DIRTWERX</x:v>
      </x:c>
      <x:c r="C5" s="26" t="str">
        <x:v>What is the exact legal founding date and entity name?</x:v>
      </x:c>
      <x:c r="D5" s="26" t="str">
        <x:v>Closes the 1995 formation / 1996 launch distinction.</x:v>
      </x:c>
      <x:c r="E5" s="26" t="str">
        <x:v>Business filing, first invoice, tax record or dated founder document.</x:v>
      </x:c>
      <x:c r="F5" s="26" t="str">
        <x:v>P1</x:v>
      </x:c>
      <x:c r="G5" s="26" t="str">
        <x:v>Public records / period documents</x:v>
      </x:c>
      <x:c r="H5" s="26" t="str">
        <x:v>None</x:v>
      </x:c>
      <x:c r="I5" s="26" t="str">
        <x:v>OPEN</x:v>
      </x:c>
    </x:row>
    <x:row r="6" ht="76" customHeight="1">
      <x:c r="A6" s="26" t="str">
        <x:v>V14-Q-002</x:v>
      </x:c>
      <x:c r="B6" s="26" t="str">
        <x:v>DIRTWERX</x:v>
      </x:c>
      <x:c r="C6" s="26" t="str">
        <x:v>What appears in the May–June 1996 Snap interview?</x:v>
      </x:c>
      <x:c r="D6" s="26" t="str">
        <x:v>May provide the earliest first-person company/product account.</x:v>
      </x:c>
      <x:c r="E6" s="26" t="str">
        <x:v>Lawfully accessible issue pages and bibliographic metadata.</x:v>
      </x:c>
      <x:c r="F6" s="26" t="str">
        <x:v>P0</x:v>
      </x:c>
      <x:c r="G6" s="26" t="str">
        <x:v>Period publication recovery</x:v>
      </x:c>
      <x:c r="H6" s="26" t="str">
        <x:v>None</x:v>
      </x:c>
      <x:c r="I6" s="26" t="str">
        <x:v>OPEN</x:v>
      </x:c>
    </x:row>
    <x:row r="7" ht="76" customHeight="1">
      <x:c r="A7" s="26" t="str">
        <x:v>V14-Q-003</x:v>
      </x:c>
      <x:c r="B7" s="26" t="str">
        <x:v>DIRTWERX</x:v>
      </x:c>
      <x:c r="C7" s="26" t="str">
        <x:v>What appears in the Sept–Oct 1996 Snap product evaluation?</x:v>
      </x:c>
      <x:c r="D7" s="26" t="str">
        <x:v>Could establish early models, geometry, pricing and construction.</x:v>
      </x:c>
      <x:c r="E7" s="26" t="str">
        <x:v>Issue page, test text and advertisements.</x:v>
      </x:c>
      <x:c r="F7" s="26" t="str">
        <x:v>P0</x:v>
      </x:c>
      <x:c r="G7" s="26" t="str">
        <x:v>Period publication recovery</x:v>
      </x:c>
      <x:c r="H7" s="26" t="str">
        <x:v>None</x:v>
      </x:c>
      <x:c r="I7" s="26" t="str">
        <x:v>OPEN</x:v>
      </x:c>
    </x:row>
    <x:row r="8" ht="76" customHeight="1">
      <x:c r="A8" s="26" t="str">
        <x:v>V14-Q-004</x:v>
      </x:c>
      <x:c r="B8" s="26" t="str">
        <x:v>DIRTWERX</x:v>
      </x:c>
      <x:c r="C8" s="26" t="str">
        <x:v>What does PR12 mean?</x:v>
      </x:c>
      <x:c r="D8" s="26" t="str">
        <x:v>Controls artifact 26.0047 interpretation.</x:v>
      </x:c>
      <x:c r="E8" s="26" t="str">
        <x:v>Markings, builder statement, period source or another named example.</x:v>
      </x:c>
      <x:c r="F8" s="26" t="str">
        <x:v>P0</x:v>
      </x:c>
      <x:c r="G8" s="26" t="str">
        <x:v>Artifact + public research</x:v>
      </x:c>
      <x:c r="H8" s="26" t="str">
        <x:v>PHYS-PR12</x:v>
      </x:c>
      <x:c r="I8" s="26" t="str">
        <x:v>OPEN</x:v>
      </x:c>
    </x:row>
    <x:row r="9" ht="76" customHeight="1">
      <x:c r="A9" s="26" t="str">
        <x:v>V14-Q-005</x:v>
      </x:c>
      <x:c r="B9" s="26" t="str">
        <x:v>DIRTWERX</x:v>
      </x:c>
      <x:c r="C9" s="26" t="str">
        <x:v>How many PR12 frames existed?</x:v>
      </x:c>
      <x:c r="D9" s="26" t="str">
        <x:v>Controls prototype rarity.</x:v>
      </x:c>
      <x:c r="E9" s="26" t="str">
        <x:v>Production log, builder testimony and known-survivor register.</x:v>
      </x:c>
      <x:c r="F9" s="26" t="str">
        <x:v>P0</x:v>
      </x:c>
      <x:c r="G9" s="26" t="str">
        <x:v>Artifact + network research</x:v>
      </x:c>
      <x:c r="H9" s="26" t="str">
        <x:v>PHYS-PR12</x:v>
      </x:c>
      <x:c r="I9" s="26" t="str">
        <x:v>OPEN</x:v>
      </x:c>
    </x:row>
    <x:row r="10" ht="76" customHeight="1">
      <x:c r="A10" s="26" t="str">
        <x:v>V14-Q-006</x:v>
      </x:c>
      <x:c r="B10" s="26" t="str">
        <x:v>DIRTWERX</x:v>
      </x:c>
      <x:c r="C10" s="26" t="str">
        <x:v>Who fabricated DIRTWERX frames, forks and bars?</x:v>
      </x:c>
      <x:c r="D10" s="26" t="str">
        <x:v>Separates Leary design/ownership from actual manufacturing.</x:v>
      </x:c>
      <x:c r="E10" s="26" t="str">
        <x:v>Builder marks, invoices, interviews and product tests.</x:v>
      </x:c>
      <x:c r="F10" s="26" t="str">
        <x:v>P1</x:v>
      </x:c>
      <x:c r="G10" s="26" t="str">
        <x:v>Public/first-person sources</x:v>
      </x:c>
      <x:c r="H10" s="26" t="str">
        <x:v>PHYS-PR12 / PHYS-DW24</x:v>
      </x:c>
      <x:c r="I10" s="26" t="str">
        <x:v>OPEN</x:v>
      </x:c>
    </x:row>
    <x:row r="11" ht="76" customHeight="1">
      <x:c r="A11" s="26" t="str">
        <x:v>V14-Q-007</x:v>
      </x:c>
      <x:c r="B11" s="26" t="str">
        <x:v>DIRTWERX</x:v>
      </x:c>
      <x:c r="C11" s="26" t="str">
        <x:v>Is 26.0029 related to 24-XL or 24-XXL Stilt?</x:v>
      </x:c>
      <x:c r="D11" s="26" t="str">
        <x:v>Places the cruiser prototype in the product line.</x:v>
      </x:c>
      <x:c r="E11" s="26" t="str">
        <x:v>Geometry, serials, catalog and comparison frames.</x:v>
      </x:c>
      <x:c r="F11" s="26" t="str">
        <x:v>P0</x:v>
      </x:c>
      <x:c r="G11" s="26" t="str">
        <x:v>Artifact comparison</x:v>
      </x:c>
      <x:c r="H11" s="26" t="str">
        <x:v>PHYS-DW24</x:v>
      </x:c>
      <x:c r="I11" s="26" t="str">
        <x:v>OPEN</x:v>
      </x:c>
    </x:row>
    <x:row r="12" ht="76" customHeight="1">
      <x:c r="A12" s="26" t="str">
        <x:v>V14-Q-008</x:v>
      </x:c>
      <x:c r="B12" s="26" t="str">
        <x:v>DIRTWERX</x:v>
      </x:c>
      <x:c r="C12" s="26" t="str">
        <x:v>Were Painkiller, tensioners and three-inch head tube standard across all models?</x:v>
      </x:c>
      <x:c r="D12" s="26" t="str">
        <x:v>Prevents universalizing a 2000 product statement.</x:v>
      </x:c>
      <x:c r="E12" s="26" t="str">
        <x:v>Model-year catalogs and survivor comparison.</x:v>
      </x:c>
      <x:c r="F12" s="26" t="str">
        <x:v>P1</x:v>
      </x:c>
      <x:c r="G12" s="26" t="str">
        <x:v>Catalog + artifact comparison</x:v>
      </x:c>
      <x:c r="H12" s="26" t="str">
        <x:v>PHYS-PR12 / PHYS-DW24</x:v>
      </x:c>
      <x:c r="I12" s="26" t="str">
        <x:v>OPEN</x:v>
      </x:c>
    </x:row>
    <x:row r="13" ht="76" customHeight="1">
      <x:c r="A13" s="26" t="str">
        <x:v>V14-Q-009</x:v>
      </x:c>
      <x:c r="B13" s="26" t="str">
        <x:v>DIRTWERX</x:v>
      </x:c>
      <x:c r="C13" s="26" t="str">
        <x:v>What was the complete team roster by year?</x:v>
      </x:c>
      <x:c r="D13" s="26" t="str">
        <x:v>Builds rider/team/track chronology beyond the 2000 snapshot.</x:v>
      </x:c>
      <x:c r="E13" s="26" t="str">
        <x:v>Advertisements, race results, jerseys and testimony.</x:v>
      </x:c>
      <x:c r="F13" s="26" t="str">
        <x:v>P2</x:v>
      </x:c>
      <x:c r="G13" s="26" t="str">
        <x:v>Period results/publications</x:v>
      </x:c>
      <x:c r="H13" s="26" t="str">
        <x:v>None</x:v>
      </x:c>
      <x:c r="I13" s="26" t="str">
        <x:v>OPEN</x:v>
      </x:c>
    </x:row>
    <x:row r="14" ht="76" customHeight="1">
      <x:c r="A14" s="26" t="str">
        <x:v>V14-Q-010</x:v>
      </x:c>
      <x:c r="B14" s="26" t="str">
        <x:v>DIRTWERX</x:v>
      </x:c>
      <x:c r="C14" s="26" t="str">
        <x:v>What are the correct spellings and classes for all 2000 team members?</x:v>
      </x:c>
      <x:c r="D14" s="26" t="str">
        <x:v>Preserves accurate people records.</x:v>
      </x:c>
      <x:c r="E14" s="26" t="str">
        <x:v>Race results, family/team records and track archives.</x:v>
      </x:c>
      <x:c r="F14" s="26" t="str">
        <x:v>P1</x:v>
      </x:c>
      <x:c r="G14" s="26" t="str">
        <x:v>Official results / public records</x:v>
      </x:c>
      <x:c r="H14" s="26" t="str">
        <x:v>None</x:v>
      </x:c>
      <x:c r="I14" s="26" t="str">
        <x:v>OPEN</x:v>
      </x:c>
    </x:row>
    <x:row r="15" ht="76" customHeight="1">
      <x:c r="A15" s="26" t="str">
        <x:v>V14-Q-011</x:v>
      </x:c>
      <x:c r="B15" s="26" t="str">
        <x:v>DIRTWERX</x:v>
      </x:c>
      <x:c r="C15" s="26" t="str">
        <x:v>Who made and decorated 26.0062?</x:v>
      </x:c>
      <x:c r="D15" s="26" t="str">
        <x:v>Corrects unsupported company-manufacturing language.</x:v>
      </x:c>
      <x:c r="E15" s="26" t="str">
        <x:v>Helmet labels, decals, date codes and provenance.</x:v>
      </x:c>
      <x:c r="F15" s="26" t="str">
        <x:v>P0</x:v>
      </x:c>
      <x:c r="G15" s="26" t="str">
        <x:v>Artifact evidence</x:v>
      </x:c>
      <x:c r="H15" s="26" t="str">
        <x:v>New helmet capture tasks</x:v>
      </x:c>
      <x:c r="I15" s="26" t="str">
        <x:v>OPEN</x:v>
      </x:c>
    </x:row>
    <x:row r="16" ht="76" customHeight="1">
      <x:c r="A16" s="26" t="str">
        <x:v>V14-Q-012</x:v>
      </x:c>
      <x:c r="B16" s="26" t="str">
        <x:v>DIRTWERX</x:v>
      </x:c>
      <x:c r="C16" s="26" t="str">
        <x:v>When and where was 26.0063 worn?</x:v>
      </x:c>
      <x:c r="D16" s="26" t="str">
        <x:v>Controls race-worn/team claims.</x:v>
      </x:c>
      <x:c r="E16" s="26" t="str">
        <x:v>Labels, wear, event photography and transfer evidence.</x:v>
      </x:c>
      <x:c r="F16" s="26" t="str">
        <x:v>P0</x:v>
      </x:c>
      <x:c r="G16" s="26" t="str">
        <x:v>Artifact evidence</x:v>
      </x:c>
      <x:c r="H16" s="26" t="str">
        <x:v>New jersey capture tasks</x:v>
      </x:c>
      <x:c r="I16" s="26" t="str">
        <x:v>OPEN</x:v>
      </x:c>
    </x:row>
    <x:row r="17" ht="76" customHeight="1">
      <x:c r="A17" s="26" t="str">
        <x:v>V14-Q-013</x:v>
      </x:c>
      <x:c r="B17" s="26" t="str">
        <x:v>GHP</x:v>
      </x:c>
      <x:c r="C17" s="26" t="str">
        <x:v>What is the exact GHP founding month and legal entity?</x:v>
      </x:c>
      <x:c r="D17" s="26" t="str">
        <x:v>Refines the period-confirmed 1983 launch.</x:v>
      </x:c>
      <x:c r="E17" s="26" t="str">
        <x:v>Corporate filing and Greg Hill first-person history.</x:v>
      </x:c>
      <x:c r="F17" s="26" t="str">
        <x:v>P1</x:v>
      </x:c>
      <x:c r="G17" s="26" t="str">
        <x:v>Public records / interview</x:v>
      </x:c>
      <x:c r="H17" s="26" t="str">
        <x:v>None</x:v>
      </x:c>
      <x:c r="I17" s="26" t="str">
        <x:v>OPEN</x:v>
      </x:c>
    </x:row>
    <x:row r="18" ht="76" customHeight="1">
      <x:c r="A18" s="26" t="str">
        <x:v>V14-Q-014</x:v>
      </x:c>
      <x:c r="B18" s="26" t="str">
        <x:v>GHP</x:v>
      </x:c>
      <x:c r="C18" s="26" t="str">
        <x:v>What were the first GHP frame and fork models?</x:v>
      </x:c>
      <x:c r="D18" s="26" t="str">
        <x:v>Controls early product chronology.</x:v>
      </x:c>
      <x:c r="E18" s="26" t="str">
        <x:v>1983–1984 catalog, test and dealer sheet.</x:v>
      </x:c>
      <x:c r="F18" s="26" t="str">
        <x:v>P0</x:v>
      </x:c>
      <x:c r="G18" s="26" t="str">
        <x:v>Period publication recovery</x:v>
      </x:c>
      <x:c r="H18" s="26" t="str">
        <x:v>None</x:v>
      </x:c>
      <x:c r="I18" s="26" t="str">
        <x:v>OPEN</x:v>
      </x:c>
    </x:row>
    <x:row r="19" ht="76" customHeight="1">
      <x:c r="A19" s="26" t="str">
        <x:v>V14-Q-015</x:v>
      </x:c>
      <x:c r="B19" s="26" t="str">
        <x:v>GHP</x:v>
      </x:c>
      <x:c r="C19" s="26" t="str">
        <x:v>What were the roles of GHP, CyclePro and West Coast Cycle?</x:v>
      </x:c>
      <x:c r="D19" s="26" t="str">
        <x:v>Separates ownership, branding, fabrication and distribution.</x:v>
      </x:c>
      <x:c r="E19" s="26" t="str">
        <x:v>Contracts, catalogs, ads and first-person testimony.</x:v>
      </x:c>
      <x:c r="F19" s="26" t="str">
        <x:v>P0</x:v>
      </x:c>
      <x:c r="G19" s="26" t="str">
        <x:v>Period sources / interview</x:v>
      </x:c>
      <x:c r="H19" s="26" t="str">
        <x:v>None</x:v>
      </x:c>
      <x:c r="I19" s="26" t="str">
        <x:v>OPEN</x:v>
      </x:c>
    </x:row>
    <x:row r="20" ht="76" customHeight="1">
      <x:c r="A20" s="26" t="str">
        <x:v>V14-Q-016</x:v>
      </x:c>
      <x:c r="B20" s="26" t="str">
        <x:v>GHP</x:v>
      </x:c>
      <x:c r="C20" s="26" t="str">
        <x:v>What is the full 1983–1986 team roster?</x:v>
      </x:c>
      <x:c r="D20" s="26" t="str">
        <x:v>Builds rider/company relationships.</x:v>
      </x:c>
      <x:c r="E20" s="26" t="str">
        <x:v>Team ads, race results and photographs.</x:v>
      </x:c>
      <x:c r="F20" s="26" t="str">
        <x:v>P1</x:v>
      </x:c>
      <x:c r="G20" s="26" t="str">
        <x:v>Period publications</x:v>
      </x:c>
      <x:c r="H20" s="26" t="str">
        <x:v>None</x:v>
      </x:c>
      <x:c r="I20" s="26" t="str">
        <x:v>OPEN</x:v>
      </x:c>
    </x:row>
    <x:row r="21" ht="76" customHeight="1">
      <x:c r="A21" s="26" t="str">
        <x:v>V14-Q-017</x:v>
      </x:c>
      <x:c r="B21" s="26" t="str">
        <x:v>GHP</x:v>
      </x:c>
      <x:c r="C21" s="26" t="str">
        <x:v>What exact metadata belongs to BMXMuseum record 121233?</x:v>
      </x:c>
      <x:c r="D21" s="26" t="str">
        <x:v>Makes the exact ID useful for model/year comparison.</x:v>
      </x:c>
      <x:c r="E21" s="26" t="str">
        <x:v>Public first-party post or backlink metadata.</x:v>
      </x:c>
      <x:c r="F21" s="26" t="str">
        <x:v>P1</x:v>
      </x:c>
      <x:c r="G21" s="26" t="str">
        <x:v>Public discovery only</x:v>
      </x:c>
      <x:c r="H21" s="26" t="str">
        <x:v>None</x:v>
      </x:c>
      <x:c r="I21" s="26" t="str">
        <x:v>OPEN</x:v>
      </x:c>
    </x:row>
    <x:row r="22" ht="76" customHeight="1">
      <x:c r="A22" s="26" t="str">
        <x:v>V14-Q-018</x:v>
      </x:c>
      <x:c r="B22" s="26" t="str">
        <x:v>GHP</x:v>
      </x:c>
      <x:c r="C22" s="26" t="str">
        <x:v>Is record 134275 correctly identified as a 2013 Pro XXL?</x:v>
      </x:c>
      <x:c r="D22" s="26" t="str">
        <x:v>Prevents community identification from becoming fact.</x:v>
      </x:c>
      <x:c r="E22" s="26" t="str">
        <x:v>Catalog, serial and frame-detail comparison.</x:v>
      </x:c>
      <x:c r="F22" s="26" t="str">
        <x:v>P1</x:v>
      </x:c>
      <x:c r="G22" s="26" t="str">
        <x:v>Public source comparison</x:v>
      </x:c>
      <x:c r="H22" s="26" t="str">
        <x:v>None</x:v>
      </x:c>
      <x:c r="I22" s="26" t="str">
        <x:v>OPEN</x:v>
      </x:c>
    </x:row>
    <x:row r="23" ht="76" customHeight="1">
      <x:c r="A23" s="26" t="str">
        <x:v>V14-Q-019</x:v>
      </x:c>
      <x:c r="B23" s="26" t="str">
        <x:v>GHP</x:v>
      </x:c>
      <x:c r="C23" s="26" t="str">
        <x:v>What are the maker, era and use of 26.0022?</x:v>
      </x:c>
      <x:c r="D23" s="26" t="str">
        <x:v>Controls Greg Hill personal/team attribution.</x:v>
      </x:c>
      <x:c r="E23" s="26" t="str">
        <x:v>Labels, provenance and period imagery.</x:v>
      </x:c>
      <x:c r="F23" s="26" t="str">
        <x:v>P0</x:v>
      </x:c>
      <x:c r="G23" s="26" t="str">
        <x:v>Artifact evidence</x:v>
      </x:c>
      <x:c r="H23" s="26" t="str">
        <x:v>PHYS-GHP-01 through 04</x:v>
      </x:c>
      <x:c r="I23" s="26" t="str">
        <x:v>OPEN</x:v>
      </x:c>
    </x:row>
    <x:row r="24" ht="76" customHeight="1">
      <x:c r="A24" s="26" t="str">
        <x:v>V14-Q-020</x:v>
      </x:c>
      <x:c r="B24" s="26" t="str">
        <x:v>GHP</x:v>
      </x:c>
      <x:c r="C24" s="26" t="str">
        <x:v>What are the maker, era and use of 26.0026?</x:v>
      </x:c>
      <x:c r="D24" s="26" t="str">
        <x:v>Ensures the second jersey is independently documented.</x:v>
      </x:c>
      <x:c r="E24" s="26" t="str">
        <x:v>Labels, provenance and period imagery.</x:v>
      </x:c>
      <x:c r="F24" s="26" t="str">
        <x:v>P0</x:v>
      </x:c>
      <x:c r="G24" s="26" t="str">
        <x:v>Artifact evidence</x:v>
      </x:c>
      <x:c r="H24" s="26" t="str">
        <x:v>NEW PHYS-GHP2</x:v>
      </x:c>
      <x:c r="I24" s="26" t="str">
        <x:v>OPEN</x:v>
      </x:c>
    </x:row>
    <x:row r="25" ht="76" customHeight="1">
      <x:c r="A25" s="26" t="str">
        <x:v>V14-Q-021</x:v>
      </x:c>
      <x:c r="B25" s="26" t="str">
        <x:v>GHP</x:v>
      </x:c>
      <x:c r="C25" s="26" t="str">
        <x:v>Who used the #15 plate and were it and the bars historically paired?</x:v>
      </x:c>
      <x:c r="D25" s="26" t="str">
        <x:v>Controls rider/event and object-pairing claims.</x:v>
      </x:c>
      <x:c r="E25" s="26" t="str">
        <x:v>Plate reverse, photos, acquisition history and bar model.</x:v>
      </x:c>
      <x:c r="F25" s="26" t="str">
        <x:v>P0</x:v>
      </x:c>
      <x:c r="G25" s="26" t="str">
        <x:v>Artifact evidence</x:v>
      </x:c>
      <x:c r="H25" s="26" t="str">
        <x:v>PHYS-GHP-05 through 07</x:v>
      </x:c>
      <x:c r="I25" s="26" t="str">
        <x:v>OPEN</x:v>
      </x:c>
    </x:row>
  </x:sheetData>
  <x:mergeCells>
    <x:mergeCell ref="A1:I1"/>
    <x:mergeCell ref="A2:I2"/>
  </x:mergeCells>
  <x:dataValidations count="1">
    <x:dataValidation type="list" sqref="F5:F25">
      <x:formula1>"P0,P1,P2,P3"</x:formula1>
    </x:dataValidation>
  </x:dataValidations>
  <x:pageMargins left="0.7" right="0.7" top="0.75" bottom="0.75" header="0.3" footer="0.3"/>
  <x:tableParts count="1">
    <x:tablePart xmlns:r="http://schemas.openxmlformats.org/officeDocument/2006/relationships" r:id="R18390c0678a14d17"/>
  </x:tableParts>
</x:worksheet>
</file>

<file path=xl/worksheets/sheet87.xml><?xml version="1.0" encoding="utf-8"?>
<x:worksheet xmlns:x="http://schemas.openxmlformats.org/spreadsheetml/2006/main">
  <x:sheetFormatPr defaultRowHeight="15"/>
  <x:cols>
    <x:col min="1" max="1" width="34" hidden="0" customWidth="1"/>
    <x:col min="2" max="2" width="15" hidden="0" customWidth="1"/>
    <x:col min="4" max="4" width="28" hidden="0" customWidth="1"/>
    <x:col min="5" max="5" width="72" hidden="0" customWidth="1"/>
    <x:col min="8" max="8" width="30" hidden="0" customWidth="1"/>
    <x:col min="9" max="9" width="56" hidden="0" customWidth="1"/>
  </x:cols>
  <x:sheetData>
    <x:row r="1">
      <x:c r="A1" s="544" t="str">
        <x:v>BMXMuseum Public Knowledge Register v1.4 — DIRTWERX and Greg Hill/GHP Deep Dossier</x:v>
      </x:c>
      <x:c r="B1" s="544"/>
      <x:c r="C1" s="544"/>
      <x:c r="D1" s="544"/>
      <x:c r="E1" s="544"/>
      <x:c r="F1" s="544"/>
      <x:c r="G1" s="544"/>
      <x:c r="H1" s="544"/>
      <x:c r="I1" s="544"/>
      <x:c r="J1" s="544"/>
      <x:c r="K1" s="544"/>
      <x:c r="L1" s="544"/>
      <x:c r="M1" s="544"/>
      <x:c r="N1" s="544"/>
    </x:row>
    <x:row r="2">
      <x:c r="A2" s="549" t="str">
        <x:v>Permission-free research only. The dossier converts public sources and Lititz artifacts into human-inspectable chronology, product, team, relationship, correction and claim records.</x:v>
      </x:c>
      <x:c r="B2" s="549"/>
      <x:c r="C2" s="549"/>
      <x:c r="D2" s="549"/>
      <x:c r="E2" s="549"/>
      <x:c r="F2" s="549"/>
      <x:c r="G2" s="549"/>
      <x:c r="H2" s="549"/>
      <x:c r="I2" s="549"/>
      <x:c r="J2" s="549"/>
      <x:c r="K2" s="549"/>
      <x:c r="L2" s="549"/>
      <x:c r="M2" s="549"/>
      <x:c r="N2" s="549"/>
    </x:row>
    <x:row r="4">
      <x:c r="A4" s="554" t="str">
        <x:v>Work Product</x:v>
      </x:c>
      <x:c r="B4" s="554" t="str">
        <x:v>Count</x:v>
      </x:c>
      <x:c r="D4" s="554" t="str">
        <x:v>Major Conclusion</x:v>
      </x:c>
      <x:c r="E4" s="554" t="str">
        <x:v>Determination</x:v>
      </x:c>
      <x:c r="H4" s="554" t="str">
        <x:v>Correction / Boundary</x:v>
      </x:c>
      <x:c r="I4" s="554" t="str">
        <x:v>Locked Rule</x:v>
      </x:c>
    </x:row>
    <x:row r="5" ht="48" customHeight="1">
      <x:c r="A5" s="26" t="str">
        <x:v>DIRTWERX chronology entries</x:v>
      </x:c>
      <x:c r="B5" s="26" t="n">
        <x:f>COUNTA('v1.4 DIRTWERX Chronology'!A5:A200)</x:f>
        <x:v>11</x:v>
      </x:c>
      <x:c r="D5" s="557" t="str">
        <x:v>DIRTWERX start</x:v>
      </x:c>
      <x:c r="E5" s="26" t="str">
        <x:v>Formation around 1995; practical operating launch around 1996; exact legal date remains open.</x:v>
      </x:c>
      <x:c r="H5" s="560" t="str">
        <x:v>Permission package</x:v>
      </x:c>
      <x:c r="I5" s="26" t="str">
        <x:v>Archived and dormant; no contact is required for the current research route.</x:v>
      </x:c>
    </x:row>
    <x:row r="6" ht="48" customHeight="1">
      <x:c r="A6" s="26" t="str">
        <x:v>DIRTWERX product/feature records</x:v>
      </x:c>
      <x:c r="B6" s="26" t="n">
        <x:f>COUNTA('v1.4 DIRTWERX Products'!A5:A200)</x:f>
        <x:v>21</x:v>
      </x:c>
      <x:c r="D6" s="557" t="str">
        <x:v>DIRTWERX product line</x:v>
      </x:c>
      <x:c r="E6" s="26" t="str">
        <x:v>Nine named chromoly frame sizes plus forks, handlebars, Painkiller guide, dual tensioners and three-inch head-tube claim are documented in the 2000 founder interview.</x:v>
      </x:c>
      <x:c r="H6" s="560" t="str">
        <x:v>DIRTWERX gear</x:v>
      </x:c>
      <x:c r="I6" s="26" t="str">
        <x:v>Do not date to the 1980s or call DIRTWERX the helmet manufacturer/painter.</x:v>
      </x:c>
    </x:row>
    <x:row r="7" ht="48" customHeight="1">
      <x:c r="A7" s="26" t="str">
        <x:v>DIRTWERX team/support records</x:v>
      </x:c>
      <x:c r="B7" s="26" t="n">
        <x:f>COUNTA('v1.4 DIRTWERX Team'!A5:A200)</x:f>
        <x:v>13</x:v>
      </x:c>
      <x:c r="D7" s="557" t="str">
        <x:v>PR12</x:v>
      </x:c>
      <x:c r="E7" s="26" t="str">
        <x:v>Collection designation retained; meaning, date, builder and production count remain unresolved.</x:v>
      </x:c>
      <x:c r="H7" s="560" t="str">
        <x:v>Greg Hill relationship</x:v>
      </x:c>
      <x:c r="I7" s="26" t="str">
        <x:v>Encouraged Leary; not a DIRTWERX co-founder on current evidence.</x:v>
      </x:c>
    </x:row>
    <x:row r="8" ht="48" customHeight="1">
      <x:c r="A8" s="26" t="str">
        <x:v>GHP chronology entries</x:v>
      </x:c>
      <x:c r="B8" s="26" t="n">
        <x:f>COUNTA('v1.4 GHP Chronology'!A5:A200)</x:f>
        <x:v>12</x:v>
      </x:c>
      <x:c r="D8" s="557" t="str">
        <x:v>DIRTWERX team</x:v>
      </x:c>
      <x:c r="E8" s="26" t="str">
        <x:v>A ten-rider, Sycamore BMX-centered roster is documented for March 2000.</x:v>
      </x:c>
      <x:c r="H8" s="560" t="str">
        <x:v>GHP jerseys</x:v>
      </x:c>
      <x:c r="I8" s="26" t="str">
        <x:v>26.0022 and 26.0026 are separate evidence objects.</x:v>
      </x:c>
    </x:row>
    <x:row r="9" ht="48" customHeight="1">
      <x:c r="A9" s="26" t="str">
        <x:v>GHP product/team/object records</x:v>
      </x:c>
      <x:c r="B9" s="26" t="n">
        <x:f>COUNTA('v1.4 GHP Products &amp; Team'!A5:A200)</x:f>
        <x:v>15</x:v>
      </x:c>
      <x:c r="D9" s="557" t="str">
        <x:v>GHP launch</x:v>
      </x:c>
      <x:c r="E9" s="26" t="str">
        <x:v>Period evidence supports a 1983 launch and early frame/fork commercial activity.</x:v>
      </x:c>
      <x:c r="H9" s="560" t="str">
        <x:v>#15 plate</x:v>
      </x:c>
      <x:c r="I9" s="26" t="str">
        <x:v>Rider and historical pairing remain unknown.</x:v>
      </x:c>
    </x:row>
    <x:row r="10" ht="48" customHeight="1">
      <x:c r="A10" s="26" t="str">
        <x:v>Lititz artifact crosswalks</x:v>
      </x:c>
      <x:c r="B10" s="26" t="n">
        <x:f>COUNTA('v1.4 Lititz Crosswalk'!A5:A200)</x:f>
        <x:v>7</x:v>
      </x:c>
      <x:c r="D10" s="557" t="str">
        <x:v>GHP structure</x:v>
      </x:c>
      <x:c r="E10" s="26" t="str">
        <x:v>GHP, CyclePro and West Coast Cycle were commercially connected in 1984; ownership/manufacturing roles remain open.</x:v>
      </x:c>
      <x:c r="H10" s="560" t="str">
        <x:v>BMXMuseum</x:v>
      </x:c>
      <x:c r="I10" s="26" t="str">
        <x:v>Use exact public links and metadata only; no completeness claim.</x:v>
      </x:c>
    </x:row>
    <x:row r="11" ht="48" customHeight="1">
      <x:c r="A11" s="26" t="str">
        <x:v>Claim-level determinations</x:v>
      </x:c>
      <x:c r="B11" s="26" t="n">
        <x:f>COUNTA('v1.4 Claims Ledger'!A5:A300)</x:f>
        <x:v>27</x:v>
      </x:c>
      <x:c r="D11" s="557" t="str">
        <x:v>Lititz objects</x:v>
      </x:c>
      <x:c r="E11" s="26" t="str">
        <x:v>Two GHP jerseys are separate artifacts; DIRTWERX helmet/jersey dating and manufacturing wording required correction.</x:v>
      </x:c>
      <x:c r="H11" s="560" t="str">
        <x:v>Physical evidence</x:v>
      </x:c>
      <x:c r="I11" s="26" t="str">
        <x:v>Roadmapped and nonblocking; grades change only when records actually exist.</x:v>
      </x:c>
    </x:row>
    <x:row r="12">
      <x:c r="A12" s="26" t="str">
        <x:v>Source records</x:v>
      </x:c>
      <x:c r="B12" s="26" t="n">
        <x:f>COUNTA('v1.4 Period Sources'!A5:A200)</x:f>
        <x:v>15</x:v>
      </x:c>
    </x:row>
    <x:row r="13">
      <x:c r="A13" s="26" t="str">
        <x:v>Relationship edges</x:v>
      </x:c>
      <x:c r="B13" s="26" t="n">
        <x:f>COUNTA('v1.4 Relationship Map'!A5:A200)</x:f>
        <x:v>20</x:v>
      </x:c>
    </x:row>
    <x:row r="14">
      <x:c r="A14" s="26" t="str">
        <x:v>Open questions</x:v>
      </x:c>
      <x:c r="B14" s="26" t="n">
        <x:f>COUNTA('v1.4 Open Questions'!A5:A200)</x:f>
        <x:v>21</x:v>
      </x:c>
    </x:row>
    <x:row r="17">
      <x:c r="A17" s="554" t="str">
        <x:v>Research Position</x:v>
      </x:c>
      <x:c r="B17" s="554"/>
      <x:c r="C17" s="554"/>
      <x:c r="D17" s="554"/>
      <x:c r="E17" s="554"/>
      <x:c r="F17" s="554"/>
      <x:c r="G17" s="554"/>
      <x:c r="H17" s="554"/>
      <x:c r="I17" s="554"/>
    </x:row>
    <x:row r="18" ht="66" customHeight="1">
      <x:c r="A18" s="549" t="str">
        <x:v>The no-permission route remains productive. DIRTWERX now has a defensible formation/launch chronology, a detailed product and team snapshot, and explicit prototype evidence gates. GHP now has a period-confirmed 1983 launch layer and a separated artifact crosswalk. Completeness is not claimed.</x:v>
      </x:c>
      <x:c r="B18" s="549"/>
      <x:c r="C18" s="549"/>
      <x:c r="D18" s="549"/>
      <x:c r="E18" s="549"/>
      <x:c r="F18" s="549"/>
      <x:c r="G18" s="549"/>
      <x:c r="H18" s="549"/>
      <x:c r="I18" s="549"/>
    </x:row>
    <x:row r="19" ht="66" customHeight="1">
      <x:c r="A19" s="549"/>
      <x:c r="B19" s="549"/>
      <x:c r="C19" s="549"/>
      <x:c r="D19" s="549"/>
      <x:c r="E19" s="549"/>
      <x:c r="F19" s="549"/>
      <x:c r="G19" s="549"/>
      <x:c r="H19" s="549"/>
      <x:c r="I19" s="549"/>
    </x:row>
    <x:row r="20" ht="66" customHeight="1">
      <x:c r="A20" s="549"/>
      <x:c r="B20" s="549"/>
      <x:c r="C20" s="549"/>
      <x:c r="D20" s="549"/>
      <x:c r="E20" s="549"/>
      <x:c r="F20" s="549"/>
      <x:c r="G20" s="549"/>
      <x:c r="H20" s="549"/>
      <x:c r="I20" s="549"/>
    </x:row>
    <x:row r="21" ht="66" customHeight="1">
      <x:c r="A21" s="549"/>
      <x:c r="B21" s="549"/>
      <x:c r="C21" s="549"/>
      <x:c r="D21" s="549"/>
      <x:c r="E21" s="549"/>
      <x:c r="F21" s="549"/>
      <x:c r="G21" s="549"/>
      <x:c r="H21" s="549"/>
      <x:c r="I21" s="549"/>
    </x:row>
  </x:sheetData>
  <x:mergeCells>
    <x:mergeCell ref="A1:N1"/>
    <x:mergeCell ref="A2:N2"/>
    <x:mergeCell ref="A17:I17"/>
    <x:mergeCell ref="A18:I21"/>
  </x:mergeCells>
  <x:pageMargins left="0.7" right="0.7" top="0.75" bottom="0.75" header="0.3" footer="0.3"/>
  <x:drawing xmlns:r="http://schemas.openxmlformats.org/officeDocument/2006/relationships" r:id="R66791c3a9aba44f2"/>
</x:worksheet>
</file>

<file path=xl/worksheets/sheet88.xml><?xml version="1.0" encoding="utf-8"?>
<x:worksheet xmlns:x="http://schemas.openxmlformats.org/spreadsheetml/2006/main">
  <x:sheetFormatPr defaultRowHeight="15"/>
  <x:cols>
    <x:col min="1" max="1" width="15" hidden="0" customWidth="1"/>
    <x:col min="2" max="2" width="18" hidden="0" customWidth="1"/>
    <x:col min="3" max="3" width="42" hidden="0" customWidth="1"/>
    <x:col min="4" max="4" width="25" hidden="0" customWidth="1"/>
    <x:col min="5" max="5" width="36" hidden="0" customWidth="1"/>
    <x:col min="6" max="6" width="30" hidden="0" customWidth="1"/>
    <x:col min="7" max="7" width="54" hidden="0" customWidth="1"/>
    <x:col min="8" max="8" width="50" hidden="0" customWidth="1"/>
    <x:col min="9" max="9" width="58" hidden="0" customWidth="1"/>
    <x:col min="10" max="10" width="22" hidden="0" customWidth="1"/>
  </x:cols>
  <x:sheetData>
    <x:row r="1" ht="31" customHeight="1">
      <x:c r="A1" s="579" t="str">
        <x:v>JMC Racing Master Chronology — Business, Prototype, Production and Signature-Model Phases</x:v>
      </x:c>
      <x:c r="B1" s="579"/>
      <x:c r="C1" s="579"/>
      <x:c r="D1" s="579"/>
      <x:c r="E1" s="579"/>
      <x:c r="F1" s="579"/>
      <x:c r="G1" s="579"/>
      <x:c r="H1" s="579"/>
      <x:c r="I1" s="579"/>
      <x:c r="J1" s="579"/>
    </x:row>
    <x:row r="2" ht="31" customHeight="1">
      <x:c r="A2" s="584" t="str">
        <x:v>The chronology deliberately separates the 1969 business origin, 1974 BMX entry, 1975 shop team, 1976 prototypes and 1977 production launch.</x:v>
      </x:c>
      <x:c r="B2" s="584"/>
      <x:c r="C2" s="584"/>
      <x:c r="D2" s="584"/>
      <x:c r="E2" s="584"/>
      <x:c r="F2" s="584"/>
      <x:c r="G2" s="584"/>
      <x:c r="H2" s="584"/>
      <x:c r="I2" s="584"/>
      <x:c r="J2" s="584"/>
    </x:row>
    <x:row r="4">
      <x:c r="A4" s="589" t="str">
        <x:v>Chronology ID</x:v>
      </x:c>
      <x:c r="B4" s="589" t="str">
        <x:v>Date / Period</x:v>
      </x:c>
      <x:c r="C4" s="589" t="str">
        <x:v>Event</x:v>
      </x:c>
      <x:c r="D4" s="589" t="str">
        <x:v>Phase</x:v>
      </x:c>
      <x:c r="E4" s="589" t="str">
        <x:v>People / Organizations</x:v>
      </x:c>
      <x:c r="F4" s="589" t="str">
        <x:v>Evidence Class</x:v>
      </x:c>
      <x:c r="G4" s="589" t="str">
        <x:v>Evidence Summary</x:v>
      </x:c>
      <x:c r="H4" s="589" t="str">
        <x:v>Qualification</x:v>
      </x:c>
      <x:c r="I4" s="589" t="str">
        <x:v>Source URL</x:v>
      </x:c>
      <x:c r="J4" s="589" t="str">
        <x:v>Status</x:v>
      </x:c>
    </x:row>
    <x:row r="5" ht="84" customHeight="1">
      <x:c r="A5" s="26" t="str">
        <x:v>JMC-CHR-001</x:v>
      </x:c>
      <x:c r="B5" s="26" t="str">
        <x:v>December 1969</x:v>
      </x:c>
      <x:c r="C5" s="26" t="str">
        <x:v>Jim Melton established the bicycle business later associated with JMC.</x:v>
      </x:c>
      <x:c r="D5" s="26" t="str">
        <x:v>Pre-BMX business</x:v>
      </x:c>
      <x:c r="E5" s="26" t="str">
        <x:v>Jim Melton</x:v>
      </x:c>
      <x:c r="F5" s="26" t="str">
        <x:v>Current first-party company history</x:v>
      </x:c>
      <x:c r="G5" s="26" t="str">
        <x:v>Current JMC history places the business establishment in December 1969.</x:v>
      </x:c>
      <x:c r="H5" s="26" t="str">
        <x:v>This is the business origin, not the beginning of JMC BMX frame production.</x:v>
      </x:c>
      <x:c r="I5" s="26" t="str">
        <x:v>https://jmcbmx.com/</x:v>
      </x:c>
      <x:c r="J5" s="26" t="str">
        <x:v>LOCKED CONTEXT</x:v>
      </x:c>
    </x:row>
    <x:row r="6" ht="84" customHeight="1">
      <x:c r="A6" s="26" t="str">
        <x:v>JMC-CHR-002</x:v>
      </x:c>
      <x:c r="B6" s="26" t="str">
        <x:v>1974</x:v>
      </x:c>
      <x:c r="C6" s="26" t="str">
        <x:v>The shop moved to Azusa and became directly involved in BMX.</x:v>
      </x:c>
      <x:c r="D6" s="26" t="str">
        <x:v>BMX entry</x:v>
      </x:c>
      <x:c r="E6" s="26" t="str">
        <x:v>Jim Melton; JM Cyclery</x:v>
      </x:c>
      <x:c r="F6" s="26" t="str">
        <x:v>First-person company history</x:v>
      </x:c>
      <x:c r="G6" s="26" t="str">
        <x:v>The preserved company history describes the Azusa move and increasing BMX involvement.</x:v>
      </x:c>
      <x:c r="H6" s="26" t="str">
        <x:v>Do not describe 1974 as the first production-frame year.</x:v>
      </x:c>
      <x:c r="I6" s="26" t="str">
        <x:v>https://jmcbmx.wordpress.com/about/</x:v>
      </x:c>
      <x:c r="J6" s="26" t="str">
        <x:v>ATTRIBUTED VERIFIED</x:v>
      </x:c>
    </x:row>
    <x:row r="7" ht="84" customHeight="1">
      <x:c r="A7" s="26" t="str">
        <x:v>JMC-CHR-003</x:v>
      </x:c>
      <x:c r="B7" s="26" t="str">
        <x:v>1975</x:v>
      </x:c>
      <x:c r="C7" s="26" t="str">
        <x:v>JM Cyclery organized a shop team and sold a Race Inc.-based JM Special.</x:v>
      </x:c>
      <x:c r="D7" s="26" t="str">
        <x:v>Shop-team phase</x:v>
      </x:c>
      <x:c r="E7" s="26" t="str">
        <x:v>Harry Leary; John Begin; Ronnie West; other shop riders</x:v>
      </x:c>
      <x:c r="F7" s="26" t="str">
        <x:v>First-person company history</x:v>
      </x:c>
      <x:c r="G7" s="26" t="str">
        <x:v>The archive names the 1975 riders and describes the JM Special relationship.</x:v>
      </x:c>
      <x:c r="H7" s="26" t="str">
        <x:v>The JM Special was not yet a JMC-built production frame.</x:v>
      </x:c>
      <x:c r="I7" s="26" t="str">
        <x:v>https://jmcbmx.wordpress.com/about/</x:v>
      </x:c>
      <x:c r="J7" s="26" t="str">
        <x:v>ATTRIBUTED VERIFIED</x:v>
      </x:c>
    </x:row>
    <x:row r="8" ht="84" customHeight="1">
      <x:c r="A8" s="26" t="str">
        <x:v>JMC-CHR-004</x:v>
      </x:c>
      <x:c r="B8" s="26" t="str">
        <x:v>1976</x:v>
      </x:c>
      <x:c r="C8" s="26" t="str">
        <x:v>Prototype development began with Larry Barker and riders including Harry Leary.</x:v>
      </x:c>
      <x:c r="D8" s="26" t="str">
        <x:v>Prototype phase</x:v>
      </x:c>
      <x:c r="E8" s="26" t="str">
        <x:v>Jim Melton; Larry Barker; Harry Leary; George Erhart; Dennis Foster; Ronnie West</x:v>
      </x:c>
      <x:c r="F8" s="26" t="str">
        <x:v>First-person company history</x:v>
      </x:c>
      <x:c r="G8" s="26" t="str">
        <x:v>XP prototypes were used to develop short and long frame concepts.</x:v>
      </x:c>
      <x:c r="H8" s="26" t="str">
        <x:v>Prototype counts and all intermediate frames remain subject to production-book verification.</x:v>
      </x:c>
      <x:c r="I8" s="26" t="str">
        <x:v>https://jmcbmx.wordpress.com/about/</x:v>
      </x:c>
      <x:c r="J8" s="26" t="str">
        <x:v>ATTRIBUTED VERIFIED</x:v>
      </x:c>
    </x:row>
    <x:row r="9" ht="84" customHeight="1">
      <x:c r="A9" s="26" t="str">
        <x:v>JMC-CHR-005</x:v>
      </x:c>
      <x:c r="B9" s="26" t="str">
        <x:v>1976</x:v>
      </x:c>
      <x:c r="C9" s="26" t="str">
        <x:v>XP1 was associated with the short configuration and Ronnie West; XP2 with the long configuration and Harry Leary.</x:v>
      </x:c>
      <x:c r="D9" s="26" t="str">
        <x:v>Prototype phase</x:v>
      </x:c>
      <x:c r="E9" s="26" t="str">
        <x:v>Ronnie West; Harry Leary</x:v>
      </x:c>
      <x:c r="F9" s="26" t="str">
        <x:v>First-person company history / identification guide</x:v>
      </x:c>
      <x:c r="G9" s="26" t="str">
        <x:v>The archive identifies XP1 and XP2 as the early prototype sequence.</x:v>
      </x:c>
      <x:c r="H9" s="26" t="str">
        <x:v>Association does not establish that either rider owned the surviving frame indefinitely.</x:v>
      </x:c>
      <x:c r="I9" s="26" t="str">
        <x:v>https://jmcbmx.wordpress.com/2010/02/02/how-to-id-a-jmc/</x:v>
      </x:c>
      <x:c r="J9" s="26" t="str">
        <x:v>ATTRIBUTED VERIFIED</x:v>
      </x:c>
    </x:row>
    <x:row r="10" ht="84" customHeight="1">
      <x:c r="A10" s="26" t="str">
        <x:v>JMC-CHR-006</x:v>
      </x:c>
      <x:c r="B10" s="26" t="str">
        <x:v>March 1977</x:v>
      </x:c>
      <x:c r="C10" s="26" t="str">
        <x:v>JMC1 became the first production short frame, delivered to Dave Wilson.</x:v>
      </x:c>
      <x:c r="D10" s="26" t="str">
        <x:v>Production launch</x:v>
      </x:c>
      <x:c r="E10" s="26" t="str">
        <x:v>Dave Wilson; Jim Melton</x:v>
      </x:c>
      <x:c r="F10" s="26" t="str">
        <x:v>First-person company history / identification guide</x:v>
      </x:c>
      <x:c r="G10" s="26" t="str">
        <x:v>The archive places the first production short frame in March 1977.</x:v>
      </x:c>
      <x:c r="H10" s="26" t="str">
        <x:v>Production status is supported by the archive and current certification practice; direct ledger image is not republished.</x:v>
      </x:c>
      <x:c r="I10" s="26" t="str">
        <x:v>https://jmcbmx.wordpress.com/2010/02/02/how-to-id-a-jmc/</x:v>
      </x:c>
      <x:c r="J10" s="26" t="str">
        <x:v>LOCKED ATTRIBUTED</x:v>
      </x:c>
    </x:row>
    <x:row r="11" ht="84" customHeight="1">
      <x:c r="A11" s="26" t="str">
        <x:v>JMC-CHR-007</x:v>
      </x:c>
      <x:c r="B11" s="26" t="str">
        <x:v>April 1977</x:v>
      </x:c>
      <x:c r="C11" s="26" t="str">
        <x:v>JMC20 became the first production long frame, associated with Clint Miller.</x:v>
      </x:c>
      <x:c r="D11" s="26" t="str">
        <x:v>Production launch</x:v>
      </x:c>
      <x:c r="E11" s="26" t="str">
        <x:v>Clint Miller; Jim Melton</x:v>
      </x:c>
      <x:c r="F11" s="26" t="str">
        <x:v>First-person company history / identification guide</x:v>
      </x:c>
      <x:c r="G11" s="26" t="str">
        <x:v>The archive places the first production long frame in April 1977.</x:v>
      </x:c>
      <x:c r="H11" s="26" t="str">
        <x:v>The serial sequence between JMC1 and JMC20 should not be reconstructed without the ledger.</x:v>
      </x:c>
      <x:c r="I11" s="26" t="str">
        <x:v>https://jmcbmx.wordpress.com/2010/02/02/how-to-id-a-jmc/</x:v>
      </x:c>
      <x:c r="J11" s="26" t="str">
        <x:v>LOCKED ATTRIBUTED</x:v>
      </x:c>
    </x:row>
    <x:row r="12" ht="84" customHeight="1">
      <x:c r="A12" s="26" t="str">
        <x:v>JMC-CHR-008</x:v>
      </x:c>
      <x:c r="B12" s="26" t="str">
        <x:v>1978</x:v>
      </x:c>
      <x:c r="C12" s="26" t="str">
        <x:v>JMC introduced its teardrop-style fork.</x:v>
      </x:c>
      <x:c r="D12" s="26" t="str">
        <x:v>Product expansion</x:v>
      </x:c>
      <x:c r="E12" s="26" t="str">
        <x:v>JMC Racing</x:v>
      </x:c>
      <x:c r="F12" s="26" t="str">
        <x:v>First-person company history</x:v>
      </x:c>
      <x:c r="G12" s="26" t="str">
        <x:v>The company archive identifies 1978 as the fork-design introduction.</x:v>
      </x:c>
      <x:c r="H12" s="26" t="str">
        <x:v>Exact first serial/date and design revisions remain open.</x:v>
      </x:c>
      <x:c r="I12" s="26" t="str">
        <x:v>https://jmcbmx.wordpress.com/about/</x:v>
      </x:c>
      <x:c r="J12" s="26" t="str">
        <x:v>ATTRIBUTED VERIFIED</x:v>
      </x:c>
    </x:row>
    <x:row r="13" ht="84" customHeight="1">
      <x:c r="A13" s="26" t="str">
        <x:v>JMC-CHR-009</x:v>
      </x:c>
      <x:c r="B13" s="26" t="str">
        <x:v>1979</x:v>
      </x:c>
      <x:c r="C13" s="26" t="str">
        <x:v>Jim Melton sold the retail bicycle shop and focused full time on frames and forks.</x:v>
      </x:c>
      <x:c r="D13" s="26" t="str">
        <x:v>Business transition</x:v>
      </x:c>
      <x:c r="E13" s="26" t="str">
        <x:v>Jim Melton; JMC Racing</x:v>
      </x:c>
      <x:c r="F13" s="26" t="str">
        <x:v>First-person company history</x:v>
      </x:c>
      <x:c r="G13" s="26" t="str">
        <x:v>The archive separates retail-shop activity from full-time manufacturing.</x:v>
      </x:c>
      <x:c r="H13" s="26" t="str">
        <x:v>The exact sale date and corporate paperwork remain unassembled.</x:v>
      </x:c>
      <x:c r="I13" s="26" t="str">
        <x:v>https://jmcbmx.wordpress.com/about/</x:v>
      </x:c>
      <x:c r="J13" s="26" t="str">
        <x:v>ATTRIBUTED VERIFIED</x:v>
      </x:c>
    </x:row>
    <x:row r="14" ht="84" customHeight="1">
      <x:c r="A14" s="26" t="str">
        <x:v>JMC-CHR-010</x:v>
      </x:c>
      <x:c r="B14" s="26" t="str">
        <x:v>July 1979</x:v>
      </x:c>
      <x:c r="C14" s="26" t="str">
        <x:v>A JMC advertisement appeared in Bicycle Motocross Action and reportedly ran for multiple months.</x:v>
      </x:c>
      <x:c r="D14" s="26" t="str">
        <x:v>Period advertising</x:v>
      </x:c>
      <x:c r="E14" s="26" t="str">
        <x:v>JMC Racing; Bicycle Motocross Action</x:v>
      </x:c>
      <x:c r="F14" s="26" t="str">
        <x:v>First-party historical archive</x:v>
      </x:c>
      <x:c r="G14" s="26" t="str">
        <x:v>The JMC archive identifies the publication and month.</x:v>
      </x:c>
      <x:c r="H14" s="26" t="str">
        <x:v>Page number and complete repeat schedule remain unresolved; image reproduction requires permission.</x:v>
      </x:c>
      <x:c r="I14" s="26" t="str">
        <x:v>https://jmcbmx.wordpress.com/2010/02/03/july-1979-advertisement/</x:v>
      </x:c>
      <x:c r="J14" s="26" t="str">
        <x:v>BIBLIOGRAPHICALLY VERIFIED</x:v>
      </x:c>
    </x:row>
    <x:row r="15" ht="84" customHeight="1">
      <x:c r="A15" s="26" t="str">
        <x:v>JMC-CHR-011</x:v>
      </x:c>
      <x:c r="B15" s="26" t="str">
        <x:v>February 1980</x:v>
      </x:c>
      <x:c r="C15" s="26" t="str">
        <x:v>JMC introduced the Mini.</x:v>
      </x:c>
      <x:c r="D15" s="26" t="str">
        <x:v>Model expansion</x:v>
      </x:c>
      <x:c r="E15" s="26" t="str">
        <x:v>JMC Racing</x:v>
      </x:c>
      <x:c r="F15" s="26" t="str">
        <x:v>First-person company history</x:v>
      </x:c>
      <x:c r="G15" s="26" t="str">
        <x:v>The company chronology places the Mini introduction in February 1980.</x:v>
      </x:c>
      <x:c r="H15" s="26" t="str">
        <x:v>Exact production quantity and transition features require ledger-level review.</x:v>
      </x:c>
      <x:c r="I15" s="26" t="str">
        <x:v>https://jmcbmx.wordpress.com/about/</x:v>
      </x:c>
      <x:c r="J15" s="26" t="str">
        <x:v>ATTRIBUTED VERIFIED</x:v>
      </x:c>
    </x:row>
    <x:row r="16" ht="84" customHeight="1">
      <x:c r="A16" s="26" t="str">
        <x:v>JMC-CHR-012</x:v>
      </x:c>
      <x:c r="B16" s="26" t="str">
        <x:v>March 1980</x:v>
      </x:c>
      <x:c r="C16" s="26" t="str">
        <x:v>The first Black Shadow is identified as serial JMC2175, sold through Bicycle Harbor of Arizona.</x:v>
      </x:c>
      <x:c r="D16" s="26" t="str">
        <x:v>Model expansion</x:v>
      </x:c>
      <x:c r="E16" s="26" t="str">
        <x:v>JMC Racing; Bicycle Harbor of Arizona</x:v>
      </x:c>
      <x:c r="F16" s="26" t="str">
        <x:v>First-person company archive</x:v>
      </x:c>
      <x:c r="G16" s="26" t="str">
        <x:v>The 'firsts' archive identifies the frame and sale date as March 25, 1980.</x:v>
      </x:c>
      <x:c r="H16" s="26" t="str">
        <x:v>The later K-prefix transition remains separately unresolved.</x:v>
      </x:c>
      <x:c r="I16" s="26" t="str">
        <x:v>https://jmcbmx.wordpress.com/category/jmc-firsts/</x:v>
      </x:c>
      <x:c r="J16" s="26" t="str">
        <x:v>ATTRIBUTED VERIFIED</x:v>
      </x:c>
    </x:row>
    <x:row r="17" ht="84" customHeight="1">
      <x:c r="A17" s="26" t="str">
        <x:v>JMC-CHR-013</x:v>
      </x:c>
      <x:c r="B17" s="26" t="str">
        <x:v>May 1980</x:v>
      </x:c>
      <x:c r="C17" s="26" t="str">
        <x:v>The 3.1 XL name resulted from a contest with Bicycle Harbor of Arizona; Matt Raymer supplied the winning name.</x:v>
      </x:c>
      <x:c r="D17" s="26" t="str">
        <x:v>Model naming</x:v>
      </x:c>
      <x:c r="E17" s="26" t="str">
        <x:v>Matt Raymer; Bicycle Harbor of Arizona; JMC Racing</x:v>
      </x:c>
      <x:c r="F17" s="26" t="str">
        <x:v>First-person company history</x:v>
      </x:c>
      <x:c r="G17" s="26" t="str">
        <x:v>The company archive preserves the naming account.</x:v>
      </x:c>
      <x:c r="H17" s="26" t="str">
        <x:v>The original ABA-paper announcement has not been recovered.</x:v>
      </x:c>
      <x:c r="I17" s="26" t="str">
        <x:v>https://jmcbmx.wordpress.com/about/</x:v>
      </x:c>
      <x:c r="J17" s="26" t="str">
        <x:v>ATTRIBUTED VERIFIED</x:v>
      </x:c>
    </x:row>
    <x:row r="18" ht="84" customHeight="1">
      <x:c r="A18" s="26" t="str">
        <x:v>JMC-CHR-014</x:v>
      </x:c>
      <x:c r="B18" s="26" t="str">
        <x:v>November 1980</x:v>
      </x:c>
      <x:c r="C18" s="26" t="str">
        <x:v>The first chrome Black Shadow was produced; K-prefix use began around this period.</x:v>
      </x:c>
      <x:c r="D18" s="26" t="str">
        <x:v>Model/serial transition</x:v>
      </x:c>
      <x:c r="E18" s="26" t="str">
        <x:v>JMC Racing</x:v>
      </x:c>
      <x:c r="F18" s="26" t="str">
        <x:v>First-person company history / serial guide</x:v>
      </x:c>
      <x:c r="G18" s="26" t="str">
        <x:v>The archive connects chrome Shadow production and the K prefix.</x:v>
      </x:c>
      <x:c r="H18" s="26" t="str">
        <x:v>The first exact K serial and transition date remain unresolved in the archive itself.</x:v>
      </x:c>
      <x:c r="I18" s="26" t="str">
        <x:v>https://jmcbmx.wordpress.com/about/</x:v>
      </x:c>
      <x:c r="J18" s="26" t="str">
        <x:v>QUALIFIED</x:v>
      </x:c>
    </x:row>
    <x:row r="19" ht="84" customHeight="1">
      <x:c r="A19" s="26" t="str">
        <x:v>JMC-CHR-015</x:v>
      </x:c>
      <x:c r="B19" s="26" t="str">
        <x:v>April 1981</x:v>
      </x:c>
      <x:c r="C19" s="26" t="str">
        <x:v>A Super BMX advertisement presented the Black Shadow, 3.1 XL and standard-frame relationships.</x:v>
      </x:c>
      <x:c r="D19" s="26" t="str">
        <x:v>Period advertising</x:v>
      </x:c>
      <x:c r="E19" s="26" t="str">
        <x:v>JMC Racing; Super BMX</x:v>
      </x:c>
      <x:c r="F19" s="26" t="str">
        <x:v>First-party archive summary</x:v>
      </x:c>
      <x:c r="G19" s="26" t="str">
        <x:v>The archive summarizes product claims and rider-weight guidance.</x:v>
      </x:c>
      <x:c r="H19" s="26" t="str">
        <x:v>The advertisement image is not reproduced and the 110-pound statement is not a modern safety certification.</x:v>
      </x:c>
      <x:c r="I19" s="26" t="str">
        <x:v>https://jmcbmx.wordpress.com/2010/02/03/april-1981-advertisement/</x:v>
      </x:c>
      <x:c r="J19" s="26" t="str">
        <x:v>BIBLIOGRAPHICALLY VERIFIED</x:v>
      </x:c>
    </x:row>
    <x:row r="20" ht="84" customHeight="1">
      <x:c r="A20" s="26" t="str">
        <x:v>JMC-CHR-016</x:v>
      </x:c>
      <x:c r="B20" s="26" t="str">
        <x:v>July 1981</x:v>
      </x:c>
      <x:c r="C20" s="26" t="str">
        <x:v>JMC built the first red Shadow for Darrell Young.</x:v>
      </x:c>
      <x:c r="D20" s="26" t="str">
        <x:v>Rider/model development</x:v>
      </x:c>
      <x:c r="E20" s="26" t="str">
        <x:v>Darrell Young; JMC Racing</x:v>
      </x:c>
      <x:c r="F20" s="26" t="str">
        <x:v>First-person company history</x:v>
      </x:c>
      <x:c r="G20" s="26" t="str">
        <x:v>The archive dates the red Shadow relationship to July 1981.</x:v>
      </x:c>
      <x:c r="H20" s="26" t="str">
        <x:v>This predates the later Darrell Young Design model and must not be merged with it.</x:v>
      </x:c>
      <x:c r="I20" s="26" t="str">
        <x:v>https://jmcbmx.wordpress.com/about/</x:v>
      </x:c>
      <x:c r="J20" s="26" t="str">
        <x:v>ATTRIBUTED VERIFIED</x:v>
      </x:c>
    </x:row>
    <x:row r="21" ht="84" customHeight="1">
      <x:c r="A21" s="26" t="str">
        <x:v>JMC-CHR-017</x:v>
      </x:c>
      <x:c r="B21" s="26" t="str">
        <x:v>1982</x:v>
      </x:c>
      <x:c r="C21" s="26" t="str">
        <x:v>JMC introduced the P16 pit bike and reports a production total of 110.</x:v>
      </x:c>
      <x:c r="D21" s="26" t="str">
        <x:v>Product expansion</x:v>
      </x:c>
      <x:c r="E21" s="26" t="str">
        <x:v>JMC Racing</x:v>
      </x:c>
      <x:c r="F21" s="26" t="str">
        <x:v>First-person company history</x:v>
      </x:c>
      <x:c r="G21" s="26" t="str">
        <x:v>The company chronology gives the model and total.</x:v>
      </x:c>
      <x:c r="H21" s="26" t="str">
        <x:v>Production total is attributed to the company archive unless the ledger is inspected directly.</x:v>
      </x:c>
      <x:c r="I21" s="26" t="str">
        <x:v>https://jmcbmx.wordpress.com/about/</x:v>
      </x:c>
      <x:c r="J21" s="26" t="str">
        <x:v>ATTRIBUTED VERIFIED</x:v>
      </x:c>
    </x:row>
    <x:row r="22" ht="84" customHeight="1">
      <x:c r="A22" s="26" t="str">
        <x:v>JMC-CHR-018</x:v>
      </x:c>
      <x:c r="B22" s="26" t="str">
        <x:v>1982</x:v>
      </x:c>
      <x:c r="C22" s="26" t="str">
        <x:v>JMC added a 24-inch cruiser line.</x:v>
      </x:c>
      <x:c r="D22" s="26" t="str">
        <x:v>Product expansion</x:v>
      </x:c>
      <x:c r="E22" s="26" t="str">
        <x:v>JMC Racing</x:v>
      </x:c>
      <x:c r="F22" s="26" t="str">
        <x:v>First-person company history</x:v>
      </x:c>
      <x:c r="G22" s="26" t="str">
        <x:v>The company archive dates the 24-inch cruiser to 1982.</x:v>
      </x:c>
      <x:c r="H22" s="26" t="str">
        <x:v>CR24, C and 24C serial notation must be reconciled model by model.</x:v>
      </x:c>
      <x:c r="I22" s="26" t="str">
        <x:v>https://jmcbmx.wordpress.com/about/</x:v>
      </x:c>
      <x:c r="J22" s="26" t="str">
        <x:v>ATTRIBUTED VERIFIED</x:v>
      </x:c>
    </x:row>
    <x:row r="23" ht="84" customHeight="1">
      <x:c r="A23" s="26" t="str">
        <x:v>JMC-CHR-019</x:v>
      </x:c>
      <x:c r="B23" s="26" t="str">
        <x:v>September 15, 1982</x:v>
      </x:c>
      <x:c r="C23" s="26" t="str">
        <x:v>The JR Mini was developed for Justin Roos.</x:v>
      </x:c>
      <x:c r="D23" s="26" t="str">
        <x:v>Rider/model development</x:v>
      </x:c>
      <x:c r="E23" s="26" t="str">
        <x:v>Justin Roos; JMC Racing</x:v>
      </x:c>
      <x:c r="F23" s="26" t="str">
        <x:v>First-person company history</x:v>
      </x:c>
      <x:c r="G23" s="26" t="str">
        <x:v>The archive gives a precise development date.</x:v>
      </x:c>
      <x:c r="H23" s="26" t="str">
        <x:v>Production quantity and exact initial serial remain open.</x:v>
      </x:c>
      <x:c r="I23" s="26" t="str">
        <x:v>https://jmcbmx.wordpress.com/about/</x:v>
      </x:c>
      <x:c r="J23" s="26" t="str">
        <x:v>ATTRIBUTED VERIFIED</x:v>
      </x:c>
    </x:row>
    <x:row r="24" ht="84" customHeight="1">
      <x:c r="A24" s="26" t="str">
        <x:v>JMC-CHR-020</x:v>
      </x:c>
      <x:c r="B24" s="26" t="str">
        <x:v>October 24, 1983</x:v>
      </x:c>
      <x:c r="C24" s="26" t="str">
        <x:v>JMC produced the first nine Darrell Young Design frames and forks.</x:v>
      </x:c>
      <x:c r="D24" s="26" t="str">
        <x:v>Signature-model development</x:v>
      </x:c>
      <x:c r="E24" s="26" t="str">
        <x:v>Darrell Young; JMC Racing</x:v>
      </x:c>
      <x:c r="F24" s="26" t="str">
        <x:v>First-person company history / firsts archive</x:v>
      </x:c>
      <x:c r="G24" s="26" t="str">
        <x:v>The first group included prototypes and development/release frames.</x:v>
      </x:c>
      <x:c r="H24" s="26" t="str">
        <x:v>Do not describe all nine as ordinary retail production frames.</x:v>
      </x:c>
      <x:c r="I24" s="26" t="str">
        <x:v>https://jmcbmx.wordpress.com/category/jmc-firsts/</x:v>
      </x:c>
      <x:c r="J24" s="26" t="str">
        <x:v>ATTRIBUTED VERIFIED</x:v>
      </x:c>
    </x:row>
    <x:row r="25" ht="84" customHeight="1">
      <x:c r="A25" s="26" t="str">
        <x:v>JMC-CHR-021</x:v>
      </x:c>
      <x:c r="B25" s="26" t="str">
        <x:v>January 8, 1984</x:v>
      </x:c>
      <x:c r="C25" s="26" t="str">
        <x:v>The first identified retail Darrell Young Design sales were made through dealers in Oregon and Southern California.</x:v>
      </x:c>
      <x:c r="D25" s="26" t="str">
        <x:v>Signature-model retail phase</x:v>
      </x:c>
      <x:c r="E25" s="26" t="str">
        <x:v>JMC Racing; Bike Gallery; Bicycle Center</x:v>
      </x:c>
      <x:c r="F25" s="26" t="str">
        <x:v>First-person company archive</x:v>
      </x:c>
      <x:c r="G25" s="26" t="str">
        <x:v>The archive identifies DY8411, DY8413 and DY8420 among early retail sales.</x:v>
      </x:c>
      <x:c r="H25" s="26" t="str">
        <x:v>Dealer and serial details remain attributed to production records.</x:v>
      </x:c>
      <x:c r="I25" s="26" t="str">
        <x:v>https://jmcbmx.wordpress.com/category/jmc-firsts/</x:v>
      </x:c>
      <x:c r="J25" s="26" t="str">
        <x:v>ATTRIBUTED VERIFIED</x:v>
      </x:c>
    </x:row>
    <x:row r="26" ht="84" customHeight="1">
      <x:c r="A26" s="26" t="str">
        <x:v>JMC-CHR-022</x:v>
      </x:c>
      <x:c r="B26" s="26" t="str">
        <x:v>March 1984</x:v>
      </x:c>
      <x:c r="C26" s="26" t="str">
        <x:v>Bicycles and Dirt published a Darrell Young Design test with measured specifications and a component list.</x:v>
      </x:c>
      <x:c r="D26" s="26" t="str">
        <x:v>Period product test</x:v>
      </x:c>
      <x:c r="E26" s="26" t="str">
        <x:v>Darrell Young; JMC Racing; Bicycles and Dirt</x:v>
      </x:c>
      <x:c r="F26" s="26" t="str">
        <x:v>Period magazine test</x:v>
      </x:c>
      <x:c r="G26" s="26" t="str">
        <x:v>The test measured a 25-pound bicycle with a 35¼-inch wheelbase and documented its test build.</x:v>
      </x:c>
      <x:c r="H26" s="26" t="str">
        <x:v>Test-bike specifications do not define every factory or submitted-bike configuration.</x:v>
      </x:c>
      <x:c r="I26" s="26" t="str">
        <x:v>https://oldschoolmags.com/tests/JMC_DY_Bikes%26Dirt8403.pdf</x:v>
      </x:c>
      <x:c r="J26" s="26" t="str">
        <x:v>PERIOD VERIFIED</x:v>
      </x:c>
    </x:row>
    <x:row r="27" ht="84" customHeight="1">
      <x:c r="A27" s="26" t="str">
        <x:v>JMC-CHR-023</x:v>
      </x:c>
      <x:c r="B27" s="26" t="str">
        <x:v>April 1984</x:v>
      </x:c>
      <x:c r="C27" s="26" t="str">
        <x:v>JMC introduced the Micro Mini and reports 85 produced.</x:v>
      </x:c>
      <x:c r="D27" s="26" t="str">
        <x:v>Product expansion</x:v>
      </x:c>
      <x:c r="E27" s="26" t="str">
        <x:v>JMC Racing</x:v>
      </x:c>
      <x:c r="F27" s="26" t="str">
        <x:v>First-person company history</x:v>
      </x:c>
      <x:c r="G27" s="26" t="str">
        <x:v>The company chronology records introduction and quantity.</x:v>
      </x:c>
      <x:c r="H27" s="26" t="str">
        <x:v>Treat the quantity as company-archive information pending direct ledger audit.</x:v>
      </x:c>
      <x:c r="I27" s="26" t="str">
        <x:v>https://jmcbmx.wordpress.com/about/</x:v>
      </x:c>
      <x:c r="J27" s="26" t="str">
        <x:v>ATTRIBUTED VERIFIED</x:v>
      </x:c>
    </x:row>
    <x:row r="28" ht="84" customHeight="1">
      <x:c r="A28" s="26" t="str">
        <x:v>JMC-CHR-024</x:v>
      </x:c>
      <x:c r="B28" s="26" t="str">
        <x:v>August 2–3, 1984</x:v>
      </x:c>
      <x:c r="C28" s="26" t="str">
        <x:v>Andy Patterson prototypes and first team/retail frames were assigned; AP5 is identified as the first sold example.</x:v>
      </x:c>
      <x:c r="D28" s="26" t="str">
        <x:v>Signature-model development</x:v>
      </x:c>
      <x:c r="E28" s="26" t="str">
        <x:v>Andy Patterson; JMC Racing; Sundance Cyclery</x:v>
      </x:c>
      <x:c r="F28" s="26" t="str">
        <x:v>First-person company archive</x:v>
      </x:c>
      <x:c r="G28" s="26" t="str">
        <x:v>AP2/AP3 went to Patterson, AP4 to a team rider and AP5 to Sundance Cyclery.</x:v>
      </x:c>
      <x:c r="H28" s="26" t="str">
        <x:v>The missing/earlier AP1 question remains unresolved.</x:v>
      </x:c>
      <x:c r="I28" s="26" t="str">
        <x:v>https://jmcbmx.wordpress.com/category/jmc-firsts/</x:v>
      </x:c>
      <x:c r="J28" s="26" t="str">
        <x:v>ATTRIBUTED VERIFIED</x:v>
      </x:c>
    </x:row>
    <x:row r="29" ht="84" customHeight="1">
      <x:c r="A29" s="26" t="str">
        <x:v>JMC-CHR-025</x:v>
      </x:c>
      <x:c r="B29" s="26" t="str">
        <x:v>1984–1985</x:v>
      </x:c>
      <x:c r="C29" s="26" t="str">
        <x:v>The archive reports 333 Andy Patterson frames produced.</x:v>
      </x:c>
      <x:c r="D29" s="26" t="str">
        <x:v>Signature-model production</x:v>
      </x:c>
      <x:c r="E29" s="26" t="str">
        <x:v>Andy Patterson; JMC Racing</x:v>
      </x:c>
      <x:c r="F29" s="26" t="str">
        <x:v>First-person company history</x:v>
      </x:c>
      <x:c r="G29" s="26" t="str">
        <x:v>The model total is preserved in the company chronology.</x:v>
      </x:c>
      <x:c r="H29" s="26" t="str">
        <x:v>Production-book audit would provide the strongest verification.</x:v>
      </x:c>
      <x:c r="I29" s="26" t="str">
        <x:v>https://jmcbmx.wordpress.com/about/</x:v>
      </x:c>
      <x:c r="J29" s="26" t="str">
        <x:v>ATTRIBUTED VERIFIED</x:v>
      </x:c>
    </x:row>
    <x:row r="30" ht="84" customHeight="1">
      <x:c r="A30" s="26" t="str">
        <x:v>JMC-CHR-026</x:v>
      </x:c>
      <x:c r="B30" s="26" t="str">
        <x:v>July 1985</x:v>
      </x:c>
      <x:c r="C30" s="26" t="str">
        <x:v>JMC ceased frame production amid competition from lower-cost Taiwan production.</x:v>
      </x:c>
      <x:c r="D30" s="26" t="str">
        <x:v>Closure</x:v>
      </x:c>
      <x:c r="E30" s="26" t="str">
        <x:v>JMC Racing</x:v>
      </x:c>
      <x:c r="F30" s="26" t="str">
        <x:v>First-person company history</x:v>
      </x:c>
      <x:c r="G30" s="26" t="str">
        <x:v>The archive identifies July 1985 as the closure period.</x:v>
      </x:c>
      <x:c r="H30" s="26" t="str">
        <x:v>Economic explanation is the company archive's interpretation and should remain attributed.</x:v>
      </x:c>
      <x:c r="I30" s="26" t="str">
        <x:v>https://jmcbmx.wordpress.com/about/</x:v>
      </x:c>
      <x:c r="J30" s="26" t="str">
        <x:v>ATTRIBUTED VERIFIED</x:v>
      </x:c>
    </x:row>
    <x:row r="31" ht="84" customHeight="1">
      <x:c r="A31" s="26" t="str">
        <x:v>JMC-CHR-027</x:v>
      </x:c>
      <x:c r="B31" s="26" t="str">
        <x:v>1989</x:v>
      </x:c>
      <x:c r="C31" s="26" t="str">
        <x:v>Jim Melton was inducted into the BMX Hall of Fame.</x:v>
      </x:c>
      <x:c r="D31" s="26" t="str">
        <x:v>Legacy</x:v>
      </x:c>
      <x:c r="E31" s="26" t="str">
        <x:v>Jim Melton</x:v>
      </x:c>
      <x:c r="F31" s="26" t="str">
        <x:v>First-person company history</x:v>
      </x:c>
      <x:c r="G31" s="26" t="str">
        <x:v>The JMC archive records the 1989 induction.</x:v>
      </x:c>
      <x:c r="H31" s="26" t="str">
        <x:v>An official Hall of Fame profile should be linked when recovered.</x:v>
      </x:c>
      <x:c r="I31" s="26" t="str">
        <x:v>https://jmcbmx.wordpress.com/about/</x:v>
      </x:c>
      <x:c r="J31" s="26" t="str">
        <x:v>ATTRIBUTED / OFFICIAL LINK OPEN</x:v>
      </x:c>
    </x:row>
  </x:sheetData>
  <x:mergeCells>
    <x:mergeCell ref="A1:J1"/>
    <x:mergeCell ref="A2:J2"/>
  </x:mergeCells>
  <x:pageMargins left="0.7" right="0.7" top="0.75" bottom="0.75" header="0.3" footer="0.3"/>
  <x:tableParts count="1">
    <x:tablePart xmlns:r="http://schemas.openxmlformats.org/officeDocument/2006/relationships" r:id="Rb05b4efa98694315"/>
  </x:tableParts>
</x:worksheet>
</file>

<file path=xl/worksheets/sheet89.xml><?xml version="1.0" encoding="utf-8"?>
<x:worksheet xmlns:x="http://schemas.openxmlformats.org/spreadsheetml/2006/main">
  <x:sheetFormatPr defaultRowHeight="15"/>
  <x:cols>
    <x:col min="1" max="1" width="15" hidden="0" customWidth="1"/>
    <x:col min="2" max="2" width="28" hidden="0" customWidth="1"/>
    <x:col min="3" max="3" width="21" hidden="0" customWidth="1"/>
    <x:col min="4" max="4" width="23" hidden="0" customWidth="1"/>
    <x:col min="5" max="5" width="28" hidden="0" customWidth="1"/>
    <x:col min="6" max="6" width="48" hidden="0" customWidth="1"/>
    <x:col min="7" max="7" width="43" hidden="0" customWidth="1"/>
    <x:col min="8" max="8" width="30" hidden="0" customWidth="1"/>
    <x:col min="9" max="9" width="48" hidden="0" customWidth="1"/>
    <x:col min="10" max="10" width="44" hidden="0" customWidth="1"/>
    <x:col min="11" max="11" width="56" hidden="0" customWidth="1"/>
    <x:col min="12" max="12" width="22" hidden="0" customWidth="1"/>
  </x:cols>
  <x:sheetData>
    <x:row r="1" ht="31" customHeight="1">
      <x:c r="A1" s="579" t="str">
        <x:v>JMC Model and Product Register</x:v>
      </x:c>
      <x:c r="B1" s="579"/>
      <x:c r="C1" s="579"/>
      <x:c r="D1" s="579"/>
      <x:c r="E1" s="579"/>
      <x:c r="F1" s="579"/>
      <x:c r="G1" s="579"/>
      <x:c r="H1" s="579"/>
      <x:c r="I1" s="579"/>
      <x:c r="J1" s="579"/>
      <x:c r="K1" s="579"/>
      <x:c r="L1" s="579"/>
    </x:row>
    <x:row r="2" ht="31" customHeight="1">
      <x:c r="A2" s="584" t="str">
        <x:v>Model titles are separated from serial rules, period specifications and individual BMXMuseum submissions. No submitted bike becomes a factory specification source by default.</x:v>
      </x:c>
      <x:c r="B2" s="584"/>
      <x:c r="C2" s="584"/>
      <x:c r="D2" s="584"/>
      <x:c r="E2" s="584"/>
      <x:c r="F2" s="584"/>
      <x:c r="G2" s="584"/>
      <x:c r="H2" s="584"/>
      <x:c r="I2" s="584"/>
      <x:c r="J2" s="584"/>
      <x:c r="K2" s="584"/>
      <x:c r="L2" s="584"/>
    </x:row>
    <x:row r="4">
      <x:c r="A4" s="589" t="str">
        <x:v>Model ID</x:v>
      </x:c>
      <x:c r="B4" s="589" t="str">
        <x:v>Model / Object</x:v>
      </x:c>
      <x:c r="C4" s="589" t="str">
        <x:v>Type</x:v>
      </x:c>
      <x:c r="D4" s="589" t="str">
        <x:v>Introduction / Coverage</x:v>
      </x:c>
      <x:c r="E4" s="589" t="str">
        <x:v>Serial / Prefix Pattern</x:v>
      </x:c>
      <x:c r="F4" s="589" t="str">
        <x:v>Geometry / Construction</x:v>
      </x:c>
      <x:c r="G4" s="589" t="str">
        <x:v>Production / Firsts</x:v>
      </x:c>
      <x:c r="H4" s="589" t="str">
        <x:v>Evidence Class</x:v>
      </x:c>
      <x:c r="I4" s="589" t="str">
        <x:v>Qualification</x:v>
      </x:c>
      <x:c r="J4" s="589" t="str">
        <x:v>BMXMuseum Relationship</x:v>
      </x:c>
      <x:c r="K4" s="589" t="str">
        <x:v>Primary Source</x:v>
      </x:c>
      <x:c r="L4" s="589" t="str">
        <x:v>Status</x:v>
      </x:c>
    </x:row>
    <x:row r="5" ht="84" customHeight="1">
      <x:c r="A5" s="26" t="str">
        <x:v>JMC-MOD-001</x:v>
      </x:c>
      <x:c r="B5" s="26" t="str">
        <x:v>JM Special</x:v>
      </x:c>
      <x:c r="C5" s="26" t="str">
        <x:v>Dealer/shop bicycle</x:v>
      </x:c>
      <x:c r="D5" s="26" t="str">
        <x:v>1975</x:v>
      </x:c>
      <x:c r="E5" s="26" t="str">
        <x:v>Not a JMC production serial</x:v>
      </x:c>
      <x:c r="F5" s="26" t="str">
        <x:v>Race Inc.-based bicycle sold through JM Cyclery.</x:v>
      </x:c>
      <x:c r="G5" s="26" t="str">
        <x:v>Pre-production shop offering.</x:v>
      </x:c>
      <x:c r="H5" s="26" t="str">
        <x:v>First-person company history</x:v>
      </x:c>
      <x:c r="I5" s="26" t="str">
        <x:v>Must not be represented as a JMC-built production frame.</x:v>
      </x:c>
      <x:c r="J5" s="26" t="str">
        <x:v>Search comparison only; no exact object recovered.</x:v>
      </x:c>
      <x:c r="K5" s="26" t="str">
        <x:v>https://jmcbmx.wordpress.com/about/</x:v>
      </x:c>
      <x:c r="L5" s="26" t="str">
        <x:v>LOCKED CONTEXT</x:v>
      </x:c>
    </x:row>
    <x:row r="6" ht="84" customHeight="1">
      <x:c r="A6" s="26" t="str">
        <x:v>JMC-MOD-002</x:v>
      </x:c>
      <x:c r="B6" s="26" t="str">
        <x:v>XP1 Short Prototype</x:v>
      </x:c>
      <x:c r="C6" s="26" t="str">
        <x:v>Prototype frame</x:v>
      </x:c>
      <x:c r="D6" s="26" t="str">
        <x:v>1976</x:v>
      </x:c>
      <x:c r="E6" s="26" t="str">
        <x:v>XP1</x:v>
      </x:c>
      <x:c r="F6" s="26" t="str">
        <x:v>Short development configuration; associated with Ronnie West.</x:v>
      </x:c>
      <x:c r="G6" s="26" t="str">
        <x:v>Early prototype sequence.</x:v>
      </x:c>
      <x:c r="H6" s="26" t="str">
        <x:v>First-person company history / serial guide</x:v>
      </x:c>
      <x:c r="I6" s="26" t="str">
        <x:v>Prototype status and rider association do not prove current surviving-frame provenance.</x:v>
      </x:c>
      <x:c r="J6" s="26" t="str">
        <x:v>No exact public BMXMuseum ID recovered.</x:v>
      </x:c>
      <x:c r="K6" s="26" t="str">
        <x:v>https://jmcbmx.wordpress.com/2010/02/02/how-to-id-a-jmc/</x:v>
      </x:c>
      <x:c r="L6" s="26" t="str">
        <x:v>ATTRIBUTED</x:v>
      </x:c>
    </x:row>
    <x:row r="7" ht="84" customHeight="1">
      <x:c r="A7" s="26" t="str">
        <x:v>JMC-MOD-003</x:v>
      </x:c>
      <x:c r="B7" s="26" t="str">
        <x:v>XP2 Long Prototype</x:v>
      </x:c>
      <x:c r="C7" s="26" t="str">
        <x:v>Prototype frame</x:v>
      </x:c>
      <x:c r="D7" s="26" t="str">
        <x:v>1976</x:v>
      </x:c>
      <x:c r="E7" s="26" t="str">
        <x:v>XP2</x:v>
      </x:c>
      <x:c r="F7" s="26" t="str">
        <x:v>Long development configuration; associated with Harry Leary.</x:v>
      </x:c>
      <x:c r="G7" s="26" t="str">
        <x:v>Early prototype sequence.</x:v>
      </x:c>
      <x:c r="H7" s="26" t="str">
        <x:v>First-person company history / serial guide</x:v>
      </x:c>
      <x:c r="I7" s="26" t="str">
        <x:v>The archive association is not an ownership chain for a surviving object.</x:v>
      </x:c>
      <x:c r="J7" s="26" t="str">
        <x:v>No exact public BMXMuseum ID recovered.</x:v>
      </x:c>
      <x:c r="K7" s="26" t="str">
        <x:v>https://jmcbmx.wordpress.com/2010/02/02/how-to-id-a-jmc/</x:v>
      </x:c>
      <x:c r="L7" s="26" t="str">
        <x:v>ATTRIBUTED</x:v>
      </x:c>
    </x:row>
    <x:row r="8" ht="84" customHeight="1">
      <x:c r="A8" s="26" t="str">
        <x:v>JMC-MOD-004</x:v>
      </x:c>
      <x:c r="B8" s="26" t="str">
        <x:v>Short Standard</x:v>
      </x:c>
      <x:c r="C8" s="26" t="str">
        <x:v>20-inch frame</x:v>
      </x:c>
      <x:c r="D8" s="26" t="str">
        <x:v>March 1977–1985</x:v>
      </x:c>
      <x:c r="E8" s="26" t="str">
        <x:v>JMC sequential; later year-code transition</x:v>
      </x:c>
      <x:c r="F8" s="26" t="str">
        <x:v>Approx. 17.5-inch top tube; top tube slopes down more than the Long.</x:v>
      </x:c>
      <x:c r="G8" s="26" t="str">
        <x:v>JMC1 identified as first production short.</x:v>
      </x:c>
      <x:c r="H8" s="26" t="str">
        <x:v>First-person identification guide</x:v>
      </x:c>
      <x:c r="I8" s="26" t="str">
        <x:v>Geometry varies by revision; surviving builds require serial and construction review.</x:v>
      </x:c>
      <x:c r="J8" s="26" t="str">
        <x:v>Brand-gallery comparisons only.</x:v>
      </x:c>
      <x:c r="K8" s="26" t="str">
        <x:v>https://jmcbmx.wordpress.com/2010/02/02/how-to-id-a-jmc/</x:v>
      </x:c>
      <x:c r="L8" s="26" t="str">
        <x:v>CORE MODEL</x:v>
      </x:c>
    </x:row>
    <x:row r="9" ht="84" customHeight="1">
      <x:c r="A9" s="26" t="str">
        <x:v>JMC-MOD-005</x:v>
      </x:c>
      <x:c r="B9" s="26" t="str">
        <x:v>Long Standard</x:v>
      </x:c>
      <x:c r="C9" s="26" t="str">
        <x:v>20-inch frame</x:v>
      </x:c>
      <x:c r="D9" s="26" t="str">
        <x:v>April 1977–1985</x:v>
      </x:c>
      <x:c r="E9" s="26" t="str">
        <x:v>JMC sequential; later year-code transition</x:v>
      </x:c>
      <x:c r="F9" s="26" t="str">
        <x:v>Approx. 18.5-inch top tube; more level top tube than Short.</x:v>
      </x:c>
      <x:c r="G9" s="26" t="str">
        <x:v>JMC20 identified as first production long.</x:v>
      </x:c>
      <x:c r="H9" s="26" t="str">
        <x:v>First-person identification guide</x:v>
      </x:c>
      <x:c r="I9" s="26" t="str">
        <x:v>Frame-feature transitions must be applied by date/serial, not title alone.</x:v>
      </x:c>
      <x:c r="J9" s="26" t="str">
        <x:v>Harry Leary period and exact submitted examples remain research targets.</x:v>
      </x:c>
      <x:c r="K9" s="26" t="str">
        <x:v>https://jmcbmx.wordpress.com/2010/02/02/how-to-id-a-jmc/</x:v>
      </x:c>
      <x:c r="L9" s="26" t="str">
        <x:v>CORE MODEL</x:v>
      </x:c>
    </x:row>
    <x:row r="10" ht="84" customHeight="1">
      <x:c r="A10" s="26" t="str">
        <x:v>JMC-MOD-006</x:v>
      </x:c>
      <x:c r="B10" s="26" t="str">
        <x:v>Teardrop Fork</x:v>
      </x:c>
      <x:c r="C10" s="26" t="str">
        <x:v>Fork</x:v>
      </x:c>
      <x:c r="D10" s="26" t="str">
        <x:v>1978 onward</x:v>
      </x:c>
      <x:c r="E10" s="26" t="str">
        <x:v>Model-specific stamping unresolved</x:v>
      </x:c>
      <x:c r="F10" s="26" t="str">
        <x:v>Distinctive teardrop/elliptical fork-blade form in period accounts.</x:v>
      </x:c>
      <x:c r="G10" s="26" t="str">
        <x:v>Introduced in 1978.</x:v>
      </x:c>
      <x:c r="H10" s="26" t="str">
        <x:v>First-person company history</x:v>
      </x:c>
      <x:c r="I10" s="26" t="str">
        <x:v>Fork revisions and steerer dimensions require period catalogs/tests.</x:v>
      </x:c>
      <x:c r="J10" s="26" t="str">
        <x:v>Reference and submitted-bike comparison target.</x:v>
      </x:c>
      <x:c r="K10" s="26" t="str">
        <x:v>https://jmcbmx.wordpress.com/about/</x:v>
      </x:c>
      <x:c r="L10" s="26" t="str">
        <x:v>CORE COMPONENT</x:v>
      </x:c>
    </x:row>
    <x:row r="11" ht="84" customHeight="1">
      <x:c r="A11" s="26" t="str">
        <x:v>JMC-MOD-007</x:v>
      </x:c>
      <x:c r="B11" s="26" t="str">
        <x:v>Mini</x:v>
      </x:c>
      <x:c r="C11" s="26" t="str">
        <x:v>20-inch youth frame</x:v>
      </x:c>
      <x:c r="D11" s="26" t="str">
        <x:v>February 1980–1985</x:v>
      </x:c>
      <x:c r="E11" s="26" t="str">
        <x:v>JMC / mini-specific sequence unresolved</x:v>
      </x:c>
      <x:c r="F11" s="26" t="str">
        <x:v>Lightweight youth-race design.</x:v>
      </x:c>
      <x:c r="G11" s="26" t="str">
        <x:v>First Mini identified in chronology; exact first serial needs ledger review.</x:v>
      </x:c>
      <x:c r="H11" s="26" t="str">
        <x:v>First-person company history</x:v>
      </x:c>
      <x:c r="I11" s="26" t="str">
        <x:v>Do not merge Mini and Micro Mini.</x:v>
      </x:c>
      <x:c r="J11" s="26" t="str">
        <x:v>Title-only BMXMuseum leads exist; exact IDs open.</x:v>
      </x:c>
      <x:c r="K11" s="26" t="str">
        <x:v>https://jmcbmx.wordpress.com/about/</x:v>
      </x:c>
      <x:c r="L11" s="26" t="str">
        <x:v>CORE MODEL</x:v>
      </x:c>
    </x:row>
    <x:row r="12" ht="84" customHeight="1">
      <x:c r="A12" s="26" t="str">
        <x:v>JMC-MOD-008</x:v>
      </x:c>
      <x:c r="B12" s="26" t="str">
        <x:v>Black Shadow / Shadow</x:v>
      </x:c>
      <x:c r="C12" s="26" t="str">
        <x:v>20-inch race frame</x:v>
      </x:c>
      <x:c r="D12" s="26" t="str">
        <x:v>March 1980–1985</x:v>
      </x:c>
      <x:c r="E12" s="26" t="str">
        <x:v>JMC initially; K prefix later</x:v>
      </x:c>
      <x:c r="F12" s="26" t="str">
        <x:v>Steeper head-angle relationship described in 1981 advertising; color/chrome evolution.</x:v>
      </x:c>
      <x:c r="G12" s="26" t="str">
        <x:v>JMC2175 identified as first Black Shadow; first K transition unresolved.</x:v>
      </x:c>
      <x:c r="H12" s="26" t="str">
        <x:v>First-person archive / period-ad summary</x:v>
      </x:c>
      <x:c r="I12" s="26" t="str">
        <x:v>The name, finish and prefix changed over time; title alone cannot date a frame.</x:v>
      </x:c>
      <x:c r="J12" s="26" t="str">
        <x:v>Public ephemera and submitted-bike comparison target.</x:v>
      </x:c>
      <x:c r="K12" s="26" t="str">
        <x:v>https://jmcbmx.wordpress.com/2010/02/03/april-1981-advertisement/</x:v>
      </x:c>
      <x:c r="L12" s="26" t="str">
        <x:v>CORE MODEL</x:v>
      </x:c>
    </x:row>
    <x:row r="13" ht="84" customHeight="1">
      <x:c r="A13" s="26" t="str">
        <x:v>JMC-MOD-009</x:v>
      </x:c>
      <x:c r="B13" s="26" t="str">
        <x:v>3.1 XL</x:v>
      </x:c>
      <x:c r="C13" s="26" t="str">
        <x:v>20-inch lightweight frame</x:v>
      </x:c>
      <x:c r="D13" s="26" t="str">
        <x:v>1980 onward</x:v>
      </x:c>
      <x:c r="E13" s="26" t="str">
        <x:v>XL prefix</x:v>
      </x:c>
      <x:c r="F13" s="26" t="str">
        <x:v>Same basic geometry as Short Standard in 1981 ad summary, with lighter tubing.</x:v>
      </x:c>
      <x:c r="G13" s="26" t="str">
        <x:v>Name supplied by Matt Raymer; first identified example JMC2457 in certification archive.</x:v>
      </x:c>
      <x:c r="H13" s="26" t="str">
        <x:v>First-person company history / archive</x:v>
      </x:c>
      <x:c r="I13" s="26" t="str">
        <x:v>110-pound language is a period rider-limit claim, not modern certification.</x:v>
      </x:c>
      <x:c r="J13" s="26" t="str">
        <x:v>Public title/reference leads; exact bike ID open.</x:v>
      </x:c>
      <x:c r="K13" s="26" t="str">
        <x:v>https://jmcbmx.wordpress.com/about/</x:v>
      </x:c>
      <x:c r="L13" s="26" t="str">
        <x:v>CORE MODEL</x:v>
      </x:c>
    </x:row>
    <x:row r="14" ht="84" customHeight="1">
      <x:c r="A14" s="26" t="str">
        <x:v>JMC-MOD-010</x:v>
      </x:c>
      <x:c r="B14" s="26" t="str">
        <x:v>P16 Pit Bike</x:v>
      </x:c>
      <x:c r="C14" s="26" t="str">
        <x:v>16-inch pit bicycle/frame</x:v>
      </x:c>
      <x:c r="D14" s="26" t="str">
        <x:v>1982</x:v>
      </x:c>
      <x:c r="E14" s="26" t="str">
        <x:v>P16 prefix</x:v>
      </x:c>
      <x:c r="F14" s="26" t="str">
        <x:v>Small-wheel pit-bike configuration.</x:v>
      </x:c>
      <x:c r="G14" s="26" t="str">
        <x:v>Company archive reports 110 produced.</x:v>
      </x:c>
      <x:c r="H14" s="26" t="str">
        <x:v>First-person company history</x:v>
      </x:c>
      <x:c r="I14" s="26" t="str">
        <x:v>Production total remains attributed pending direct ledger audit.</x:v>
      </x:c>
      <x:c r="J14" s="26" t="str">
        <x:v>Exact BMXMuseum object open.</x:v>
      </x:c>
      <x:c r="K14" s="26" t="str">
        <x:v>https://jmcbmx.wordpress.com/about/</x:v>
      </x:c>
      <x:c r="L14" s="26" t="str">
        <x:v>LIMITED MODEL</x:v>
      </x:c>
    </x:row>
    <x:row r="15" ht="84" customHeight="1">
      <x:c r="A15" s="26" t="str">
        <x:v>JMC-MOD-011</x:v>
      </x:c>
      <x:c r="B15" s="26" t="str">
        <x:v>24-inch Cruiser</x:v>
      </x:c>
      <x:c r="C15" s="26" t="str">
        <x:v>24-inch race cruiser</x:v>
      </x:c>
      <x:c r="D15" s="26" t="str">
        <x:v>1982–1985</x:v>
      </x:c>
      <x:c r="E15" s="26" t="str">
        <x:v>CR24, C or 24C forms appear in archival sources</x:v>
      </x:c>
      <x:c r="F15" s="26" t="str">
        <x:v>Cruiser geometry and revisions need period measurement data.</x:v>
      </x:c>
      <x:c r="G15" s="26" t="str">
        <x:v>First-run examples appear in certification/survivor records.</x:v>
      </x:c>
      <x:c r="H15" s="26" t="str">
        <x:v>First-person company archive / survivor registry</x:v>
      </x:c>
      <x:c r="I15" s="26" t="str">
        <x:v>Serial notation must be recorded exactly per frame rather than normalized prematurely.</x:v>
      </x:c>
      <x:c r="J15" s="26" t="str">
        <x:v>Exact BMXMuseum record 128885 is submitted as a 1984 JMC 24.</x:v>
      </x:c>
      <x:c r="K15" s="26" t="str">
        <x:v>https://jmcbmx.wordpress.com/about/</x:v>
      </x:c>
      <x:c r="L15" s="26" t="str">
        <x:v>CORE MODEL</x:v>
      </x:c>
    </x:row>
    <x:row r="16" ht="84" customHeight="1">
      <x:c r="A16" s="26" t="str">
        <x:v>JMC-MOD-012</x:v>
      </x:c>
      <x:c r="B16" s="26" t="str">
        <x:v>JR Mini</x:v>
      </x:c>
      <x:c r="C16" s="26" t="str">
        <x:v>Youth race frame</x:v>
      </x:c>
      <x:c r="D16" s="26" t="str">
        <x:v>September 15, 1982 onward</x:v>
      </x:c>
      <x:c r="E16" s="26" t="str">
        <x:v>Prefix unresolved</x:v>
      </x:c>
      <x:c r="F16" s="26" t="str">
        <x:v>Developed for Justin Roos.</x:v>
      </x:c>
      <x:c r="G16" s="26" t="str">
        <x:v>Precise development date preserved.</x:v>
      </x:c>
      <x:c r="H16" s="26" t="str">
        <x:v>First-person company history</x:v>
      </x:c>
      <x:c r="I16" s="26" t="str">
        <x:v>First serial and total production remain open.</x:v>
      </x:c>
      <x:c r="J16" s="26" t="str">
        <x:v>Exact public BMXMuseum ID not recovered.</x:v>
      </x:c>
      <x:c r="K16" s="26" t="str">
        <x:v>https://jmcbmx.wordpress.com/about/</x:v>
      </x:c>
      <x:c r="L16" s="26" t="str">
        <x:v>SIGNATURE / YOUTH MODEL</x:v>
      </x:c>
    </x:row>
    <x:row r="17" ht="84" customHeight="1">
      <x:c r="A17" s="26" t="str">
        <x:v>JMC-MOD-013</x:v>
      </x:c>
      <x:c r="B17" s="26" t="str">
        <x:v>Darrell Young Design</x:v>
      </x:c>
      <x:c r="C17" s="26" t="str">
        <x:v>20-inch signature race frame/fork</x:v>
      </x:c>
      <x:c r="D17" s="26" t="str">
        <x:v>October 24, 1983–1985</x:v>
      </x:c>
      <x:c r="E17" s="26" t="str">
        <x:v>DY prefix; year/run numbering</x:v>
      </x:c>
      <x:c r="F17" s="26" t="str">
        <x:v>Longer frame and altered head-tube angle; 1984 test documents one complete build.</x:v>
      </x:c>
      <x:c r="G17" s="26" t="str">
        <x:v>First nine development frames; first identified retail sales January 8, 1984.</x:v>
      </x:c>
      <x:c r="H17" s="26" t="str">
        <x:v>First-person archive + period test</x:v>
      </x:c>
      <x:c r="I17" s="26" t="str">
        <x:v>Period test-bike component list is not a universal factory build specification.</x:v>
      </x:c>
      <x:c r="J17" s="26" t="str">
        <x:v>Exact BMXMuseum record 119290 submitted as a 1984 Darrell Young.</x:v>
      </x:c>
      <x:c r="K17" s="26" t="str">
        <x:v>https://oldschoolmags.com/tests/JMC_DY_Bikes%26Dirt8403.pdf</x:v>
      </x:c>
      <x:c r="L17" s="26" t="str">
        <x:v>SIGNATURE MODEL</x:v>
      </x:c>
    </x:row>
    <x:row r="18" ht="84" customHeight="1">
      <x:c r="A18" s="26" t="str">
        <x:v>JMC-MOD-014</x:v>
      </x:c>
      <x:c r="B18" s="26" t="str">
        <x:v>Micro Mini</x:v>
      </x:c>
      <x:c r="C18" s="26" t="str">
        <x:v>Small youth race frame</x:v>
      </x:c>
      <x:c r="D18" s="26" t="str">
        <x:v>April 1984–1985</x:v>
      </x:c>
      <x:c r="E18" s="26" t="str">
        <x:v>Prefix unresolved</x:v>
      </x:c>
      <x:c r="F18" s="26" t="str">
        <x:v>Smaller/lighter youth-race design than Mini.</x:v>
      </x:c>
      <x:c r="G18" s="26" t="str">
        <x:v>Company archive reports 85 produced.</x:v>
      </x:c>
      <x:c r="H18" s="26" t="str">
        <x:v>First-person company history</x:v>
      </x:c>
      <x:c r="I18" s="26" t="str">
        <x:v>Do not infer serial format without a production-record source.</x:v>
      </x:c>
      <x:c r="J18" s="26" t="str">
        <x:v>Exact public BMXMuseum ID not recovered.</x:v>
      </x:c>
      <x:c r="K18" s="26" t="str">
        <x:v>https://jmcbmx.wordpress.com/about/</x:v>
      </x:c>
      <x:c r="L18" s="26" t="str">
        <x:v>LIMITED MODEL</x:v>
      </x:c>
    </x:row>
    <x:row r="19" ht="84" customHeight="1">
      <x:c r="A19" s="26" t="str">
        <x:v>JMC-MOD-015</x:v>
      </x:c>
      <x:c r="B19" s="26" t="str">
        <x:v>Andy Patterson Design</x:v>
      </x:c>
      <x:c r="C19" s="26" t="str">
        <x:v>20-inch signature race frame</x:v>
      </x:c>
      <x:c r="D19" s="26" t="str">
        <x:v>August 1984–1985</x:v>
      </x:c>
      <x:c r="E19" s="26" t="str">
        <x:v>AP prefix</x:v>
      </x:c>
      <x:c r="F19" s="26" t="str">
        <x:v>Signature frame associated with Andy Patterson.</x:v>
      </x:c>
      <x:c r="G19" s="26" t="str">
        <x:v>AP2/AP3 to Patterson; AP5 first identified retail example; 333 reported produced.</x:v>
      </x:c>
      <x:c r="H19" s="26" t="str">
        <x:v>First-person company archive</x:v>
      </x:c>
      <x:c r="I19" s="26" t="str">
        <x:v>AP1 status and complete production sequence remain open.</x:v>
      </x:c>
      <x:c r="J19" s="26" t="str">
        <x:v>Title-only BMXMuseum lead exists; exact ID not recovered.</x:v>
      </x:c>
      <x:c r="K19" s="26" t="str">
        <x:v>https://jmcbmx.wordpress.com/category/jmc-firsts/</x:v>
      </x:c>
      <x:c r="L19" s="26" t="str">
        <x:v>SIGNATURE MODEL</x:v>
      </x:c>
    </x:row>
  </x:sheetData>
  <x:mergeCells>
    <x:mergeCell ref="A1:L1"/>
    <x:mergeCell ref="A2:L2"/>
  </x:mergeCells>
  <x:pageMargins left="0.7" right="0.7" top="0.75" bottom="0.75" header="0.3" footer="0.3"/>
  <x:tableParts count="1">
    <x:tablePart xmlns:r="http://schemas.openxmlformats.org/officeDocument/2006/relationships" r:id="Re2a9d79bab124169"/>
  </x:tableParts>
</x:worksheet>
</file>

<file path=xl/worksheets/sheet90.xml><?xml version="1.0" encoding="utf-8"?>
<x:worksheet xmlns:x="http://schemas.openxmlformats.org/spreadsheetml/2006/main">
  <x:sheetFormatPr defaultRowHeight="15"/>
  <x:cols>
    <x:col min="1" max="1" width="15" hidden="0" customWidth="1"/>
    <x:col min="2" max="2" width="26" hidden="0" customWidth="1"/>
    <x:col min="3" max="3" width="22" hidden="0" customWidth="1"/>
    <x:col min="4" max="4" width="24" hidden="0" customWidth="1"/>
    <x:col min="5" max="5" width="50" hidden="0" customWidth="1"/>
    <x:col min="6" max="6" width="34" hidden="0" customWidth="1"/>
    <x:col min="7" max="7" width="21" hidden="0" customWidth="1"/>
    <x:col min="8" max="8" width="50" hidden="0" customWidth="1"/>
    <x:col min="9" max="9" width="48" hidden="0" customWidth="1"/>
    <x:col min="10" max="10" width="58" hidden="0" customWidth="1"/>
  </x:cols>
  <x:sheetData>
    <x:row r="1" ht="31" customHeight="1">
      <x:c r="A1" s="579" t="str">
        <x:v>JMC Serial, Construction and Authentication Rules</x:v>
      </x:c>
      <x:c r="B1" s="579"/>
      <x:c r="C1" s="579"/>
      <x:c r="D1" s="579"/>
      <x:c r="E1" s="579"/>
      <x:c r="F1" s="579"/>
      <x:c r="G1" s="579"/>
      <x:c r="H1" s="579"/>
      <x:c r="I1" s="579"/>
      <x:c r="J1" s="579"/>
    </x:row>
    <x:row r="2" ht="31" customHeight="1">
      <x:c r="A2" s="584" t="str">
        <x:v>Prefixes and construction features narrow identification; they do not replace provenance, photographs, model geometry, period documentation or production-record certification.</x:v>
      </x:c>
      <x:c r="B2" s="584"/>
      <x:c r="C2" s="584"/>
      <x:c r="D2" s="584"/>
      <x:c r="E2" s="584"/>
      <x:c r="F2" s="584"/>
      <x:c r="G2" s="584"/>
      <x:c r="H2" s="584"/>
      <x:c r="I2" s="584"/>
      <x:c r="J2" s="584"/>
    </x:row>
    <x:row r="4">
      <x:c r="A4" s="589" t="str">
        <x:v>Rule ID</x:v>
      </x:c>
      <x:c r="B4" s="589" t="str">
        <x:v>Prefix / Feature</x:v>
      </x:c>
      <x:c r="C4" s="589" t="str">
        <x:v>Period</x:v>
      </x:c>
      <x:c r="D4" s="589" t="str">
        <x:v>Applies To</x:v>
      </x:c>
      <x:c r="E4" s="589" t="str">
        <x:v>Rule / Observation</x:v>
      </x:c>
      <x:c r="F4" s="589" t="str">
        <x:v>Evidence</x:v>
      </x:c>
      <x:c r="G4" s="589" t="str">
        <x:v>Confidence</x:v>
      </x:c>
      <x:c r="H4" s="589" t="str">
        <x:v>Conflict / Limitation</x:v>
      </x:c>
      <x:c r="I4" s="589" t="str">
        <x:v>Authentication Use</x:v>
      </x:c>
      <x:c r="J4" s="589" t="str">
        <x:v>Source URL</x:v>
      </x:c>
    </x:row>
    <x:row r="5" ht="82" customHeight="1">
      <x:c r="A5" s="26" t="str">
        <x:v>JMC-SER-001</x:v>
      </x:c>
      <x:c r="B5" s="26" t="str">
        <x:v>XP</x:v>
      </x:c>
      <x:c r="C5" s="26" t="str">
        <x:v>1976</x:v>
      </x:c>
      <x:c r="D5" s="26" t="str">
        <x:v>Prototype frames</x:v>
      </x:c>
      <x:c r="E5" s="26" t="str">
        <x:v>XP identifies the prototype phase; XP1 and XP2 are specifically described in the archive.</x:v>
      </x:c>
      <x:c r="F5" s="26" t="str">
        <x:v>Company identification guide</x:v>
      </x:c>
      <x:c r="G5" s="26" t="str">
        <x:v>HIGH</x:v>
      </x:c>
      <x:c r="H5" s="26" t="str">
        <x:v>Complete prototype sequence and surviving-frame chains remain open.</x:v>
      </x:c>
      <x:c r="I5" s="26" t="str">
        <x:v>Supports prototype classification only when the stamp and construction are physically documented.</x:v>
      </x:c>
      <x:c r="J5" s="26" t="str">
        <x:v>https://jmcbmx.wordpress.com/2010/02/02/how-to-id-a-jmc/</x:v>
      </x:c>
    </x:row>
    <x:row r="6" ht="82" customHeight="1">
      <x:c r="A6" s="26" t="str">
        <x:v>JMC-SER-002</x:v>
      </x:c>
      <x:c r="B6" s="26" t="str">
        <x:v>JMC sequential</x:v>
      </x:c>
      <x:c r="C6" s="26" t="str">
        <x:v>1977 onward</x:v>
      </x:c>
      <x:c r="D6" s="26" t="str">
        <x:v>Standard frames and early models</x:v>
      </x:c>
      <x:c r="E6" s="26" t="str">
        <x:v>Production began with JMC1; numbers continued sequentially through the early period.</x:v>
      </x:c>
      <x:c r="F6" s="26" t="str">
        <x:v>Company identification guide</x:v>
      </x:c>
      <x:c r="G6" s="26" t="str">
        <x:v>HIGH</x:v>
      </x:c>
      <x:c r="H6" s="26" t="str">
        <x:v>A missing number cannot be assumed destroyed or never produced.</x:v>
      </x:c>
      <x:c r="I6" s="26" t="str">
        <x:v>Use serial plus frame features and ledger evidence.</x:v>
      </x:c>
      <x:c r="J6" s="26" t="str">
        <x:v>https://jmcbmx.wordpress.com/2010/02/02/how-to-id-a-jmc/</x:v>
      </x:c>
    </x:row>
    <x:row r="7" ht="82" customHeight="1">
      <x:c r="A7" s="26" t="str">
        <x:v>JMC-SER-003</x:v>
      </x:c>
      <x:c r="B7" s="26" t="str">
        <x:v>JMC1</x:v>
      </x:c>
      <x:c r="C7" s="26" t="str">
        <x:v>March 1977</x:v>
      </x:c>
      <x:c r="D7" s="26" t="str">
        <x:v>Short Standard</x:v>
      </x:c>
      <x:c r="E7" s="26" t="str">
        <x:v>Identified as the first production short frame.</x:v>
      </x:c>
      <x:c r="F7" s="26" t="str">
        <x:v>Company history / certification archive</x:v>
      </x:c>
      <x:c r="G7" s="26" t="str">
        <x:v>HIGH</x:v>
      </x:c>
      <x:c r="H7" s="26" t="str">
        <x:v>First-production claim is archive-based; public ledger image is not reproduced.</x:v>
      </x:c>
      <x:c r="I7" s="26" t="str">
        <x:v>Strong when matched to stamp, construction, provenance and certification.</x:v>
      </x:c>
      <x:c r="J7" s="26" t="str">
        <x:v>https://jmcbmx.wordpress.com/2010/02/02/how-to-id-a-jmc/</x:v>
      </x:c>
    </x:row>
    <x:row r="8" ht="82" customHeight="1">
      <x:c r="A8" s="26" t="str">
        <x:v>JMC-SER-004</x:v>
      </x:c>
      <x:c r="B8" s="26" t="str">
        <x:v>JMC20</x:v>
      </x:c>
      <x:c r="C8" s="26" t="str">
        <x:v>April 1977</x:v>
      </x:c>
      <x:c r="D8" s="26" t="str">
        <x:v>Long Standard</x:v>
      </x:c>
      <x:c r="E8" s="26" t="str">
        <x:v>Identified as the first production long frame.</x:v>
      </x:c>
      <x:c r="F8" s="26" t="str">
        <x:v>Company history / certification archive</x:v>
      </x:c>
      <x:c r="G8" s="26" t="str">
        <x:v>HIGH</x:v>
      </x:c>
      <x:c r="H8" s="26" t="str">
        <x:v>Do not infer the identity of JMC2–JMC19 without records.</x:v>
      </x:c>
      <x:c r="I8" s="26" t="str">
        <x:v>Strong when matched to stamp, construction, provenance and certification.</x:v>
      </x:c>
      <x:c r="J8" s="26" t="str">
        <x:v>https://jmcbmx.wordpress.com/2010/02/02/how-to-id-a-jmc/</x:v>
      </x:c>
    </x:row>
    <x:row r="9" ht="82" customHeight="1">
      <x:c r="A9" s="26" t="str">
        <x:v>JMC-SER-005</x:v>
      </x:c>
      <x:c r="B9" s="26" t="str">
        <x:v>Elliptical to square BB brace</x:v>
      </x:c>
      <x:c r="C9" s="26" t="str">
        <x:v>1977–1979 transition</x:v>
      </x:c>
      <x:c r="D9" s="26" t="str">
        <x:v>Standard frames</x:v>
      </x:c>
      <x:c r="E9" s="26" t="str">
        <x:v>Early frames used an elliptical brace; the archive says square box bracing replaced it sometime in 1979.</x:v>
      </x:c>
      <x:c r="F9" s="26" t="str">
        <x:v>Company identification guide</x:v>
      </x:c>
      <x:c r="G9" s="26" t="str">
        <x:v>MEDIUM-HIGH</x:v>
      </x:c>
      <x:c r="H9" s="26" t="str">
        <x:v>Exact month and serial boundary are unresolved.</x:v>
      </x:c>
      <x:c r="I9" s="26" t="str">
        <x:v>Useful as a date range, not a precise year proof.</x:v>
      </x:c>
      <x:c r="J9" s="26" t="str">
        <x:v>https://jmcbmx.wordpress.com/2010/02/02/how-to-id-a-jmc/</x:v>
      </x:c>
    </x:row>
    <x:row r="10" ht="82" customHeight="1">
      <x:c r="A10" s="26" t="str">
        <x:v>JMC-SER-006</x:v>
      </x:c>
      <x:c r="B10" s="26" t="str">
        <x:v>BB box eliminated</x:v>
      </x:c>
      <x:c r="C10" s="26" t="str">
        <x:v>Around 1983</x:v>
      </x:c>
      <x:c r="D10" s="26" t="str">
        <x:v>Standard frames</x:v>
      </x:c>
      <x:c r="E10" s="26" t="str">
        <x:v>The square box was eliminated sometime in 1983.</x:v>
      </x:c>
      <x:c r="F10" s="26" t="str">
        <x:v>Company identification guide</x:v>
      </x:c>
      <x:c r="G10" s="26" t="str">
        <x:v>MEDIUM</x:v>
      </x:c>
      <x:c r="H10" s="26" t="str">
        <x:v>Exact transition serial is unresolved.</x:v>
      </x:c>
      <x:c r="I10" s="26" t="str">
        <x:v>Construction clue only; requires serial and other features.</x:v>
      </x:c>
      <x:c r="J10" s="26" t="str">
        <x:v>https://jmcbmx.wordpress.com/2010/02/02/how-to-id-a-jmc/</x:v>
      </x:c>
    </x:row>
    <x:row r="11" ht="82" customHeight="1">
      <x:c r="A11" s="26" t="str">
        <x:v>JMC-SER-007</x:v>
      </x:c>
      <x:c r="B11" s="26" t="str">
        <x:v>K</x:v>
      </x:c>
      <x:c r="C11" s="26" t="str">
        <x:v>Late 1980 onward</x:v>
      </x:c>
      <x:c r="D11" s="26" t="str">
        <x:v>Black Shadow / Shadow</x:v>
      </x:c>
      <x:c r="E11" s="26" t="str">
        <x:v>K is associated with later Shadow production after the first chrome example.</x:v>
      </x:c>
      <x:c r="F11" s="26" t="str">
        <x:v>Company history / serial guide</x:v>
      </x:c>
      <x:c r="G11" s="26" t="str">
        <x:v>MEDIUM-HIGH</x:v>
      </x:c>
      <x:c r="H11" s="26" t="str">
        <x:v>First precise K serial and date remain unresolved; the first Shadow was JMC-prefixed.</x:v>
      </x:c>
      <x:c r="I11" s="26" t="str">
        <x:v>Supports model family, not exact production date alone.</x:v>
      </x:c>
      <x:c r="J11" s="26" t="str">
        <x:v>https://jmcbmx.wordpress.com/about/</x:v>
      </x:c>
    </x:row>
    <x:row r="12" ht="82" customHeight="1">
      <x:c r="A12" s="26" t="str">
        <x:v>JMC-SER-008</x:v>
      </x:c>
      <x:c r="B12" s="26" t="str">
        <x:v>XL</x:v>
      </x:c>
      <x:c r="C12" s="26" t="str">
        <x:v>1980s</x:v>
      </x:c>
      <x:c r="D12" s="26" t="str">
        <x:v>3.1 XL</x:v>
      </x:c>
      <x:c r="E12" s="26" t="str">
        <x:v>XL identifies the 3.1 XL family in the archive.</x:v>
      </x:c>
      <x:c r="F12" s="26" t="str">
        <x:v>Company identification guide</x:v>
      </x:c>
      <x:c r="G12" s="26" t="str">
        <x:v>HIGH for family</x:v>
      </x:c>
      <x:c r="H12" s="26" t="str">
        <x:v>Serial decoding and year transitions still require records.</x:v>
      </x:c>
      <x:c r="I12" s="26" t="str">
        <x:v>Supports model identification with geometry/construction match.</x:v>
      </x:c>
      <x:c r="J12" s="26" t="str">
        <x:v>https://jmcbmx.wordpress.com/2010/02/02/how-to-id-a-jmc/</x:v>
      </x:c>
    </x:row>
    <x:row r="13" ht="82" customHeight="1">
      <x:c r="A13" s="26" t="str">
        <x:v>JMC-SER-009</x:v>
      </x:c>
      <x:c r="B13" s="26" t="str">
        <x:v>P16</x:v>
      </x:c>
      <x:c r="C13" s="26" t="str">
        <x:v>1982</x:v>
      </x:c>
      <x:c r="D13" s="26" t="str">
        <x:v>P16 pit bike</x:v>
      </x:c>
      <x:c r="E13" s="26" t="str">
        <x:v>P16 prefix identifies the pit-bike model.</x:v>
      </x:c>
      <x:c r="F13" s="26" t="str">
        <x:v>Company history / serial guide</x:v>
      </x:c>
      <x:c r="G13" s="26" t="str">
        <x:v>HIGH</x:v>
      </x:c>
      <x:c r="H13" s="26" t="str">
        <x:v>Production total of 110 remains archive-attributed.</x:v>
      </x:c>
      <x:c r="I13" s="26" t="str">
        <x:v>Strong family identifier when photographed clearly.</x:v>
      </x:c>
      <x:c r="J13" s="26" t="str">
        <x:v>https://jmcbmx.wordpress.com/about/</x:v>
      </x:c>
    </x:row>
    <x:row r="14" ht="82" customHeight="1">
      <x:c r="A14" s="26" t="str">
        <x:v>JMC-SER-010</x:v>
      </x:c>
      <x:c r="B14" s="26" t="str">
        <x:v>CR24 / C / 24C</x:v>
      </x:c>
      <x:c r="C14" s="26" t="str">
        <x:v>1982–1985</x:v>
      </x:c>
      <x:c r="D14" s="26" t="str">
        <x:v>24-inch cruiser</x:v>
      </x:c>
      <x:c r="E14" s="26" t="str">
        <x:v>Multiple forms appear in archive, certification and survivor records.</x:v>
      </x:c>
      <x:c r="F14" s="26" t="str">
        <x:v>Company archive / survivor registry</x:v>
      </x:c>
      <x:c r="G14" s="26" t="str">
        <x:v>MEDIUM-HIGH</x:v>
      </x:c>
      <x:c r="H14" s="26" t="str">
        <x:v>Notation is not yet harmonized and may reflect period changes.</x:v>
      </x:c>
      <x:c r="I14" s="26" t="str">
        <x:v>Record the literal stamp; do not normalize until chronology is resolved.</x:v>
      </x:c>
      <x:c r="J14" s="26" t="str">
        <x:v>https://jmcbmx.wordpress.com/category/certified-jmcs/</x:v>
      </x:c>
    </x:row>
    <x:row r="15" ht="82" customHeight="1">
      <x:c r="A15" s="26" t="str">
        <x:v>JMC-SER-011</x:v>
      </x:c>
      <x:c r="B15" s="26" t="str">
        <x:v>DY</x:v>
      </x:c>
      <x:c r="C15" s="26" t="str">
        <x:v>Late 1983–1985</x:v>
      </x:c>
      <x:c r="D15" s="26" t="str">
        <x:v>Darrell Young Design</x:v>
      </x:c>
      <x:c r="E15" s="26" t="str">
        <x:v>DY prefix identifies the signature model; 1984 sequences include DY84xx forms.</x:v>
      </x:c>
      <x:c r="F15" s="26" t="str">
        <x:v>Company firsts archive</x:v>
      </x:c>
      <x:c r="G15" s="26" t="str">
        <x:v>HIGH for family</x:v>
      </x:c>
      <x:c r="H15" s="26" t="str">
        <x:v>Prototype DY XP frames and retail DY84 frames are different stages.</x:v>
      </x:c>
      <x:c r="I15" s="26" t="str">
        <x:v>Use prefix, exact number, frame features and ledger/certification evidence.</x:v>
      </x:c>
      <x:c r="J15" s="26" t="str">
        <x:v>https://jmcbmx.wordpress.com/category/jmc-firsts/</x:v>
      </x:c>
    </x:row>
    <x:row r="16" ht="82" customHeight="1">
      <x:c r="A16" s="26" t="str">
        <x:v>JMC-SER-012</x:v>
      </x:c>
      <x:c r="B16" s="26" t="str">
        <x:v>AP</x:v>
      </x:c>
      <x:c r="C16" s="26" t="str">
        <x:v>1984–1985</x:v>
      </x:c>
      <x:c r="D16" s="26" t="str">
        <x:v>Andy Patterson Design</x:v>
      </x:c>
      <x:c r="E16" s="26" t="str">
        <x:v>AP prefix identifies the signature model.</x:v>
      </x:c>
      <x:c r="F16" s="26" t="str">
        <x:v>Company firsts archive</x:v>
      </x:c>
      <x:c r="G16" s="26" t="str">
        <x:v>HIGH for family</x:v>
      </x:c>
      <x:c r="H16" s="26" t="str">
        <x:v>AP1 remains unresolved in the public archive; AP2–AP5 sequence is documented.</x:v>
      </x:c>
      <x:c r="I16" s="26" t="str">
        <x:v>Use literal serial plus certification/production record.</x:v>
      </x:c>
      <x:c r="J16" s="26" t="str">
        <x:v>https://jmcbmx.wordpress.com/category/jmc-firsts/</x:v>
      </x:c>
    </x:row>
    <x:row r="17" ht="82" customHeight="1">
      <x:c r="A17" s="26" t="str">
        <x:v>JMC-SER-013</x:v>
      </x:c>
      <x:c r="B17" s="26" t="str">
        <x:v>Year code in first two digits</x:v>
      </x:c>
      <x:c r="C17" s="26" t="str">
        <x:v>Transition around late 1982–1983</x:v>
      </x:c>
      <x:c r="D17" s="26" t="str">
        <x:v>Later production</x:v>
      </x:c>
      <x:c r="E17" s="26" t="str">
        <x:v>The identification guide says 1983 frames used the first two digits for year; survivor material suggests some transition began in late 1982.</x:v>
      </x:c>
      <x:c r="F17" s="26" t="str">
        <x:v>Company guide + survivor registry</x:v>
      </x:c>
      <x:c r="G17" s="26" t="str">
        <x:v>MEDIUM / CONFLICTED</x:v>
      </x:c>
      <x:c r="H17" s="26" t="str">
        <x:v>The exact changeover differs by model and is not fully resolved.</x:v>
      </x:c>
      <x:c r="I17" s="26" t="str">
        <x:v>Never date a frame solely from two digits without model and construction context.</x:v>
      </x:c>
      <x:c r="J17" s="26" t="str">
        <x:v>https://jmcbmx.wordpress.com/2010/02/02/how-to-id-a-jmc/</x:v>
      </x:c>
    </x:row>
    <x:row r="18" ht="82" customHeight="1">
      <x:c r="A18" s="26" t="str">
        <x:v>JMC-SER-014</x:v>
      </x:c>
      <x:c r="B18" s="26" t="str">
        <x:v>JMC stamp behind top tube / BB photographs</x:v>
      </x:c>
      <x:c r="C18" s="26" t="str">
        <x:v>Current authentication practice</x:v>
      </x:c>
      <x:c r="D18" s="26" t="str">
        <x:v>All candidate frames</x:v>
      </x:c>
      <x:c r="E18" s="26" t="str">
        <x:v>Current JMC certification requests the serial, the JMC stamp behind the top tube, bottom bracket images and full-frame photographs.</x:v>
      </x:c>
      <x:c r="F18" s="26" t="str">
        <x:v>Current official JMC certification service</x:v>
      </x:c>
      <x:c r="G18" s="26" t="str">
        <x:v>HIGH</x:v>
      </x:c>
      <x:c r="H18" s="26" t="str">
        <x:v>This is an authentication evidence standard, not proof by itself.</x:v>
      </x:c>
      <x:c r="I18" s="26" t="str">
        <x:v>Adopt as the minimum physical capture package for any future Lititz JMC frame.</x:v>
      </x:c>
      <x:c r="J18" s="26" t="str">
        <x:v>https://jmcbmx.com/products/certificate-of-authenticity</x:v>
      </x:c>
    </x:row>
    <x:row r="19" ht="82" customHeight="1">
      <x:c r="A19" s="26" t="str">
        <x:v>JMC-SER-015</x:v>
      </x:c>
      <x:c r="B19" s="26" t="str">
        <x:v>Known-survivor list</x:v>
      </x:c>
      <x:c r="C19" s="26" t="str">
        <x:v>Retrospective</x:v>
      </x:c>
      <x:c r="D19" s="26" t="str">
        <x:v>All model families</x:v>
      </x:c>
      <x:c r="E19" s="26" t="str">
        <x:v>The public survivor registry lists reported surviving serials, including certified and uncertified examples.</x:v>
      </x:c>
      <x:c r="F19" s="26" t="str">
        <x:v>Community/company archive registry</x:v>
      </x:c>
      <x:c r="G19" s="26" t="str">
        <x:v>MEDIUM</x:v>
      </x:c>
      <x:c r="H19" s="26" t="str">
        <x:v>It is not a production ledger, census or proof of total survival.</x:v>
      </x:c>
      <x:c r="I19" s="26" t="str">
        <x:v>Use to identify comparison leads only; absence is not evidence of nonexistence.</x:v>
      </x:c>
      <x:c r="J19" s="26" t="str">
        <x:v>https://jmcbmx.wordpress.com/category/known-survivors/</x:v>
      </x:c>
    </x:row>
  </x:sheetData>
  <x:mergeCells>
    <x:mergeCell ref="A1:J1"/>
    <x:mergeCell ref="A2:J2"/>
  </x:mergeCells>
  <x:pageMargins left="0.7" right="0.7" top="0.75" bottom="0.75" header="0.3" footer="0.3"/>
  <x:tableParts count="1">
    <x:tablePart xmlns:r="http://schemas.openxmlformats.org/officeDocument/2006/relationships" r:id="Rc63141ebd1874b2a"/>
  </x:tableParts>
</x:worksheet>
</file>

<file path=xl/worksheets/sheet91.xml><?xml version="1.0" encoding="utf-8"?>
<x:worksheet xmlns:x="http://schemas.openxmlformats.org/spreadsheetml/2006/main">
  <x:sheetFormatPr defaultRowHeight="15"/>
  <x:cols>
    <x:col min="1" max="1" width="15" hidden="0" customWidth="1"/>
    <x:col min="2" max="2" width="34" hidden="0" customWidth="1"/>
    <x:col min="3" max="3" width="20" hidden="0" customWidth="1"/>
    <x:col min="4" max="4" width="34" hidden="0" customWidth="1"/>
    <x:col min="5" max="5" width="54" hidden="0" customWidth="1"/>
    <x:col min="6" max="6" width="30" hidden="0" customWidth="1"/>
    <x:col min="7" max="7" width="48" hidden="0" customWidth="1"/>
    <x:col min="8" max="8" width="42" hidden="0" customWidth="1"/>
    <x:col min="9" max="9" width="58" hidden="0" customWidth="1"/>
    <x:col min="10" max="10" width="22" hidden="0" customWidth="1"/>
  </x:cols>
  <x:sheetData>
    <x:row r="1" ht="31" customHeight="1">
      <x:c r="A1" s="579" t="str">
        <x:v>JMC Firsts, Production Totals and Development Sequences</x:v>
      </x:c>
      <x:c r="B1" s="579"/>
      <x:c r="C1" s="579"/>
      <x:c r="D1" s="579"/>
      <x:c r="E1" s="579"/>
      <x:c r="F1" s="579"/>
      <x:c r="G1" s="579"/>
      <x:c r="H1" s="579"/>
      <x:c r="I1" s="579"/>
      <x:c r="J1" s="579"/>
    </x:row>
    <x:row r="2" ht="31" customHeight="1">
      <x:c r="A2" s="584" t="str">
        <x:v>A 'first' is recorded only with the exact scope claimed. Prototype, team, development, first retail sale and first production frame are separate categories.</x:v>
      </x:c>
      <x:c r="B2" s="584"/>
      <x:c r="C2" s="584"/>
      <x:c r="D2" s="584"/>
      <x:c r="E2" s="584"/>
      <x:c r="F2" s="584"/>
      <x:c r="G2" s="584"/>
      <x:c r="H2" s="584"/>
      <x:c r="I2" s="584"/>
      <x:c r="J2" s="584"/>
    </x:row>
    <x:row r="4">
      <x:c r="A4" s="589" t="str">
        <x:v>Record ID</x:v>
      </x:c>
      <x:c r="B4" s="589" t="str">
        <x:v>Model / Event</x:v>
      </x:c>
      <x:c r="C4" s="589" t="str">
        <x:v>Date</x:v>
      </x:c>
      <x:c r="D4" s="589" t="str">
        <x:v>Serial(s) / Quantity</x:v>
      </x:c>
      <x:c r="E4" s="589" t="str">
        <x:v>Determination</x:v>
      </x:c>
      <x:c r="F4" s="589" t="str">
        <x:v>Evidence Class</x:v>
      </x:c>
      <x:c r="G4" s="589" t="str">
        <x:v>Qualification</x:v>
      </x:c>
      <x:c r="H4" s="589" t="str">
        <x:v>Verification Need</x:v>
      </x:c>
      <x:c r="I4" s="589" t="str">
        <x:v>Source URL</x:v>
      </x:c>
      <x:c r="J4" s="589" t="str">
        <x:v>Status</x:v>
      </x:c>
    </x:row>
    <x:row r="5" ht="82" customHeight="1">
      <x:c r="A5" s="26" t="str">
        <x:v>JMC-1ST-001</x:v>
      </x:c>
      <x:c r="B5" s="26" t="str">
        <x:v>First prototype short / long</x:v>
      </x:c>
      <x:c r="C5" s="26" t="str">
        <x:v>1976</x:v>
      </x:c>
      <x:c r="D5" s="26" t="str">
        <x:v>XP1 / XP2</x:v>
      </x:c>
      <x:c r="E5" s="26" t="str">
        <x:v>XP1 is identified with the short concept and XP2 with the long concept.</x:v>
      </x:c>
      <x:c r="F5" s="26" t="str">
        <x:v>First-person company archive</x:v>
      </x:c>
      <x:c r="G5" s="26" t="str">
        <x:v>Complete experimental sequence remains open.</x:v>
      </x:c>
      <x:c r="H5" s="26" t="str">
        <x:v>Production-book and surviving-frame provenance.</x:v>
      </x:c>
      <x:c r="I5" s="26" t="str">
        <x:v>https://jmcbmx.wordpress.com/2010/02/02/how-to-id-a-jmc/</x:v>
      </x:c>
      <x:c r="J5" s="26" t="str">
        <x:v>ATTRIBUTED</x:v>
      </x:c>
    </x:row>
    <x:row r="6" ht="82" customHeight="1">
      <x:c r="A6" s="26" t="str">
        <x:v>JMC-1ST-002</x:v>
      </x:c>
      <x:c r="B6" s="26" t="str">
        <x:v>First production short</x:v>
      </x:c>
      <x:c r="C6" s="26" t="str">
        <x:v>March 1977</x:v>
      </x:c>
      <x:c r="D6" s="26" t="str">
        <x:v>JMC1</x:v>
      </x:c>
      <x:c r="E6" s="26" t="str">
        <x:v>First production short frame; associated with Dave Wilson.</x:v>
      </x:c>
      <x:c r="F6" s="26" t="str">
        <x:v>First-person company archive / current certification lineage</x:v>
      </x:c>
      <x:c r="G6" s="26" t="str">
        <x:v>Public archive summary, not a republished ledger page.</x:v>
      </x:c>
      <x:c r="H6" s="26" t="str">
        <x:v>Official certificate and complete provenance for any claimed surviving object.</x:v>
      </x:c>
      <x:c r="I6" s="26" t="str">
        <x:v>https://jmcbmx.wordpress.com/2010/02/02/how-to-id-a-jmc/</x:v>
      </x:c>
      <x:c r="J6" s="26" t="str">
        <x:v>STRONG ATTRIBUTED</x:v>
      </x:c>
    </x:row>
    <x:row r="7" ht="82" customHeight="1">
      <x:c r="A7" s="26" t="str">
        <x:v>JMC-1ST-003</x:v>
      </x:c>
      <x:c r="B7" s="26" t="str">
        <x:v>First production long</x:v>
      </x:c>
      <x:c r="C7" s="26" t="str">
        <x:v>April 1977</x:v>
      </x:c>
      <x:c r="D7" s="26" t="str">
        <x:v>JMC20</x:v>
      </x:c>
      <x:c r="E7" s="26" t="str">
        <x:v>First production long frame; associated with Clint Miller.</x:v>
      </x:c>
      <x:c r="F7" s="26" t="str">
        <x:v>First-person company archive / current certification lineage</x:v>
      </x:c>
      <x:c r="G7" s="26" t="str">
        <x:v>Intermediate serials cannot be inferred.</x:v>
      </x:c>
      <x:c r="H7" s="26" t="str">
        <x:v>Official certificate and complete provenance for any claimed surviving object.</x:v>
      </x:c>
      <x:c r="I7" s="26" t="str">
        <x:v>https://jmcbmx.wordpress.com/2010/02/02/how-to-id-a-jmc/</x:v>
      </x:c>
      <x:c r="J7" s="26" t="str">
        <x:v>STRONG ATTRIBUTED</x:v>
      </x:c>
    </x:row>
    <x:row r="8" ht="82" customHeight="1">
      <x:c r="A8" s="26" t="str">
        <x:v>JMC-1ST-004</x:v>
      </x:c>
      <x:c r="B8" s="26" t="str">
        <x:v>First Black Shadow</x:v>
      </x:c>
      <x:c r="C8" s="26" t="str">
        <x:v>March 25, 1980</x:v>
      </x:c>
      <x:c r="D8" s="26" t="str">
        <x:v>JMC2175</x:v>
      </x:c>
      <x:c r="E8" s="26" t="str">
        <x:v>Sold to Bicycle Harbor of Arizona.</x:v>
      </x:c>
      <x:c r="F8" s="26" t="str">
        <x:v>First-person firsts archive</x:v>
      </x:c>
      <x:c r="G8" s="26" t="str">
        <x:v>First K-prefix Shadow is separately unresolved.</x:v>
      </x:c>
      <x:c r="H8" s="26" t="str">
        <x:v>Ledger/certification and surviving-frame documentation.</x:v>
      </x:c>
      <x:c r="I8" s="26" t="str">
        <x:v>https://jmcbmx.wordpress.com/category/jmc-firsts/</x:v>
      </x:c>
      <x:c r="J8" s="26" t="str">
        <x:v>ATTRIBUTED</x:v>
      </x:c>
    </x:row>
    <x:row r="9" ht="82" customHeight="1">
      <x:c r="A9" s="26" t="str">
        <x:v>JMC-1ST-005</x:v>
      </x:c>
      <x:c r="B9" s="26" t="str">
        <x:v>First 3.1 XL identified in certification archive</x:v>
      </x:c>
      <x:c r="C9" s="26" t="str">
        <x:v>1980</x:v>
      </x:c>
      <x:c r="D9" s="26" t="str">
        <x:v>JMC2457</x:v>
      </x:c>
      <x:c r="E9" s="26" t="str">
        <x:v>Certified archive identifies this serial as the first 3.1 XL.</x:v>
      </x:c>
      <x:c r="F9" s="26" t="str">
        <x:v>Company certification archive</x:v>
      </x:c>
      <x:c r="G9" s="26" t="str">
        <x:v>Exact production date and complete build history require certificate detail.</x:v>
      </x:c>
      <x:c r="H9" s="26" t="str">
        <x:v>Certificate and ledger evidence.</x:v>
      </x:c>
      <x:c r="I9" s="26" t="str">
        <x:v>https://jmcbmx.wordpress.com/category/certified-jmcs/</x:v>
      </x:c>
      <x:c r="J9" s="26" t="str">
        <x:v>ATTRIBUTED</x:v>
      </x:c>
    </x:row>
    <x:row r="10" ht="82" customHeight="1">
      <x:c r="A10" s="26" t="str">
        <x:v>JMC-1ST-006</x:v>
      </x:c>
      <x:c r="B10" s="26" t="str">
        <x:v>P16 production total</x:v>
      </x:c>
      <x:c r="C10" s="26" t="str">
        <x:v>1982</x:v>
      </x:c>
      <x:c r="D10" s="26" t="str">
        <x:v>110 reported</x:v>
      </x:c>
      <x:c r="E10" s="26" t="str">
        <x:v>Company archive reports 110 P16 pit bikes.</x:v>
      </x:c>
      <x:c r="F10" s="26" t="str">
        <x:v>First-person company history</x:v>
      </x:c>
      <x:c r="G10" s="26" t="str">
        <x:v>Total should remain attributed until a ledger count is audited.</x:v>
      </x:c>
      <x:c r="H10" s="26" t="str">
        <x:v>Production-book extract or official certificate dataset.</x:v>
      </x:c>
      <x:c r="I10" s="26" t="str">
        <x:v>https://jmcbmx.wordpress.com/about/</x:v>
      </x:c>
      <x:c r="J10" s="26" t="str">
        <x:v>ATTRIBUTED TOTAL</x:v>
      </x:c>
    </x:row>
    <x:row r="11" ht="82" customHeight="1">
      <x:c r="A11" s="26" t="str">
        <x:v>JMC-1ST-007</x:v>
      </x:c>
      <x:c r="B11" s="26" t="str">
        <x:v>Micro Mini production total</x:v>
      </x:c>
      <x:c r="C11" s="26" t="str">
        <x:v>1984–1985</x:v>
      </x:c>
      <x:c r="D11" s="26" t="str">
        <x:v>85 reported</x:v>
      </x:c>
      <x:c r="E11" s="26" t="str">
        <x:v>Company archive reports 85 Micro Mini frames.</x:v>
      </x:c>
      <x:c r="F11" s="26" t="str">
        <x:v>First-person company history</x:v>
      </x:c>
      <x:c r="G11" s="26" t="str">
        <x:v>Total should remain attributed until ledger audit.</x:v>
      </x:c>
      <x:c r="H11" s="26" t="str">
        <x:v>Production-book extract or official certificate dataset.</x:v>
      </x:c>
      <x:c r="I11" s="26" t="str">
        <x:v>https://jmcbmx.wordpress.com/about/</x:v>
      </x:c>
      <x:c r="J11" s="26" t="str">
        <x:v>ATTRIBUTED TOTAL</x:v>
      </x:c>
    </x:row>
    <x:row r="12" ht="82" customHeight="1">
      <x:c r="A12" s="26" t="str">
        <x:v>JMC-1ST-008</x:v>
      </x:c>
      <x:c r="B12" s="26" t="str">
        <x:v>Darrell Young first development group</x:v>
      </x:c>
      <x:c r="C12" s="26" t="str">
        <x:v>October 24, 1983</x:v>
      </x:c>
      <x:c r="D12" s="26" t="str">
        <x:v>DY XP1, DY XP2 plus seven additional frames</x:v>
      </x:c>
      <x:c r="E12" s="26" t="str">
        <x:v>The archive describes a nine-frame first group.</x:v>
      </x:c>
      <x:c r="F12" s="26" t="str">
        <x:v>First-person firsts archive</x:v>
      </x:c>
      <x:c r="G12" s="26" t="str">
        <x:v>The group contains different development/release roles; not nine identical retail bikes.</x:v>
      </x:c>
      <x:c r="H12" s="26" t="str">
        <x:v>Frame-by-frame ledger role and provenance.</x:v>
      </x:c>
      <x:c r="I12" s="26" t="str">
        <x:v>https://jmcbmx.wordpress.com/category/jmc-firsts/</x:v>
      </x:c>
      <x:c r="J12" s="26" t="str">
        <x:v>QUALIFIED</x:v>
      </x:c>
    </x:row>
    <x:row r="13" ht="82" customHeight="1">
      <x:c r="A13" s="26" t="str">
        <x:v>JMC-1ST-009</x:v>
      </x:c>
      <x:c r="B13" s="26" t="str">
        <x:v>Early Darrell Young retail sales</x:v>
      </x:c>
      <x:c r="C13" s="26" t="str">
        <x:v>January 8, 1984</x:v>
      </x:c>
      <x:c r="D13" s="26" t="str">
        <x:v>DY8411, DY8413, DY8420</x:v>
      </x:c>
      <x:c r="E13" s="26" t="str">
        <x:v>The archive identifies dealer sales in Oregon and Southern California.</x:v>
      </x:c>
      <x:c r="F13" s="26" t="str">
        <x:v>First-person firsts archive</x:v>
      </x:c>
      <x:c r="G13" s="26" t="str">
        <x:v>Other early team/ABA frames precede these sales.</x:v>
      </x:c>
      <x:c r="H13" s="26" t="str">
        <x:v>Dealer invoice or production-book confirmation.</x:v>
      </x:c>
      <x:c r="I13" s="26" t="str">
        <x:v>https://jmcbmx.wordpress.com/category/jmc-firsts/</x:v>
      </x:c>
      <x:c r="J13" s="26" t="str">
        <x:v>ATTRIBUTED</x:v>
      </x:c>
    </x:row>
    <x:row r="14" ht="82" customHeight="1">
      <x:c r="A14" s="26" t="str">
        <x:v>JMC-1ST-010</x:v>
      </x:c>
      <x:c r="B14" s="26" t="str">
        <x:v>Andy Patterson first sequence</x:v>
      </x:c>
      <x:c r="C14" s="26" t="str">
        <x:v>August 2–3, 1984</x:v>
      </x:c>
      <x:c r="D14" s="26" t="str">
        <x:v>AP2/AP3 rider; AP4 team; AP5 first sold</x:v>
      </x:c>
      <x:c r="E14" s="26" t="str">
        <x:v>The archive identifies the early assignment sequence.</x:v>
      </x:c>
      <x:c r="F14" s="26" t="str">
        <x:v>First-person firsts archive</x:v>
      </x:c>
      <x:c r="G14" s="26" t="str">
        <x:v>AP1 remains unresolved in the public material.</x:v>
      </x:c>
      <x:c r="H14" s="26" t="str">
        <x:v>Production-book entry and AP1 explanation.</x:v>
      </x:c>
      <x:c r="I14" s="26" t="str">
        <x:v>https://jmcbmx.wordpress.com/category/jmc-firsts/</x:v>
      </x:c>
      <x:c r="J14" s="26" t="str">
        <x:v>QUALIFIED</x:v>
      </x:c>
    </x:row>
    <x:row r="15" ht="82" customHeight="1">
      <x:c r="A15" s="26" t="str">
        <x:v>JMC-1ST-011</x:v>
      </x:c>
      <x:c r="B15" s="26" t="str">
        <x:v>Andy Patterson production total</x:v>
      </x:c>
      <x:c r="C15" s="26" t="str">
        <x:v>1984–1985</x:v>
      </x:c>
      <x:c r="D15" s="26" t="str">
        <x:v>333 reported</x:v>
      </x:c>
      <x:c r="E15" s="26" t="str">
        <x:v>Company archive reports 333 produced.</x:v>
      </x:c>
      <x:c r="F15" s="26" t="str">
        <x:v>First-person company history</x:v>
      </x:c>
      <x:c r="G15" s="26" t="str">
        <x:v>Total remains attributed pending direct ledger audit.</x:v>
      </x:c>
      <x:c r="H15" s="26" t="str">
        <x:v>Official count or certificate dataset.</x:v>
      </x:c>
      <x:c r="I15" s="26" t="str">
        <x:v>https://jmcbmx.wordpress.com/about/</x:v>
      </x:c>
      <x:c r="J15" s="26" t="str">
        <x:v>ATTRIBUTED TOTAL</x:v>
      </x:c>
    </x:row>
  </x:sheetData>
  <x:mergeCells>
    <x:mergeCell ref="A1:J1"/>
    <x:mergeCell ref="A2:J2"/>
  </x:mergeCells>
  <x:pageMargins left="0.7" right="0.7" top="0.75" bottom="0.75" header="0.3" footer="0.3"/>
  <x:tableParts count="1">
    <x:tablePart xmlns:r="http://schemas.openxmlformats.org/officeDocument/2006/relationships" r:id="Rb59cc3b9cf8f4c5d"/>
  </x:tableParts>
</x:worksheet>
</file>

<file path=xl/worksheets/sheet92.xml><?xml version="1.0" encoding="utf-8"?>
<x:worksheet xmlns:x="http://schemas.openxmlformats.org/spreadsheetml/2006/main">
  <x:sheetFormatPr defaultRowHeight="15"/>
  <x:cols>
    <x:col min="1" max="1" width="15" hidden="0" customWidth="1"/>
    <x:col min="2" max="2" width="30" hidden="0" customWidth="1"/>
    <x:col min="3" max="3" width="32" hidden="0" customWidth="1"/>
    <x:col min="4" max="4" width="64" hidden="0" customWidth="1"/>
    <x:col min="5" max="5" width="50" hidden="0" customWidth="1"/>
    <x:col min="6" max="6" width="48" hidden="0" customWidth="1"/>
    <x:col min="7" max="7" width="42" hidden="0" customWidth="1"/>
    <x:col min="8" max="8" width="60" hidden="0" customWidth="1"/>
    <x:col min="9" max="9" width="24" hidden="0" customWidth="1"/>
  </x:cols>
  <x:sheetData>
    <x:row r="1" ht="31" customHeight="1">
      <x:c r="A1" s="579" t="str">
        <x:v>JMC Period Product Tests</x:v>
      </x:c>
      <x:c r="B1" s="579"/>
      <x:c r="C1" s="579"/>
      <x:c r="D1" s="579"/>
      <x:c r="E1" s="579"/>
      <x:c r="F1" s="579"/>
      <x:c r="G1" s="579"/>
      <x:c r="H1" s="579"/>
      <x:c r="I1" s="579"/>
    </x:row>
    <x:row r="2" ht="31" customHeight="1">
      <x:c r="A2" s="584" t="str">
        <x:v>Period tests provide independent measurements and ride evaluation. They do not authenticate a surviving submitted bicycle or establish one universal component specification.</x:v>
      </x:c>
      <x:c r="B2" s="584"/>
      <x:c r="C2" s="584"/>
      <x:c r="D2" s="584"/>
      <x:c r="E2" s="584"/>
      <x:c r="F2" s="584"/>
      <x:c r="G2" s="584"/>
      <x:c r="H2" s="584"/>
      <x:c r="I2" s="584"/>
    </x:row>
    <x:row r="4">
      <x:c r="A4" s="589" t="str">
        <x:v>Test ID</x:v>
      </x:c>
      <x:c r="B4" s="589" t="str">
        <x:v>Publication / Date</x:v>
      </x:c>
      <x:c r="C4" s="589" t="str">
        <x:v>Object Tested</x:v>
      </x:c>
      <x:c r="D4" s="589" t="str">
        <x:v>Measured / Reported Data</x:v>
      </x:c>
      <x:c r="E4" s="589" t="str">
        <x:v>Interpretive Value</x:v>
      </x:c>
      <x:c r="F4" s="589" t="str">
        <x:v>Limitation</x:v>
      </x:c>
      <x:c r="G4" s="589" t="str">
        <x:v>Rights / Use</x:v>
      </x:c>
      <x:c r="H4" s="589" t="str">
        <x:v>Source URL</x:v>
      </x:c>
      <x:c r="I4" s="589" t="str">
        <x:v>Status</x:v>
      </x:c>
    </x:row>
    <x:row r="5" ht="96" customHeight="1">
      <x:c r="A5" s="26" t="str">
        <x:v>JMC-TEST-001</x:v>
      </x:c>
      <x:c r="B5" s="26" t="str">
        <x:v>Bicycle Motocross Action, July 1979</x:v>
      </x:c>
      <x:c r="C5" s="26" t="str">
        <x:v>JMC frame and fork</x:v>
      </x:c>
      <x:c r="D5" s="26" t="str">
        <x:v>Period test object identified through the Old School BMX Tests index.</x:v>
      </x:c>
      <x:c r="E5" s="26" t="str">
        <x:v>Establishes a period test for early JMC production and provides a future construction/specification source.</x:v>
      </x:c>
      <x:c r="F5" s="26" t="str">
        <x:v>Detailed measurements require page-level transcription; scans are not republished.</x:v>
      </x:c>
      <x:c r="G5" s="26" t="str">
        <x:v>Index and paraphrase factual data only; image rights remain with the publication/creator.</x:v>
      </x:c>
      <x:c r="H5" s="26" t="str">
        <x:v>https://oldschoolmags.com/tests/JMC_Frame_Forks_BMXA7907.pdf</x:v>
      </x:c>
      <x:c r="I5" s="26" t="str">
        <x:v>INDEXED / TRANSCRIPTION OPEN</x:v>
      </x:c>
    </x:row>
    <x:row r="6" ht="96" customHeight="1">
      <x:c r="A6" s="26" t="str">
        <x:v>JMC-TEST-002</x:v>
      </x:c>
      <x:c r="B6" s="26" t="str">
        <x:v>Super BMX, May 1981</x:v>
      </x:c>
      <x:c r="C6" s="26" t="str">
        <x:v>JMC 3.1 XL</x:v>
      </x:c>
      <x:c r="D6" s="26" t="str">
        <x:v>Period test object identified through the Old School BMX Tests index.</x:v>
      </x:c>
      <x:c r="E6" s="26" t="str">
        <x:v>Can verify frame weight, geometry and ride interpretation independent of advertisements.</x:v>
      </x:c>
      <x:c r="F6" s="26" t="str">
        <x:v>Exact measured data still requires controlled transcription.</x:v>
      </x:c>
      <x:c r="G6" s="26" t="str">
        <x:v>Index and paraphrase factual data only; no scan republication.</x:v>
      </x:c>
      <x:c r="H6" s="26" t="str">
        <x:v>https://oldschoolmags.com/tests/JMC_31XL_SBMX_8105.pdf</x:v>
      </x:c>
      <x:c r="I6" s="26" t="str">
        <x:v>INDEXED / TRANSCRIPTION OPEN</x:v>
      </x:c>
    </x:row>
    <x:row r="7" ht="96" customHeight="1">
      <x:c r="A7" s="26" t="str">
        <x:v>JMC-TEST-003</x:v>
      </x:c>
      <x:c r="B7" s="26" t="str">
        <x:v>Bicycles and Dirt, March 1984</x:v>
      </x:c>
      <x:c r="C7" s="26" t="str">
        <x:v>JMC Darrell Young Design complete bicycle</x:v>
      </x:c>
      <x:c r="D7" s="26" t="str">
        <x:v>Test build: JMC frame/fork/bars; AME grips; DK stem; Takagi cranks; Shimano DX pedals; Kashimax Aero seat; Araya rims; Suzie hubs; Carlisle tires; Dia-Compe MX brake. Measured 25 lb; 35¼-in wheelbase; 14¼-in rear triangle; 12-in BB height; 75° head tube; 70° seat tube; 28-in bars with 9¼-in rise.</x:v>
      </x:c>
      <x:c r="E7" s="26" t="str">
        <x:v>Provides a period measurement and component record for one tested complete bicycle and documents design differences discussed by Darrell Young.</x:v>
      </x:c>
      <x:c r="F7" s="26" t="str">
        <x:v>The test build is not a universal factory specification, and measurements may reflect the tested setup.</x:v>
      </x:c>
      <x:c r="G7" s="26" t="str">
        <x:v>Bibliographic facts and measurements may be paraphrased; do not reproduce pages.</x:v>
      </x:c>
      <x:c r="H7" s="26" t="str">
        <x:v>https://oldschoolmags.com/tests/JMC_DY_Bikes%26Dirt8403.pdf</x:v>
      </x:c>
      <x:c r="I7" s="26" t="str">
        <x:v>PERIOD DATA CAPTURED</x:v>
      </x:c>
    </x:row>
  </x:sheetData>
  <x:mergeCells>
    <x:mergeCell ref="A1:I1"/>
    <x:mergeCell ref="A2:I2"/>
  </x:mergeCells>
  <x:pageMargins left="0.7" right="0.7" top="0.75" bottom="0.75" header="0.3" footer="0.3"/>
  <x:tableParts count="1">
    <x:tablePart xmlns:r="http://schemas.openxmlformats.org/officeDocument/2006/relationships" r:id="Rda79ceca6f49469e"/>
  </x:tableParts>
</x:worksheet>
</file>

<file path=xl/worksheets/sheet93.xml><?xml version="1.0" encoding="utf-8"?>
<x:worksheet xmlns:x="http://schemas.openxmlformats.org/spreadsheetml/2006/main">
  <x:sheetFormatPr defaultRowHeight="15"/>
  <x:cols>
    <x:col min="1" max="1" width="15" hidden="0" customWidth="1"/>
    <x:col min="2" max="2" width="26" hidden="0" customWidth="1"/>
    <x:col min="3" max="3" width="27" hidden="0" customWidth="1"/>
    <x:col min="4" max="4" width="24" hidden="0" customWidth="1"/>
    <x:col min="5" max="5" width="48" hidden="0" customWidth="1"/>
    <x:col min="6" max="6" width="31" hidden="0" customWidth="1"/>
    <x:col min="7" max="7" width="48" hidden="0" customWidth="1"/>
    <x:col min="8" max="8" width="35" hidden="0" customWidth="1"/>
    <x:col min="9" max="9" width="58" hidden="0" customWidth="1"/>
    <x:col min="10" max="10" width="23" hidden="0" customWidth="1"/>
  </x:cols>
  <x:sheetData>
    <x:row r="1" ht="31" customHeight="1">
      <x:c r="A1" s="579" t="str">
        <x:v>JMC People, Team and Product-Development Relationships</x:v>
      </x:c>
      <x:c r="B1" s="579"/>
      <x:c r="C1" s="579"/>
      <x:c r="D1" s="579"/>
      <x:c r="E1" s="579"/>
      <x:c r="F1" s="579"/>
      <x:c r="G1" s="579"/>
      <x:c r="H1" s="579"/>
      <x:c r="I1" s="579"/>
      <x:c r="J1" s="579"/>
    </x:row>
    <x:row r="2" ht="31" customHeight="1">
      <x:c r="A2" s="584" t="str">
        <x:v>Shop-team membership, factory-team tenure, prototype testing, signature-model development and later tribute are separate relationship types.</x:v>
      </x:c>
      <x:c r="B2" s="584"/>
      <x:c r="C2" s="584"/>
      <x:c r="D2" s="584"/>
      <x:c r="E2" s="584"/>
      <x:c r="F2" s="584"/>
      <x:c r="G2" s="584"/>
      <x:c r="H2" s="584"/>
      <x:c r="I2" s="584"/>
      <x:c r="J2" s="584"/>
    </x:row>
    <x:row r="4">
      <x:c r="A4" s="589" t="str">
        <x:v>Team ID</x:v>
      </x:c>
      <x:c r="B4" s="589" t="str">
        <x:v>Person</x:v>
      </x:c>
      <x:c r="C4" s="589" t="str">
        <x:v>Role / Team Type</x:v>
      </x:c>
      <x:c r="D4" s="589" t="str">
        <x:v>Years / Period</x:v>
      </x:c>
      <x:c r="E4" s="589" t="str">
        <x:v>JMC Relationship</x:v>
      </x:c>
      <x:c r="F4" s="589" t="str">
        <x:v>Evidence Class</x:v>
      </x:c>
      <x:c r="G4" s="589" t="str">
        <x:v>Qualification</x:v>
      </x:c>
      <x:c r="H4" s="589" t="str">
        <x:v>Related Model / Object</x:v>
      </x:c>
      <x:c r="I4" s="589" t="str">
        <x:v>Source URL</x:v>
      </x:c>
      <x:c r="J4" s="589" t="str">
        <x:v>Status</x:v>
      </x:c>
    </x:row>
    <x:row r="5" ht="82" customHeight="1">
      <x:c r="A5" s="26" t="str">
        <x:v>JMC-TEAM-001</x:v>
      </x:c>
      <x:c r="B5" s="26" t="str">
        <x:v>Harry Leary</x:v>
      </x:c>
      <x:c r="C5" s="26" t="str">
        <x:v>Shop/factory rider</x:v>
      </x:c>
      <x:c r="D5" s="26" t="str">
        <x:v>1975–1979</x:v>
      </x:c>
      <x:c r="E5" s="26" t="str">
        <x:v>Named on the 1975 JM Cyclery team; associated with XP2 Long prototype; later factory roster years include 1975–79.</x:v>
      </x:c>
      <x:c r="F5" s="26" t="str">
        <x:v>First-person company archive</x:v>
      </x:c>
      <x:c r="G5" s="26" t="str">
        <x:v>Exact start/end month and every bike used remain open.</x:v>
      </x:c>
      <x:c r="H5" s="26" t="str">
        <x:v>JM Special era; XP2; Long Standard; July 1979 cover source</x:v>
      </x:c>
      <x:c r="I5" s="26" t="str">
        <x:v>https://jmcbmx.wordpress.com/about/</x:v>
      </x:c>
      <x:c r="J5" s="26" t="str">
        <x:v>CORE RELATIONSHIP</x:v>
      </x:c>
    </x:row>
    <x:row r="6" ht="82" customHeight="1">
      <x:c r="A6" s="26" t="str">
        <x:v>JMC-TEAM-002</x:v>
      </x:c>
      <x:c r="B6" s="26" t="str">
        <x:v>John Begin</x:v>
      </x:c>
      <x:c r="C6" s="26" t="str">
        <x:v>Shop/factory rider</x:v>
      </x:c>
      <x:c r="D6" s="26" t="str">
        <x:v>1975 onward</x:v>
      </x:c>
      <x:c r="E6" s="26" t="str">
        <x:v>Named on the 1975 shop team and factory roster.</x:v>
      </x:c>
      <x:c r="F6" s="26" t="str">
        <x:v>First-person company archive</x:v>
      </x:c>
      <x:c r="G6" s="26" t="str">
        <x:v>Complete tenure and model use need period corroboration.</x:v>
      </x:c>
      <x:c r="H6" s="26" t="str">
        <x:v>Early team</x:v>
      </x:c>
      <x:c r="I6" s="26" t="str">
        <x:v>https://jmcbmx.wordpress.com/jmc-factory-riders/</x:v>
      </x:c>
      <x:c r="J6" s="26" t="str">
        <x:v>ATTRIBUTED</x:v>
      </x:c>
    </x:row>
    <x:row r="7" ht="82" customHeight="1">
      <x:c r="A7" s="26" t="str">
        <x:v>JMC-TEAM-003</x:v>
      </x:c>
      <x:c r="B7" s="26" t="str">
        <x:v>Ronnie West</x:v>
      </x:c>
      <x:c r="C7" s="26" t="str">
        <x:v>Prototype/team rider</x:v>
      </x:c>
      <x:c r="D7" s="26" t="str">
        <x:v>1975–1977 period</x:v>
      </x:c>
      <x:c r="E7" s="26" t="str">
        <x:v>Named on shop team and associated with XP1 Short prototype.</x:v>
      </x:c>
      <x:c r="F7" s="26" t="str">
        <x:v>First-person company archive</x:v>
      </x:c>
      <x:c r="G7" s="26" t="str">
        <x:v>Surviving XP1 chain of custody remains open.</x:v>
      </x:c>
      <x:c r="H7" s="26" t="str">
        <x:v>XP1 Short</x:v>
      </x:c>
      <x:c r="I7" s="26" t="str">
        <x:v>https://jmcbmx.wordpress.com/about/</x:v>
      </x:c>
      <x:c r="J7" s="26" t="str">
        <x:v>CORE PROTOTYPE RELATIONSHIP</x:v>
      </x:c>
    </x:row>
    <x:row r="8" ht="82" customHeight="1">
      <x:c r="A8" s="26" t="str">
        <x:v>JMC-TEAM-004</x:v>
      </x:c>
      <x:c r="B8" s="26" t="str">
        <x:v>Dennis Foster</x:v>
      </x:c>
      <x:c r="C8" s="26" t="str">
        <x:v>Shop/prototype rider</x:v>
      </x:c>
      <x:c r="D8" s="26" t="str">
        <x:v>1975–1976 period</x:v>
      </x:c>
      <x:c r="E8" s="26" t="str">
        <x:v>Named on shop team and prototype-development group.</x:v>
      </x:c>
      <x:c r="F8" s="26" t="str">
        <x:v>First-person company archive</x:v>
      </x:c>
      <x:c r="G8" s="26" t="str">
        <x:v>Specific prototype assignment unresolved.</x:v>
      </x:c>
      <x:c r="H8" s="26" t="str">
        <x:v>Prototype program</x:v>
      </x:c>
      <x:c r="I8" s="26" t="str">
        <x:v>https://jmcbmx.wordpress.com/about/</x:v>
      </x:c>
      <x:c r="J8" s="26" t="str">
        <x:v>ATTRIBUTED</x:v>
      </x:c>
    </x:row>
    <x:row r="9" ht="82" customHeight="1">
      <x:c r="A9" s="26" t="str">
        <x:v>JMC-TEAM-005</x:v>
      </x:c>
      <x:c r="B9" s="26" t="str">
        <x:v>George Erhart</x:v>
      </x:c>
      <x:c r="C9" s="26" t="str">
        <x:v>Prototype-development rider</x:v>
      </x:c>
      <x:c r="D9" s="26" t="str">
        <x:v>1976</x:v>
      </x:c>
      <x:c r="E9" s="26" t="str">
        <x:v>Named among prototype participants.</x:v>
      </x:c>
      <x:c r="F9" s="26" t="str">
        <x:v>First-person company archive</x:v>
      </x:c>
      <x:c r="G9" s="26" t="str">
        <x:v>Specific frame/serial assignment unresolved.</x:v>
      </x:c>
      <x:c r="H9" s="26" t="str">
        <x:v>Prototype program</x:v>
      </x:c>
      <x:c r="I9" s="26" t="str">
        <x:v>https://jmcbmx.wordpress.com/about/</x:v>
      </x:c>
      <x:c r="J9" s="26" t="str">
        <x:v>ATTRIBUTED</x:v>
      </x:c>
    </x:row>
    <x:row r="10" ht="82" customHeight="1">
      <x:c r="A10" s="26" t="str">
        <x:v>JMC-TEAM-006</x:v>
      </x:c>
      <x:c r="B10" s="26" t="str">
        <x:v>Clint Miller</x:v>
      </x:c>
      <x:c r="C10" s="26" t="str">
        <x:v>Shop/factory rider</x:v>
      </x:c>
      <x:c r="D10" s="26" t="str">
        <x:v>1975 onward</x:v>
      </x:c>
      <x:c r="E10" s="26" t="str">
        <x:v>Named on 1975 shop team; associated with first production long JMC20.</x:v>
      </x:c>
      <x:c r="F10" s="26" t="str">
        <x:v>First-person company archive</x:v>
      </x:c>
      <x:c r="G10" s="26" t="str">
        <x:v>Ownership/provenance of surviving JMC20 requires certification.</x:v>
      </x:c>
      <x:c r="H10" s="26" t="str">
        <x:v>Long Standard JMC20</x:v>
      </x:c>
      <x:c r="I10" s="26" t="str">
        <x:v>https://jmcbmx.wordpress.com/about/</x:v>
      </x:c>
      <x:c r="J10" s="26" t="str">
        <x:v>CORE PRODUCTION RELATIONSHIP</x:v>
      </x:c>
    </x:row>
    <x:row r="11" ht="82" customHeight="1">
      <x:c r="A11" s="26" t="str">
        <x:v>JMC-TEAM-007</x:v>
      </x:c>
      <x:c r="B11" s="26" t="str">
        <x:v>Dave Wilson</x:v>
      </x:c>
      <x:c r="C11" s="26" t="str">
        <x:v>Factory rider / first production recipient</x:v>
      </x:c>
      <x:c r="D11" s="26" t="str">
        <x:v>1977</x:v>
      </x:c>
      <x:c r="E11" s="26" t="str">
        <x:v>Associated with first production short JMC1.</x:v>
      </x:c>
      <x:c r="F11" s="26" t="str">
        <x:v>First-person company archive</x:v>
      </x:c>
      <x:c r="G11" s="26" t="str">
        <x:v>Current location/provenance of JMC1 requires certification.</x:v>
      </x:c>
      <x:c r="H11" s="26" t="str">
        <x:v>Short Standard JMC1</x:v>
      </x:c>
      <x:c r="I11" s="26" t="str">
        <x:v>https://jmcbmx.wordpress.com/2010/02/02/how-to-id-a-jmc/</x:v>
      </x:c>
      <x:c r="J11" s="26" t="str">
        <x:v>CORE PRODUCTION RELATIONSHIP</x:v>
      </x:c>
    </x:row>
    <x:row r="12" ht="82" customHeight="1">
      <x:c r="A12" s="26" t="str">
        <x:v>JMC-TEAM-008</x:v>
      </x:c>
      <x:c r="B12" s="26" t="str">
        <x:v>Jason Wharton</x:v>
      </x:c>
      <x:c r="C12" s="26" t="str">
        <x:v>Factory rider</x:v>
      </x:c>
      <x:c r="D12" s="26" t="str">
        <x:v>1981</x:v>
      </x:c>
      <x:c r="E12" s="26" t="str">
        <x:v>Company history credits an ABA amateur title.</x:v>
      </x:c>
      <x:c r="F12" s="26" t="str">
        <x:v>First-person company history</x:v>
      </x:c>
      <x:c r="G12" s="26" t="str">
        <x:v>Official result record should be added.</x:v>
      </x:c>
      <x:c r="H12" s="26" t="str">
        <x:v>Shadow-era team</x:v>
      </x:c>
      <x:c r="I12" s="26" t="str">
        <x:v>https://jmcbmx.wordpress.com/about/</x:v>
      </x:c>
      <x:c r="J12" s="26" t="str">
        <x:v>RESULT CORROBORATION OPEN</x:v>
      </x:c>
    </x:row>
    <x:row r="13" ht="82" customHeight="1">
      <x:c r="A13" s="26" t="str">
        <x:v>JMC-TEAM-009</x:v>
      </x:c>
      <x:c r="B13" s="26" t="str">
        <x:v>Darrell Young</x:v>
      </x:c>
      <x:c r="C13" s="26" t="str">
        <x:v>Factory/signature rider</x:v>
      </x:c>
      <x:c r="D13" s="26" t="str">
        <x:v>1981–1983 team period; signature model 1983–85</x:v>
      </x:c>
      <x:c r="E13" s="26" t="str">
        <x:v>First red Shadow built for him in 1981; later Darrell Young Design developed and marketed.</x:v>
      </x:c>
      <x:c r="F13" s="26" t="str">
        <x:v>First-person company archive + period test + official USA BMX history</x:v>
      </x:c>
      <x:c r="G13" s="26" t="str">
        <x:v>Exact design contribution should remain attributed to period accounts.</x:v>
      </x:c>
      <x:c r="H13" s="26" t="str">
        <x:v>Shadow; Darrell Young Design</x:v>
      </x:c>
      <x:c r="I13" s="26" t="str">
        <x:v>https://jmcbmx.wordpress.com/about/</x:v>
      </x:c>
      <x:c r="J13" s="26" t="str">
        <x:v>CORE SIGNATURE RELATIONSHIP</x:v>
      </x:c>
    </x:row>
    <x:row r="14" ht="82" customHeight="1">
      <x:c r="A14" s="26" t="str">
        <x:v>JMC-TEAM-010</x:v>
      </x:c>
      <x:c r="B14" s="26" t="str">
        <x:v>Justin Roos</x:v>
      </x:c>
      <x:c r="C14" s="26" t="str">
        <x:v>Development rider</x:v>
      </x:c>
      <x:c r="D14" s="26" t="str">
        <x:v>1982</x:v>
      </x:c>
      <x:c r="E14" s="26" t="str">
        <x:v>JR Mini developed for him.</x:v>
      </x:c>
      <x:c r="F14" s="26" t="str">
        <x:v>First-person company history</x:v>
      </x:c>
      <x:c r="G14" s="26" t="str">
        <x:v>Production sequence and complete rider tenure remain open.</x:v>
      </x:c>
      <x:c r="H14" s="26" t="str">
        <x:v>JR Mini</x:v>
      </x:c>
      <x:c r="I14" s="26" t="str">
        <x:v>https://jmcbmx.wordpress.com/about/</x:v>
      </x:c>
      <x:c r="J14" s="26" t="str">
        <x:v>SIGNATURE DEVELOPMENT</x:v>
      </x:c>
    </x:row>
    <x:row r="15" ht="82" customHeight="1">
      <x:c r="A15" s="26" t="str">
        <x:v>JMC-TEAM-011</x:v>
      </x:c>
      <x:c r="B15" s="26" t="str">
        <x:v>Andy Patterson</x:v>
      </x:c>
      <x:c r="C15" s="26" t="str">
        <x:v>Factory/signature rider</x:v>
      </x:c>
      <x:c r="D15" s="26" t="str">
        <x:v>1984–1985</x:v>
      </x:c>
      <x:c r="E15" s="26" t="str">
        <x:v>Signature AP model developed in August 1984; company archive reports 333 made.</x:v>
      </x:c>
      <x:c r="F15" s="26" t="str">
        <x:v>First-person company archive + official Hall of Fame recognition</x:v>
      </x:c>
      <x:c r="G15" s="26" t="str">
        <x:v>AP1 status and complete model sequence remain open.</x:v>
      </x:c>
      <x:c r="H15" s="26" t="str">
        <x:v>Andy Patterson Design</x:v>
      </x:c>
      <x:c r="I15" s="26" t="str">
        <x:v>https://jmcbmx.wordpress.com/category/jmc-firsts/</x:v>
      </x:c>
      <x:c r="J15" s="26" t="str">
        <x:v>CORE SIGNATURE RELATIONSHIP</x:v>
      </x:c>
    </x:row>
    <x:row r="16" ht="82" customHeight="1">
      <x:c r="A16" s="26" t="str">
        <x:v>JMC-TEAM-012</x:v>
      </x:c>
      <x:c r="B16" s="26" t="str">
        <x:v>Jim Melton</x:v>
      </x:c>
      <x:c r="C16" s="26" t="str">
        <x:v>Founder / manufacturer</x:v>
      </x:c>
      <x:c r="D16" s="26" t="str">
        <x:v>1969–1985 business; BMX production 1977–85</x:v>
      </x:c>
      <x:c r="E16" s="26" t="str">
        <x:v>Founded and operated the company and maintained production records used for later certification.</x:v>
      </x:c>
      <x:c r="F16" s="26" t="str">
        <x:v>First-person/current official company sources</x:v>
      </x:c>
      <x:c r="G16" s="26" t="str">
        <x:v>Founder history does not by itself authenticate every submitted bike.</x:v>
      </x:c>
      <x:c r="H16" s="26" t="str">
        <x:v>All JMC production</x:v>
      </x:c>
      <x:c r="I16" s="26" t="str">
        <x:v>https://jmcbmx.com/</x:v>
      </x:c>
      <x:c r="J16" s="26" t="str">
        <x:v>CORE FOUNDER</x:v>
      </x:c>
    </x:row>
    <x:row r="17" ht="82" customHeight="1">
      <x:c r="A17" s="26" t="str">
        <x:v>JMC-TEAM-013</x:v>
      </x:c>
      <x:c r="B17" s="26" t="str">
        <x:v>Larry Barker</x:v>
      </x:c>
      <x:c r="C17" s="26" t="str">
        <x:v>Prototype-development collaborator</x:v>
      </x:c>
      <x:c r="D17" s="26" t="str">
        <x:v>1976</x:v>
      </x:c>
      <x:c r="E17" s="26" t="str">
        <x:v>Named as a collaborator in prototype development.</x:v>
      </x:c>
      <x:c r="F17" s="26" t="str">
        <x:v>First-person company history</x:v>
      </x:c>
      <x:c r="G17" s="26" t="str">
        <x:v>Exact design/fabrication role needs a detailed statement.</x:v>
      </x:c>
      <x:c r="H17" s="26" t="str">
        <x:v>XP prototype program</x:v>
      </x:c>
      <x:c r="I17" s="26" t="str">
        <x:v>https://jmcbmx.wordpress.com/about/</x:v>
      </x:c>
      <x:c r="J17" s="26" t="str">
        <x:v>ATTRIBUTED</x:v>
      </x:c>
    </x:row>
    <x:row r="18" ht="82" customHeight="1">
      <x:c r="A18" s="26" t="str">
        <x:v>JMC-TEAM-014</x:v>
      </x:c>
      <x:c r="B18" s="26" t="str">
        <x:v>Carla Melton Jansen</x:v>
      </x:c>
      <x:c r="C18" s="26" t="str">
        <x:v>Current authentication custodian</x:v>
      </x:c>
      <x:c r="D18" s="26" t="str">
        <x:v>Current</x:v>
      </x:c>
      <x:c r="E18" s="26" t="str">
        <x:v>Current JMC certification service describes signed authentication using serial, stamp and frame photographs, with production-record information where available.</x:v>
      </x:c>
      <x:c r="F18" s="26" t="str">
        <x:v>Current official JMC source</x:v>
      </x:c>
      <x:c r="G18" s="26" t="str">
        <x:v>Certification scope and record availability vary by frame.</x:v>
      </x:c>
      <x:c r="H18" s="26" t="str">
        <x:v>Certificate of Authenticity</x:v>
      </x:c>
      <x:c r="I18" s="26" t="str">
        <x:v>https://jmcbmx.com/products/certificate-of-authenticity</x:v>
      </x:c>
      <x:c r="J18" s="26" t="str">
        <x:v>CURRENT OFFICIAL</x:v>
      </x:c>
    </x:row>
  </x:sheetData>
  <x:mergeCells>
    <x:mergeCell ref="A1:J1"/>
    <x:mergeCell ref="A2:J2"/>
  </x:mergeCells>
  <x:pageMargins left="0.7" right="0.7" top="0.75" bottom="0.75" header="0.3" footer="0.3"/>
  <x:tableParts count="1">
    <x:tablePart xmlns:r="http://schemas.openxmlformats.org/officeDocument/2006/relationships" r:id="R48802f6d1d724fcc"/>
  </x:tableParts>
</x:worksheet>
</file>

<file path=xl/worksheets/sheet94.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18" hidden="0" customWidth="1"/>
    <x:col min="5" max="5" width="34" hidden="0" customWidth="1"/>
    <x:col min="6" max="6" width="50" hidden="0" customWidth="1"/>
    <x:col min="7" max="7" width="20" hidden="0" customWidth="1"/>
    <x:col min="8" max="8" width="48" hidden="0" customWidth="1"/>
    <x:col min="9" max="9" width="52" hidden="0" customWidth="1"/>
    <x:col min="10" max="10" width="58" hidden="0" customWidth="1"/>
    <x:col min="11" max="11" width="18" hidden="0" customWidth="1"/>
    <x:col min="12" max="12" width="24" hidden="0" customWidth="1"/>
  </x:cols>
  <x:sheetData>
    <x:row r="1" ht="31" customHeight="1">
      <x:c r="A1" s="579" t="str">
        <x:v>JMC BMXMuseum Objects and Permission-Free Recovery Status</x:v>
      </x:c>
      <x:c r="B1" s="579"/>
      <x:c r="C1" s="579"/>
      <x:c r="D1" s="579"/>
      <x:c r="E1" s="579"/>
      <x:c r="F1" s="579"/>
      <x:c r="G1" s="579"/>
      <x:c r="H1" s="579"/>
      <x:c r="I1" s="579"/>
      <x:c r="J1" s="579"/>
      <x:c r="K1" s="579"/>
      <x:c r="L1" s="579"/>
    </x:row>
    <x:row r="2" ht="31" customHeight="1">
      <x:c r="A2" s="584" t="str">
        <x:v>Only exact public IDs and paths are treated as exact objects. Unresolved title or subject leads remain open and are never converted into absence claims.</x:v>
      </x:c>
      <x:c r="B2" s="584"/>
      <x:c r="C2" s="584"/>
      <x:c r="D2" s="584"/>
      <x:c r="E2" s="584"/>
      <x:c r="F2" s="584"/>
      <x:c r="G2" s="584"/>
      <x:c r="H2" s="584"/>
      <x:c r="I2" s="584"/>
      <x:c r="J2" s="584"/>
      <x:c r="K2" s="584"/>
      <x:c r="L2" s="584"/>
    </x:row>
    <x:row r="4">
      <x:c r="A4" s="589" t="str">
        <x:v>Object ID</x:v>
      </x:c>
      <x:c r="B4" s="589" t="str">
        <x:v>BMXMuseum ID / Path</x:v>
      </x:c>
      <x:c r="C4" s="589" t="str">
        <x:v>Type</x:v>
      </x:c>
      <x:c r="D4" s="589" t="str">
        <x:v>Submitted Year</x:v>
      </x:c>
      <x:c r="E4" s="589" t="str">
        <x:v>Submitted Title</x:v>
      </x:c>
      <x:c r="F4" s="589" t="str">
        <x:v>Discovery Evidence</x:v>
      </x:c>
      <x:c r="G4" s="589" t="str">
        <x:v>Confidence</x:v>
      </x:c>
      <x:c r="H4" s="589" t="str">
        <x:v>Independent Context</x:v>
      </x:c>
      <x:c r="I4" s="589" t="str">
        <x:v>Limitation</x:v>
      </x:c>
      <x:c r="J4" s="589" t="str">
        <x:v>Canonical URL</x:v>
      </x:c>
      <x:c r="K4" s="589" t="str">
        <x:v>Rights Code</x:v>
      </x:c>
      <x:c r="L4" s="589" t="str">
        <x:v>Status</x:v>
      </x:c>
    </x:row>
    <x:row r="5" ht="82" customHeight="1">
      <x:c r="A5" s="26" t="str">
        <x:v>JMC-BMXM-001</x:v>
      </x:c>
      <x:c r="B5" s="26" t="str">
        <x:v>128885</x:v>
      </x:c>
      <x:c r="C5" s="26" t="str">
        <x:v>Bike</x:v>
      </x:c>
      <x:c r="D5" s="26" t="str">
        <x:v>1984</x:v>
      </x:c>
      <x:c r="E5" s="26" t="str">
        <x:v>JMC Racing 24</x:v>
      </x:c>
      <x:c r="F5" s="26" t="str">
        <x:v>BMXMuseum official public social post exposed the exact canonical record.</x:v>
      </x:c>
      <x:c r="G5" s="26" t="str">
        <x:v>A1 exact identity</x:v>
      </x:c>
      <x:c r="H5" s="26" t="str">
        <x:v>JMC company history confirms 24-inch cruiser production beginning in 1982.</x:v>
      </x:c>
      <x:c r="I5" s="26" t="str">
        <x:v>Submitted year/title do not prove serial, originality or factory configuration.</x:v>
      </x:c>
      <x:c r="J5" s="26" t="str">
        <x:v>https://www.bmxmuseum.com/bikes/jmc_racing/128885</x:v>
      </x:c>
      <x:c r="K5" s="26" t="str">
        <x:v>INDEX-ONLY</x:v>
      </x:c>
      <x:c r="L5" s="26" t="str">
        <x:v>EXACT PUBLIC RECORD</x:v>
      </x:c>
    </x:row>
    <x:row r="6" ht="82" customHeight="1">
      <x:c r="A6" s="26" t="str">
        <x:v>JMC-BMXM-002</x:v>
      </x:c>
      <x:c r="B6" s="26" t="str">
        <x:v>119290</x:v>
      </x:c>
      <x:c r="C6" s="26" t="str">
        <x:v>Bike</x:v>
      </x:c>
      <x:c r="D6" s="26" t="str">
        <x:v>1984</x:v>
      </x:c>
      <x:c r="E6" s="26" t="str">
        <x:v>JMC Racing Darrell Young</x:v>
      </x:c>
      <x:c r="F6" s="26" t="str">
        <x:v>BMXMuseum official public social post exposed the exact canonical record.</x:v>
      </x:c>
      <x:c r="G6" s="26" t="str">
        <x:v>A1 exact identity</x:v>
      </x:c>
      <x:c r="H6" s="26" t="str">
        <x:v>First-party chronology and a March 1984 period test support the model's 1984 existence.</x:v>
      </x:c>
      <x:c r="I6" s="26" t="str">
        <x:v>Submitted title does not authenticate the individual frame or components.</x:v>
      </x:c>
      <x:c r="J6" s="26" t="str">
        <x:v>https://www.bmxmuseum.com/bikes/jmc_racing/119290</x:v>
      </x:c>
      <x:c r="K6" s="26" t="str">
        <x:v>INDEX-ONLY</x:v>
      </x:c>
      <x:c r="L6" s="26" t="str">
        <x:v>EXACT PUBLIC RECORD</x:v>
      </x:c>
    </x:row>
    <x:row r="7" ht="82" customHeight="1">
      <x:c r="A7" s="26" t="str">
        <x:v>JMC-BMXM-003</x:v>
      </x:c>
      <x:c r="B7" s="26" t="str">
        <x:v>/bikes/jmc_racing/</x:v>
      </x:c>
      <x:c r="C7" s="26" t="str">
        <x:v>Brand gallery</x:v>
      </x:c>
      <x:c r="D7" s="26"/>
      <x:c r="E7" s="26" t="str">
        <x:v>JMC Racing brand gallery</x:v>
      </x:c>
      <x:c r="F7" s="26" t="str">
        <x:v>Public canonical gallery path.</x:v>
      </x:c>
      <x:c r="G7" s="26" t="str">
        <x:v>HIGH for endpoint</x:v>
      </x:c>
      <x:c r="H7" s="26" t="str">
        <x:v>Useful discovery hub for submitted examples.</x:v>
      </x:c>
      <x:c r="I7" s="26" t="str">
        <x:v>No completeness claim and no automated crawl.</x:v>
      </x:c>
      <x:c r="J7" s="26" t="str">
        <x:v>https://www.bmxmuseum.com/bikes/jmc_racing/</x:v>
      </x:c>
      <x:c r="K7" s="26" t="str">
        <x:v>INDEX-ONLY</x:v>
      </x:c>
      <x:c r="L7" s="26" t="str">
        <x:v>PUBLIC ENDPOINT</x:v>
      </x:c>
    </x:row>
    <x:row r="8" ht="82" customHeight="1">
      <x:c r="A8" s="26" t="str">
        <x:v>JMC-BMXM-004</x:v>
      </x:c>
      <x:c r="B8" s="26" t="str">
        <x:v>Unresolved</x:v>
      </x:c>
      <x:c r="C8" s="26" t="str">
        <x:v>Reference / combined ephemera</x:v>
      </x:c>
      <x:c r="D8" s="26"/>
      <x:c r="E8" s="26" t="str">
        <x:v>JMC Racing Fliers and Price List</x:v>
      </x:c>
      <x:c r="F8" s="26" t="str">
        <x:v>Public index exposes the title and BMXMuseum provenance.</x:v>
      </x:c>
      <x:c r="G8" s="26" t="str">
        <x:v>MEDIUM</x:v>
      </x:c>
      <x:c r="H8" s="26" t="str">
        <x:v>Independent JMC archive confirms related period advertisements and product chronology.</x:v>
      </x:c>
      <x:c r="I8" s="26" t="str">
        <x:v>Exact reference ID, date, page count and relation to other price lists remain unresolved.</x:v>
      </x:c>
      <x:c r="J8" s="26" t="str">
        <x:v>https://www.pinterest.com/pin/jmc-bmx-fliers-and-price-list--442478732119429034/</x:v>
      </x:c>
      <x:c r="K8" s="26" t="str">
        <x:v>INDEX-ONLY</x:v>
      </x:c>
      <x:c r="L8" s="26" t="str">
        <x:v>TITLE LEAD</x:v>
      </x:c>
    </x:row>
    <x:row r="9" ht="82" customHeight="1">
      <x:c r="A9" s="26" t="str">
        <x:v>JMC-BMXM-005</x:v>
      </x:c>
      <x:c r="B9" s="26" t="str">
        <x:v>Unresolved</x:v>
      </x:c>
      <x:c r="C9" s="26" t="str">
        <x:v>Bike / title lead</x:v>
      </x:c>
      <x:c r="D9" s="26" t="str">
        <x:v>1984–1985 period</x:v>
      </x:c>
      <x:c r="E9" s="26" t="str">
        <x:v>Andy Patterson</x:v>
      </x:c>
      <x:c r="F9" s="26" t="str">
        <x:v>Public title lead preserved in the master register.</x:v>
      </x:c>
      <x:c r="G9" s="26" t="str">
        <x:v>LOW-MEDIUM</x:v>
      </x:c>
      <x:c r="H9" s="26" t="str">
        <x:v>First-party archive confirms AP model development in August 1984.</x:v>
      </x:c>
      <x:c r="I9" s="26" t="str">
        <x:v>No canonical ID recovered; title lead cannot prove an individual record exists now.</x:v>
      </x:c>
      <x:c r="J9" s="26" t="str"/>
      <x:c r="K9" s="26" t="str">
        <x:v>INDEX-ONLY</x:v>
      </x:c>
      <x:c r="L9" s="26" t="str">
        <x:v>OPEN</x:v>
      </x:c>
    </x:row>
    <x:row r="10" ht="82" customHeight="1">
      <x:c r="A10" s="26" t="str">
        <x:v>JMC-BMXM-006</x:v>
      </x:c>
      <x:c r="B10" s="26" t="str">
        <x:v>Unresolved</x:v>
      </x:c>
      <x:c r="C10" s="26" t="str">
        <x:v>Reference/forum leads</x:v>
      </x:c>
      <x:c r="D10" s="26"/>
      <x:c r="E10" s="26" t="str">
        <x:v>3.1 XL, Mini, Black Shadow, forks and serial discussions</x:v>
      </x:c>
      <x:c r="F10" s="26" t="str">
        <x:v>External histories and public indexing cite BMXMuseum's JMC ecosystem.</x:v>
      </x:c>
      <x:c r="G10" s="26" t="str">
        <x:v>LOW-MEDIUM</x:v>
      </x:c>
      <x:c r="H10" s="26" t="str">
        <x:v>First-party and period sources independently confirm the product families.</x:v>
      </x:c>
      <x:c r="I10" s="26" t="str">
        <x:v>Exact IDs and thread titles remain unrecovered.</x:v>
      </x:c>
      <x:c r="J10" s="26" t="str"/>
      <x:c r="K10" s="26" t="str">
        <x:v>INDEX-ONLY</x:v>
      </x:c>
      <x:c r="L10" s="26" t="str">
        <x:v>OPEN</x:v>
      </x:c>
    </x:row>
  </x:sheetData>
  <x:mergeCells>
    <x:mergeCell ref="A1:L1"/>
    <x:mergeCell ref="A2:L2"/>
  </x:mergeCells>
  <x:pageMargins left="0.7" right="0.7" top="0.75" bottom="0.75" header="0.3" footer="0.3"/>
  <x:tableParts count="1">
    <x:tablePart xmlns:r="http://schemas.openxmlformats.org/officeDocument/2006/relationships" r:id="R16de7208cfbb4ce4"/>
  </x:tableParts>
</x:worksheet>
</file>

<file path=xl/worksheets/sheet95.xml><?xml version="1.0" encoding="utf-8"?>
<x:worksheet xmlns:x="http://schemas.openxmlformats.org/spreadsheetml/2006/main">
  <x:sheetFormatPr defaultRowHeight="15"/>
  <x:cols>
    <x:col min="1" max="1" width="15" hidden="0" customWidth="1"/>
    <x:col min="2" max="2" width="24" hidden="0" customWidth="1"/>
    <x:col min="3" max="3" width="38" hidden="0" customWidth="1"/>
    <x:col min="4" max="4" width="30" hidden="0" customWidth="1"/>
    <x:col min="5" max="5" width="20" hidden="0" customWidth="1"/>
    <x:col min="6" max="6" width="52" hidden="0" customWidth="1"/>
    <x:col min="7" max="7" width="24" hidden="0" customWidth="1"/>
    <x:col min="8" max="8" width="30" hidden="0" customWidth="1"/>
    <x:col min="9" max="9" width="48" hidden="0" customWidth="1"/>
    <x:col min="10" max="10" width="45" hidden="0" customWidth="1"/>
    <x:col min="11" max="11" width="60" hidden="0" customWidth="1"/>
    <x:col min="12" max="12" width="22" hidden="0" customWidth="1"/>
  </x:cols>
  <x:sheetData>
    <x:row r="1" ht="31" customHeight="1">
      <x:c r="A1" s="579" t="str">
        <x:v>JMC Advertisement, Flyer, Price-List and Period-Test Register</x:v>
      </x:c>
      <x:c r="B1" s="579"/>
      <x:c r="C1" s="579"/>
      <x:c r="D1" s="579"/>
      <x:c r="E1" s="579"/>
      <x:c r="F1" s="579"/>
      <x:c r="G1" s="579"/>
      <x:c r="H1" s="579"/>
      <x:c r="I1" s="579"/>
      <x:c r="J1" s="579"/>
      <x:c r="K1" s="579"/>
      <x:c r="L1" s="579"/>
    </x:row>
    <x:row r="2" ht="31" customHeight="1">
      <x:c r="A2" s="584" t="str">
        <x:v>Bibliographic facts and measurements are indexed. Scans, photographs and expressive magazine text are not copied into the register.</x:v>
      </x:c>
      <x:c r="B2" s="584"/>
      <x:c r="C2" s="584"/>
      <x:c r="D2" s="584"/>
      <x:c r="E2" s="584"/>
      <x:c r="F2" s="584"/>
      <x:c r="G2" s="584"/>
      <x:c r="H2" s="584"/>
      <x:c r="I2" s="584"/>
      <x:c r="J2" s="584"/>
      <x:c r="K2" s="584"/>
      <x:c r="L2" s="584"/>
    </x:row>
    <x:row r="4">
      <x:c r="A4" s="589" t="str">
        <x:v>Ephemera ID</x:v>
      </x:c>
      <x:c r="B4" s="589" t="str">
        <x:v>Object Type</x:v>
      </x:c>
      <x:c r="C4" s="589" t="str">
        <x:v>Title</x:v>
      </x:c>
      <x:c r="D4" s="589" t="str">
        <x:v>Publication / Channel</x:v>
      </x:c>
      <x:c r="E4" s="589" t="str">
        <x:v>Date</x:v>
      </x:c>
      <x:c r="F4" s="589" t="str">
        <x:v>What It Supports</x:v>
      </x:c>
      <x:c r="G4" s="589" t="str">
        <x:v>Exact BMXMuseum ID</x:v>
      </x:c>
      <x:c r="H4" s="589" t="str">
        <x:v>Evidence Class</x:v>
      </x:c>
      <x:c r="I4" s="589" t="str">
        <x:v>Rights / Reuse</x:v>
      </x:c>
      <x:c r="J4" s="589" t="str">
        <x:v>Research Need</x:v>
      </x:c>
      <x:c r="K4" s="589" t="str">
        <x:v>Source URL</x:v>
      </x:c>
      <x:c r="L4" s="589" t="str">
        <x:v>Status</x:v>
      </x:c>
    </x:row>
    <x:row r="5" ht="82" customHeight="1">
      <x:c r="A5" s="26" t="str">
        <x:v>JMC-EPH-001</x:v>
      </x:c>
      <x:c r="B5" s="26" t="str">
        <x:v>Magazine advertisement</x:v>
      </x:c>
      <x:c r="C5" s="26" t="str">
        <x:v>July 1979 JMC advertisement</x:v>
      </x:c>
      <x:c r="D5" s="26" t="str">
        <x:v>Bicycle Motocross Action</x:v>
      </x:c>
      <x:c r="E5" s="26" t="str">
        <x:v>July 1979; repeated multiple months</x:v>
      </x:c>
      <x:c r="F5" s="26" t="str">
        <x:v>Period market presentation and product terminology.</x:v>
      </x:c>
      <x:c r="G5" s="26" t="str">
        <x:v>Unresolved</x:v>
      </x:c>
      <x:c r="H5" s="26" t="str">
        <x:v>First-party historical archive</x:v>
      </x:c>
      <x:c r="I5" s="26" t="str">
        <x:v>BMXA image requires Bob Osborn's written permission to reproduce; metadata and paraphrased facts only.</x:v>
      </x:c>
      <x:c r="J5" s="26" t="str">
        <x:v>Recover page number and repeat issues.</x:v>
      </x:c>
      <x:c r="K5" s="26" t="str">
        <x:v>https://jmcbmx.wordpress.com/2010/02/03/july-1979-advertisement/</x:v>
      </x:c>
      <x:c r="L5" s="26" t="str">
        <x:v>INDEXED</x:v>
      </x:c>
    </x:row>
    <x:row r="6" ht="82" customHeight="1">
      <x:c r="A6" s="26" t="str">
        <x:v>JMC-EPH-002</x:v>
      </x:c>
      <x:c r="B6" s="26" t="str">
        <x:v>Magazine cover/source</x:v>
      </x:c>
      <x:c r="C6" s="26" t="str">
        <x:v>Harry Leary on July 1979 BMXA cover riding a JMC Long Standard</x:v>
      </x:c>
      <x:c r="D6" s="26" t="str">
        <x:v>Bicycle Motocross Action</x:v>
      </x:c>
      <x:c r="E6" s="26" t="str">
        <x:v>July 1979</x:v>
      </x:c>
      <x:c r="F6" s="26" t="str">
        <x:v>Harry Leary–JMC visual relationship and period model context.</x:v>
      </x:c>
      <x:c r="G6" s="26" t="str">
        <x:v>Unresolved</x:v>
      </x:c>
      <x:c r="H6" s="26" t="str">
        <x:v>First-party JMC archive / period publication</x:v>
      </x:c>
      <x:c r="I6" s="26" t="str">
        <x:v>Do not reproduce image without rights basis.</x:v>
      </x:c>
      <x:c r="J6" s="26" t="str">
        <x:v>Confirm bicycle serial/model details and photographer credit.</x:v>
      </x:c>
      <x:c r="K6" s="26" t="str">
        <x:v>https://jmcbmx.wordpress.com/2010/02/03/july-1979-advertisement/</x:v>
      </x:c>
      <x:c r="L6" s="26" t="str">
        <x:v>INDEXED</x:v>
      </x:c>
    </x:row>
    <x:row r="7" ht="82" customHeight="1">
      <x:c r="A7" s="26" t="str">
        <x:v>JMC-EPH-003</x:v>
      </x:c>
      <x:c r="B7" s="26" t="str">
        <x:v>Magazine advertisement</x:v>
      </x:c>
      <x:c r="C7" s="26" t="str">
        <x:v>April 1981 JMC advertisement</x:v>
      </x:c>
      <x:c r="D7" s="26" t="str">
        <x:v>Super BMX</x:v>
      </x:c>
      <x:c r="E7" s="26" t="str">
        <x:v>April 1981; repeated in other months</x:v>
      </x:c>
      <x:c r="F7" s="26" t="str">
        <x:v>Black Shadow, 3.1 XL, Standard/Long relationships and period rider-limit claim.</x:v>
      </x:c>
      <x:c r="G7" s="26" t="str">
        <x:v>Unresolved</x:v>
      </x:c>
      <x:c r="H7" s="26" t="str">
        <x:v>First-party archive summary</x:v>
      </x:c>
      <x:c r="I7" s="26" t="str">
        <x:v>Do not copy advertisement image or extended text.</x:v>
      </x:c>
      <x:c r="J7" s="26" t="str">
        <x:v>Recover page and all issue appearances.</x:v>
      </x:c>
      <x:c r="K7" s="26" t="str">
        <x:v>https://jmcbmx.wordpress.com/2010/02/03/april-1981-advertisement/</x:v>
      </x:c>
      <x:c r="L7" s="26" t="str">
        <x:v>INDEXED</x:v>
      </x:c>
    </x:row>
    <x:row r="8" ht="82" customHeight="1">
      <x:c r="A8" s="26" t="str">
        <x:v>JMC-EPH-004</x:v>
      </x:c>
      <x:c r="B8" s="26" t="str">
        <x:v>Team advertisement</x:v>
      </x:c>
      <x:c r="C8" s="26" t="str">
        <x:v>1981 JMC Factory Team advertisement</x:v>
      </x:c>
      <x:c r="D8" s="26" t="str">
        <x:v>Publication unresolved</x:v>
      </x:c>
      <x:c r="E8" s="26" t="str">
        <x:v>1981</x:v>
      </x:c>
      <x:c r="F8" s="26" t="str">
        <x:v>Factory-team presentation and period branding.</x:v>
      </x:c>
      <x:c r="G8" s="26" t="str">
        <x:v>Unresolved</x:v>
      </x:c>
      <x:c r="H8" s="26" t="str">
        <x:v>First-party archive object</x:v>
      </x:c>
      <x:c r="I8" s="26" t="str">
        <x:v>Metadata only; do not copy image.</x:v>
      </x:c>
      <x:c r="J8" s="26" t="str">
        <x:v>Identify publication, issue, page and all riders.</x:v>
      </x:c>
      <x:c r="K8" s="26" t="str">
        <x:v>https://jmcbmx.wordpress.com/2010/02/03/81-jmc-factory-team-advertisement/</x:v>
      </x:c>
      <x:c r="L8" s="26" t="str">
        <x:v>INDEXED</x:v>
      </x:c>
    </x:row>
    <x:row r="9" ht="82" customHeight="1">
      <x:c r="A9" s="26" t="str">
        <x:v>JMC-EPH-005</x:v>
      </x:c>
      <x:c r="B9" s="26" t="str">
        <x:v>Naming-contest announcement</x:v>
      </x:c>
      <x:c r="C9" s="26" t="str">
        <x:v>3.1 XL naming contest</x:v>
      </x:c>
      <x:c r="D9" s="26" t="str">
        <x:v>ABA paper</x:v>
      </x:c>
      <x:c r="E9" s="26" t="str">
        <x:v>1980</x:v>
      </x:c>
      <x:c r="F9" s="26" t="str">
        <x:v>Origin of model name; Bicycle Harbor and Matt Raymer relationship.</x:v>
      </x:c>
      <x:c r="G9" s="26" t="str">
        <x:v>Unresolved</x:v>
      </x:c>
      <x:c r="H9" s="26" t="str">
        <x:v>First-party historical claim</x:v>
      </x:c>
      <x:c r="I9" s="26" t="str">
        <x:v>No original object recovered.</x:v>
      </x:c>
      <x:c r="J9" s="26" t="str">
        <x:v>Locate exact issue and announcement.</x:v>
      </x:c>
      <x:c r="K9" s="26" t="str">
        <x:v>https://jmcbmx.wordpress.com/about/</x:v>
      </x:c>
      <x:c r="L9" s="26" t="str">
        <x:v>OBJECT OPEN</x:v>
      </x:c>
    </x:row>
    <x:row r="10" ht="82" customHeight="1">
      <x:c r="A10" s="26" t="str">
        <x:v>JMC-EPH-006</x:v>
      </x:c>
      <x:c r="B10" s="26" t="str">
        <x:v>Combined flyer / price-list set</x:v>
      </x:c>
      <x:c r="C10" s="26" t="str">
        <x:v>JMC Racing Fliers and Price List</x:v>
      </x:c>
      <x:c r="D10" s="26" t="str">
        <x:v>BMXMuseum reference title exposed through public index</x:v>
      </x:c>
      <x:c r="E10" s="26" t="str">
        <x:v>Undated</x:v>
      </x:c>
      <x:c r="F10" s="26" t="str">
        <x:v>Product range, dealer terminology and period prices if legible.</x:v>
      </x:c>
      <x:c r="G10" s="26" t="str">
        <x:v>Unresolved</x:v>
      </x:c>
      <x:c r="H10" s="26" t="str">
        <x:v>Indexed title + external corroboration</x:v>
      </x:c>
      <x:c r="I10" s="26" t="str">
        <x:v>Do not copy scans; transcribe only clearly labeled factual price fields if lawfully visible.</x:v>
      </x:c>
      <x:c r="J10" s="26" t="str">
        <x:v>Recover exact canonical reference ID, date and page count.</x:v>
      </x:c>
      <x:c r="K10" s="26" t="str">
        <x:v>https://www.pinterest.com/pin/jmc-bmx-fliers-and-price-list--442478732119429034/</x:v>
      </x:c>
      <x:c r="L10" s="26" t="str">
        <x:v>OPEN</x:v>
      </x:c>
    </x:row>
    <x:row r="11" ht="82" customHeight="1">
      <x:c r="A11" s="26" t="str">
        <x:v>JMC-EPH-007</x:v>
      </x:c>
      <x:c r="B11" s="26" t="str">
        <x:v>Dealer price list</x:v>
      </x:c>
      <x:c r="C11" s="26" t="str">
        <x:v>Vintage JMC Racing Equipment dealer price list</x:v>
      </x:c>
      <x:c r="D11" s="26" t="str">
        <x:v>Public social lead / Azusa collection</x:v>
      </x:c>
      <x:c r="E11" s="26" t="str">
        <x:v>Undated vintage object</x:v>
      </x:c>
      <x:c r="F11" s="26" t="str">
        <x:v>Dealer pricing and distribution context.</x:v>
      </x:c>
      <x:c r="G11" s="26" t="str">
        <x:v>No exact BMXMuseum object established</x:v>
      </x:c>
      <x:c r="H11" s="26" t="str">
        <x:v>External public lead</x:v>
      </x:c>
      <x:c r="I11" s="26" t="str">
        <x:v>Index description only; do not merge with JMC-EPH-006 until compared.</x:v>
      </x:c>
      <x:c r="J11" s="26" t="str">
        <x:v>Recover date, line items and provenance.</x:v>
      </x:c>
      <x:c r="K11" s="26" t="str">
        <x:v>https://www.facebook.com/groups/553888658024748/posts/27080185384968381/</x:v>
      </x:c>
      <x:c r="L11" s="26" t="str">
        <x:v>CORROBORATION LEAD</x:v>
      </x:c>
    </x:row>
    <x:row r="12" ht="82" customHeight="1">
      <x:c r="A12" s="26" t="str">
        <x:v>JMC-EPH-008</x:v>
      </x:c>
      <x:c r="B12" s="26" t="str">
        <x:v>Period product test</x:v>
      </x:c>
      <x:c r="C12" s="26" t="str">
        <x:v>JMC Frame &amp; Fork test</x:v>
      </x:c>
      <x:c r="D12" s="26" t="str">
        <x:v>Bicycle Motocross Action</x:v>
      </x:c>
      <x:c r="E12" s="26" t="str">
        <x:v>July 1979</x:v>
      </x:c>
      <x:c r="F12" s="26" t="str">
        <x:v>Independent construction, geometry and ride data.</x:v>
      </x:c>
      <x:c r="G12" s="26" t="str">
        <x:v>N/A</x:v>
      </x:c>
      <x:c r="H12" s="26" t="str">
        <x:v>Period magazine test</x:v>
      </x:c>
      <x:c r="I12" s="26" t="str">
        <x:v>No scan republication; factual transcription only.</x:v>
      </x:c>
      <x:c r="J12" s="26" t="str">
        <x:v>Complete controlled data extraction.</x:v>
      </x:c>
      <x:c r="K12" s="26" t="str">
        <x:v>https://oldschoolmags.com/tests/JMC_Frame_Forks_BMXA7907.pdf</x:v>
      </x:c>
      <x:c r="L12" s="26" t="str">
        <x:v>INDEXED</x:v>
      </x:c>
    </x:row>
    <x:row r="13" ht="82" customHeight="1">
      <x:c r="A13" s="26" t="str">
        <x:v>JMC-EPH-009</x:v>
      </x:c>
      <x:c r="B13" s="26" t="str">
        <x:v>Period product test</x:v>
      </x:c>
      <x:c r="C13" s="26" t="str">
        <x:v>JMC 3.1 XL test</x:v>
      </x:c>
      <x:c r="D13" s="26" t="str">
        <x:v>Super BMX</x:v>
      </x:c>
      <x:c r="E13" s="26" t="str">
        <x:v>May 1981</x:v>
      </x:c>
      <x:c r="F13" s="26" t="str">
        <x:v>Independent weight, geometry and ride data.</x:v>
      </x:c>
      <x:c r="G13" s="26" t="str">
        <x:v>N/A</x:v>
      </x:c>
      <x:c r="H13" s="26" t="str">
        <x:v>Period magazine test</x:v>
      </x:c>
      <x:c r="I13" s="26" t="str">
        <x:v>No scan republication; factual transcription only.</x:v>
      </x:c>
      <x:c r="J13" s="26" t="str">
        <x:v>Complete controlled data extraction.</x:v>
      </x:c>
      <x:c r="K13" s="26" t="str">
        <x:v>https://oldschoolmags.com/tests/JMC_31XL_SBMX_8105.pdf</x:v>
      </x:c>
      <x:c r="L13" s="26" t="str">
        <x:v>INDEXED</x:v>
      </x:c>
    </x:row>
    <x:row r="14" ht="82" customHeight="1">
      <x:c r="A14" s="26" t="str">
        <x:v>JMC-EPH-010</x:v>
      </x:c>
      <x:c r="B14" s="26" t="str">
        <x:v>Period product test</x:v>
      </x:c>
      <x:c r="C14" s="26" t="str">
        <x:v>JMC Darrell Young Design test</x:v>
      </x:c>
      <x:c r="D14" s="26" t="str">
        <x:v>Bicycles and Dirt</x:v>
      </x:c>
      <x:c r="E14" s="26" t="str">
        <x:v>March 1984</x:v>
      </x:c>
      <x:c r="F14" s="26" t="str">
        <x:v>Independent measured specification and design evaluation.</x:v>
      </x:c>
      <x:c r="G14" s="26" t="str">
        <x:v>N/A</x:v>
      </x:c>
      <x:c r="H14" s="26" t="str">
        <x:v>Period magazine test</x:v>
      </x:c>
      <x:c r="I14" s="26" t="str">
        <x:v>No scan republication; factual data paraphrased.</x:v>
      </x:c>
      <x:c r="J14" s="26" t="str">
        <x:v>Preserve page-level citations in a future source package.</x:v>
      </x:c>
      <x:c r="K14" s="26" t="str">
        <x:v>https://oldschoolmags.com/tests/JMC_DY_Bikes%26Dirt8403.pdf</x:v>
      </x:c>
      <x:c r="L14" s="26" t="str">
        <x:v>DATA CAPTURED</x:v>
      </x:c>
    </x:row>
  </x:sheetData>
  <x:mergeCells>
    <x:mergeCell ref="A1:L1"/>
    <x:mergeCell ref="A2:L2"/>
  </x:mergeCells>
  <x:pageMargins left="0.7" right="0.7" top="0.75" bottom="0.75" header="0.3" footer="0.3"/>
  <x:tableParts count="1">
    <x:tablePart xmlns:r="http://schemas.openxmlformats.org/officeDocument/2006/relationships" r:id="Rf021ef1c243948b4"/>
  </x:tableParts>
</x:worksheet>
</file>

<file path=xl/worksheets/sheet96.xml><?xml version="1.0" encoding="utf-8"?>
<x:worksheet xmlns:x="http://schemas.openxmlformats.org/spreadsheetml/2006/main">
  <x:sheetFormatPr defaultRowHeight="15"/>
  <x:cols>
    <x:col min="1" max="1" width="15" hidden="0" customWidth="1"/>
    <x:col min="2" max="2" width="34" hidden="0" customWidth="1"/>
    <x:col min="3" max="3" width="18" hidden="0" customWidth="1"/>
    <x:col min="4" max="4" width="50" hidden="0" customWidth="1"/>
    <x:col min="5" max="5" width="50" hidden="0" customWidth="1"/>
    <x:col min="6" max="6" width="58" hidden="0" customWidth="1"/>
    <x:col min="7" max="7" width="50" hidden="0" customWidth="1"/>
    <x:col min="8" max="8" width="44" hidden="0" customWidth="1"/>
    <x:col min="9" max="9" width="60" hidden="0" customWidth="1"/>
    <x:col min="10" max="10" width="23" hidden="0" customWidth="1"/>
  </x:cols>
  <x:sheetData>
    <x:row r="1" ht="31" customHeight="1">
      <x:c r="A1" s="579" t="str">
        <x:v>JMC–Lititz BMX Artifact and Archive Crosswalk</x:v>
      </x:c>
      <x:c r="B1" s="579"/>
      <x:c r="C1" s="579"/>
      <x:c r="D1" s="579"/>
      <x:c r="E1" s="579"/>
      <x:c r="F1" s="579"/>
      <x:c r="G1" s="579"/>
      <x:c r="H1" s="579"/>
      <x:c r="I1" s="579"/>
      <x:c r="J1" s="579"/>
    </x:row>
    <x:row r="2" ht="31" customHeight="1">
      <x:c r="A2" s="584" t="str">
        <x:v>Lititz BMX currently holds a JMC-related tribute artifact and a substantial Harry Leary/JMC source relationship—not a documented original-period JMC bicycle.</x:v>
      </x:c>
      <x:c r="B2" s="584"/>
      <x:c r="C2" s="584"/>
      <x:c r="D2" s="584"/>
      <x:c r="E2" s="584"/>
      <x:c r="F2" s="584"/>
      <x:c r="G2" s="584"/>
      <x:c r="H2" s="584"/>
      <x:c r="I2" s="584"/>
      <x:c r="J2" s="584"/>
    </x:row>
    <x:row r="4">
      <x:c r="A4" s="589" t="str">
        <x:v>Crosswalk ID</x:v>
      </x:c>
      <x:c r="B4" s="589" t="str">
        <x:v>Lititz Object / Archive</x:v>
      </x:c>
      <x:c r="C4" s="589" t="str">
        <x:v>Artifact ID</x:v>
      </x:c>
      <x:c r="D4" s="589" t="str">
        <x:v>Relationship to JMC</x:v>
      </x:c>
      <x:c r="E4" s="589" t="str">
        <x:v>Current Evidence</x:v>
      </x:c>
      <x:c r="F4" s="589" t="str">
        <x:v>Safe Public Wording</x:v>
      </x:c>
      <x:c r="G4" s="589" t="str">
        <x:v>What It Does Not Prove</x:v>
      </x:c>
      <x:c r="H4" s="589" t="str">
        <x:v>Next Action</x:v>
      </x:c>
      <x:c r="I4" s="589" t="str">
        <x:v>Public URL / Source</x:v>
      </x:c>
      <x:c r="J4" s="589" t="str">
        <x:v>Status</x:v>
      </x:c>
    </x:row>
    <x:row r="5" ht="88" customHeight="1">
      <x:c r="A5" s="26" t="str">
        <x:v>JMC-XW-001</x:v>
      </x:c>
      <x:c r="B5" s="26" t="str">
        <x:v>2022 Team USA jersey signed by Greg Mathias</x:v>
      </x:c>
      <x:c r="C5" s="26" t="str">
        <x:v>26.0024</x:v>
      </x:c>
      <x:c r="D5" s="26" t="str">
        <x:v>The 2022 Team USA Worlds design was an official tribute to JMC Racing and Darrell Young.</x:v>
      </x:c>
      <x:c r="E5" s="26" t="str">
        <x:v>Lititz inventory records the signed jersey; USA BMX explains the tribute design.</x:v>
      </x:c>
      <x:c r="F5" s="26" t="str">
        <x:v>Artifact 26.0024 is a 2022 Team USA jersey whose official design paid tribute to JMC Racing and Darrell Young; the Lititz example is signed by Greg Mathias.</x:v>
      </x:c>
      <x:c r="G5" s="26" t="str">
        <x:v>It is not period JMC factory-team apparel and does not document Mathias riding for JMC.</x:v>
      </x:c>
      <x:c r="H5" s="26" t="str">
        <x:v>Link official jersey announcement, inventory images and signature provenance.</x:v>
      </x:c>
      <x:c r="I5" s="26" t="str">
        <x:v>https://sites.google.com/view/lititzbmxinventorylist/home/26-0024</x:v>
      </x:c>
      <x:c r="J5" s="26" t="str">
        <x:v>VERIFIED RELATIONSHIP</x:v>
      </x:c>
    </x:row>
    <x:row r="6" ht="88" customHeight="1">
      <x:c r="A6" s="26" t="str">
        <x:v>JMC-XW-002</x:v>
      </x:c>
      <x:c r="B6" s="26" t="str">
        <x:v>Harry Leary research cluster</x:v>
      </x:c>
      <x:c r="C6" s="26" t="str">
        <x:v>Archive relationship</x:v>
      </x:c>
      <x:c r="D6" s="26" t="str">
        <x:v>Leary was named on the 1975 JM Cyclery team, associated with XP2 Long prototype development and listed in JMC factory-roster years through 1979.</x:v>
      </x:c>
      <x:c r="E6" s="26" t="str">
        <x:v>First-person JMC archive and period publication leads.</x:v>
      </x:c>
      <x:c r="F6" s="26" t="str">
        <x:v>Harry Leary participated in JMC's early shop-team and prototype era and is associated in the JMC archive with the XP2 Long prototype.</x:v>
      </x:c>
      <x:c r="G6" s="26" t="str">
        <x:v>It does not authenticate any surviving JMC frame or assign every 1975–79 race to JMC.</x:v>
      </x:c>
      <x:c r="H6" s="26" t="str">
        <x:v>Connect period race results, cover appearances and model evidence.</x:v>
      </x:c>
      <x:c r="I6" s="26" t="str">
        <x:v>https://jmcbmx.wordpress.com/about/</x:v>
      </x:c>
      <x:c r="J6" s="26" t="str">
        <x:v>ATTRIBUTED VERIFIED</x:v>
      </x:c>
    </x:row>
    <x:row r="7" ht="88" customHeight="1">
      <x:c r="A7" s="26" t="str">
        <x:v>JMC-XW-003</x:v>
      </x:c>
      <x:c r="B7" s="26" t="str">
        <x:v>July 1979 Harry Leary BMXA cover/source</x:v>
      </x:c>
      <x:c r="C7" s="26" t="str">
        <x:v>Source object</x:v>
      </x:c>
      <x:c r="D7" s="26" t="str">
        <x:v>JMC archive identifies Leary riding a Long Standard in the cover context.</x:v>
      </x:c>
      <x:c r="E7" s="26" t="str">
        <x:v>First-party archive bibliographic record.</x:v>
      </x:c>
      <x:c r="F7" s="26" t="str">
        <x:v>The July 1979 BMXA cover is a period source connecting Harry Leary with a JMC Long Standard.</x:v>
      </x:c>
      <x:c r="G7" s="26" t="str">
        <x:v>It does not establish the serial, complete build or present location of the bicycle.</x:v>
      </x:c>
      <x:c r="H7" s="26" t="str">
        <x:v>Recover publication page metadata and rights holder; do not republish without permission.</x:v>
      </x:c>
      <x:c r="I7" s="26" t="str">
        <x:v>https://jmcbmx.wordpress.com/2010/02/03/july-1979-advertisement/</x:v>
      </x:c>
      <x:c r="J7" s="26" t="str">
        <x:v>BIBLIOGRAPHIC RELATIONSHIP</x:v>
      </x:c>
    </x:row>
    <x:row r="8" ht="88" customHeight="1">
      <x:c r="A8" s="26" t="str">
        <x:v>JMC-XW-004</x:v>
      </x:c>
      <x:c r="B8" s="26" t="str">
        <x:v>JMC advertisements, tests and flyers</x:v>
      </x:c>
      <x:c r="C8" s="26" t="str">
        <x:v>Archive source category</x:v>
      </x:c>
      <x:c r="D8" s="26" t="str">
        <x:v>JMC source objects support model chronology, specifications, team history and price research.</x:v>
      </x:c>
      <x:c r="E8" s="26" t="str">
        <x:v>Ten controlled ephemera records in the v1.5 dossier.</x:v>
      </x:c>
      <x:c r="F8" s="26" t="str">
        <x:v>Lititz BMX indexes JMC period sources as evidence-bearing bibliographic objects while preserving their rights and provenance.</x:v>
      </x:c>
      <x:c r="G8" s="26" t="str">
        <x:v>Indexing does not transfer image or text-republication rights.</x:v>
      </x:c>
      <x:c r="H8" s="26" t="str">
        <x:v>Continue page-level metadata and factual transcription.</x:v>
      </x:c>
      <x:c r="I8" s="26" t="str"/>
      <x:c r="J8" s="26" t="str">
        <x:v>ACTIVE SOURCE WORKSTREAM</x:v>
      </x:c>
    </x:row>
  </x:sheetData>
  <x:mergeCells>
    <x:mergeCell ref="A1:J1"/>
    <x:mergeCell ref="A2:J2"/>
  </x:mergeCells>
  <x:pageMargins left="0.7" right="0.7" top="0.75" bottom="0.75" header="0.3" footer="0.3"/>
  <x:tableParts count="1">
    <x:tablePart xmlns:r="http://schemas.openxmlformats.org/officeDocument/2006/relationships" r:id="R4418de6958f044c1"/>
  </x:tableParts>
</x:worksheet>
</file>

<file path=xl/worksheets/sheet97.xml><?xml version="1.0" encoding="utf-8"?>
<x:worksheet xmlns:x="http://schemas.openxmlformats.org/spreadsheetml/2006/main">
  <x:sheetFormatPr defaultRowHeight="15"/>
  <x:cols>
    <x:col min="1" max="1" width="15" hidden="0" customWidth="1"/>
    <x:col min="2" max="2" width="25" hidden="0" customWidth="1"/>
    <x:col min="3" max="3" width="54" hidden="0" customWidth="1"/>
    <x:col min="4" max="4" width="26" hidden="0" customWidth="1"/>
    <x:col min="5" max="5" width="28" hidden="0" customWidth="1"/>
    <x:col min="6" max="6" width="48" hidden="0" customWidth="1"/>
    <x:col min="7" max="7" width="48" hidden="0" customWidth="1"/>
    <x:col min="8" max="8" width="58" hidden="0" customWidth="1"/>
    <x:col min="9" max="9" width="42" hidden="0" customWidth="1"/>
    <x:col min="10" max="10" width="22" hidden="0" customWidth="1"/>
  </x:cols>
  <x:sheetData>
    <x:row r="1" ht="31" customHeight="1">
      <x:c r="A1" s="579" t="str">
        <x:v>JMC Claim-Level Determinations</x:v>
      </x:c>
      <x:c r="B1" s="579"/>
      <x:c r="C1" s="579"/>
      <x:c r="D1" s="579"/>
      <x:c r="E1" s="579"/>
      <x:c r="F1" s="579"/>
      <x:c r="G1" s="579"/>
      <x:c r="H1" s="579"/>
      <x:c r="I1" s="579"/>
      <x:c r="J1" s="579"/>
    </x:row>
    <x:row r="2" ht="31" customHeight="1">
      <x:c r="A2" s="584" t="str">
        <x:v>The ledger distinguishes exact public metadata, first-person company history, period tests, official results, community registries and unresolved authentication.</x:v>
      </x:c>
      <x:c r="B2" s="584"/>
      <x:c r="C2" s="584"/>
      <x:c r="D2" s="584"/>
      <x:c r="E2" s="584"/>
      <x:c r="F2" s="584"/>
      <x:c r="G2" s="584"/>
      <x:c r="H2" s="584"/>
      <x:c r="I2" s="584"/>
      <x:c r="J2" s="584"/>
    </x:row>
    <x:row r="4">
      <x:c r="A4" s="589" t="str">
        <x:v>Claim ID</x:v>
      </x:c>
      <x:c r="B4" s="589" t="str">
        <x:v>Subject</x:v>
      </x:c>
      <x:c r="C4" s="589" t="str">
        <x:v>Claim</x:v>
      </x:c>
      <x:c r="D4" s="589" t="str">
        <x:v>Evidence Level</x:v>
      </x:c>
      <x:c r="E4" s="589" t="str">
        <x:v>Determination</x:v>
      </x:c>
      <x:c r="F4" s="589" t="str">
        <x:v>Supporting Evidence</x:v>
      </x:c>
      <x:c r="G4" s="589" t="str">
        <x:v>Conflict / Uncertainty</x:v>
      </x:c>
      <x:c r="H4" s="589" t="str">
        <x:v>Safe Public Wording</x:v>
      </x:c>
      <x:c r="I4" s="589" t="str">
        <x:v>Next Verification</x:v>
      </x:c>
      <x:c r="J4" s="589" t="str">
        <x:v>Status</x:v>
      </x:c>
    </x:row>
    <x:row r="5" ht="86" customHeight="1">
      <x:c r="A5" s="26" t="str">
        <x:v>JMC-CLM-001</x:v>
      </x:c>
      <x:c r="B5" s="26" t="str">
        <x:v>Company origin</x:v>
      </x:c>
      <x:c r="C5" s="26" t="str">
        <x:v>JMC began in 1969.</x:v>
      </x:c>
      <x:c r="D5" s="26" t="str">
        <x:v>V4 current first-party context</x:v>
      </x:c>
      <x:c r="E5" s="26" t="str">
        <x:v>QUALIFIED</x:v>
      </x:c>
      <x:c r="F5" s="26" t="str">
        <x:v>Current JMC history dates business establishment to December 1969.</x:v>
      </x:c>
      <x:c r="G5" s="26" t="str">
        <x:v>BMX involvement and production began later.</x:v>
      </x:c>
      <x:c r="H5" s="26" t="str">
        <x:v>The business that became JMC was established in 1969; BMX involvement developed in the mid-1970s and JMC production frames began in 1977.</x:v>
      </x:c>
      <x:c r="I5" s="26" t="str">
        <x:v>Link business/legal records.</x:v>
      </x:c>
      <x:c r="J5" s="26" t="str">
        <x:v>LOCKED</x:v>
      </x:c>
    </x:row>
    <x:row r="6" ht="86" customHeight="1">
      <x:c r="A6" s="26" t="str">
        <x:v>JMC-CLM-002</x:v>
      </x:c>
      <x:c r="B6" s="26" t="str">
        <x:v>BMX entry</x:v>
      </x:c>
      <x:c r="C6" s="26" t="str">
        <x:v>JMC began producing BMX frames in 1974.</x:v>
      </x:c>
      <x:c r="D6" s="26" t="str">
        <x:v>V3 first-person history</x:v>
      </x:c>
      <x:c r="E6" s="26" t="str">
        <x:v>REJECT / CORRECT</x:v>
      </x:c>
      <x:c r="F6" s="26" t="str">
        <x:v>1974 marks the Azusa move and BMX involvement.</x:v>
      </x:c>
      <x:c r="G6" s="26" t="str">
        <x:v>Prototype and production dates are 1976 and 1977.</x:v>
      </x:c>
      <x:c r="H6" s="26" t="str">
        <x:v>JMC entered BMX activity around 1974, developed prototypes in 1976 and began production frames in 1977.</x:v>
      </x:c>
      <x:c r="I6" s="26" t="str">
        <x:v>Period ads and invoices.</x:v>
      </x:c>
      <x:c r="J6" s="26" t="str">
        <x:v>LOCKED CORRECTION</x:v>
      </x:c>
    </x:row>
    <x:row r="7" ht="86" customHeight="1">
      <x:c r="A7" s="26" t="str">
        <x:v>JMC-CLM-003</x:v>
      </x:c>
      <x:c r="B7" s="26" t="str">
        <x:v>1975 team</x:v>
      </x:c>
      <x:c r="C7" s="26" t="str">
        <x:v>Harry Leary was a JMC factory rider in 1975.</x:v>
      </x:c>
      <x:c r="D7" s="26" t="str">
        <x:v>V3 first-person archive</x:v>
      </x:c>
      <x:c r="E7" s="26" t="str">
        <x:v>QUALIFIED VERIFIED</x:v>
      </x:c>
      <x:c r="F7" s="26" t="str">
        <x:v>He is named on the 1975 shop team and later factory roster.</x:v>
      </x:c>
      <x:c r="G7" s="26" t="str">
        <x:v>'Factory' terminology may be retrospective for the pre-production shop-team phase.</x:v>
      </x:c>
      <x:c r="H7" s="26" t="str">
        <x:v>Harry Leary was on JM Cyclery's 1975 BMX team and later participated in JMC's prototype and factory era.</x:v>
      </x:c>
      <x:c r="I7" s="26" t="str">
        <x:v>Period roster/ad corroboration.</x:v>
      </x:c>
      <x:c r="J7" s="26" t="str">
        <x:v>LOCKED</x:v>
      </x:c>
    </x:row>
    <x:row r="8" ht="86" customHeight="1">
      <x:c r="A8" s="26" t="str">
        <x:v>JMC-CLM-004</x:v>
      </x:c>
      <x:c r="B8" s="26" t="str">
        <x:v>XP2</x:v>
      </x:c>
      <x:c r="C8" s="26" t="str">
        <x:v>Harry Leary rode or developed the XP2 Long prototype.</x:v>
      </x:c>
      <x:c r="D8" s="26" t="str">
        <x:v>V3 first-person archive</x:v>
      </x:c>
      <x:c r="E8" s="26" t="str">
        <x:v>ATTRIBUTED VERIFIED</x:v>
      </x:c>
      <x:c r="F8" s="26" t="str">
        <x:v>JMC history associates XP2 Long with Leary.</x:v>
      </x:c>
      <x:c r="G8" s="26" t="str">
        <x:v>No complete surviving-frame provenance has been established.</x:v>
      </x:c>
      <x:c r="H8" s="26" t="str">
        <x:v>JMC's archive associates Harry Leary with the 1976 XP2 Long prototype.</x:v>
      </x:c>
      <x:c r="I8" s="26" t="str">
        <x:v>Certificate/ledger and provenance if a candidate frame appears.</x:v>
      </x:c>
      <x:c r="J8" s="26" t="str">
        <x:v>ACTIVE</x:v>
      </x:c>
    </x:row>
    <x:row r="9" ht="86" customHeight="1">
      <x:c r="A9" s="26" t="str">
        <x:v>JMC-CLM-005</x:v>
      </x:c>
      <x:c r="B9" s="26" t="str">
        <x:v>Production launch</x:v>
      </x:c>
      <x:c r="C9" s="26" t="str">
        <x:v>JMC1 and JMC20 were the first production short and long frames.</x:v>
      </x:c>
      <x:c r="D9" s="26" t="str">
        <x:v>V3 first-person archive + certification lineage</x:v>
      </x:c>
      <x:c r="E9" s="26" t="str">
        <x:v>STRONG ATTRIBUTED</x:v>
      </x:c>
      <x:c r="F9" s="26" t="str">
        <x:v>Company identification guide gives March/April 1977 dates and recipients.</x:v>
      </x:c>
      <x:c r="G9" s="26" t="str">
        <x:v>Direct ledger pages not republished or independently audited.</x:v>
      </x:c>
      <x:c r="H9" s="26" t="str">
        <x:v>JMC's archive identifies JMC1 and JMC20 as its first production short and long frames.</x:v>
      </x:c>
      <x:c r="I9" s="26" t="str">
        <x:v>Official COAs/production records.</x:v>
      </x:c>
      <x:c r="J9" s="26" t="str">
        <x:v>ACTIVE</x:v>
      </x:c>
    </x:row>
    <x:row r="10" ht="86" customHeight="1">
      <x:c r="A10" s="26" t="str">
        <x:v>JMC-CLM-006</x:v>
      </x:c>
      <x:c r="B10" s="26" t="str">
        <x:v>Black Shadow</x:v>
      </x:c>
      <x:c r="C10" s="26" t="str">
        <x:v>Every Black Shadow has a K-prefix serial.</x:v>
      </x:c>
      <x:c r="D10" s="26" t="str">
        <x:v>V3 archive</x:v>
      </x:c>
      <x:c r="E10" s="26" t="str">
        <x:v>REJECT</x:v>
      </x:c>
      <x:c r="F10" s="26" t="str">
        <x:v>The first Black Shadow is identified as JMC2175; K came later.</x:v>
      </x:c>
      <x:c r="G10" s="26" t="str">
        <x:v>Exact K transition remains unresolved.</x:v>
      </x:c>
      <x:c r="H10" s="26" t="str">
        <x:v>Early Black Shadows may retain JMC-prefix serials; K is associated with later production.</x:v>
      </x:c>
      <x:c r="I10" s="26" t="str">
        <x:v>Find first K production entry.</x:v>
      </x:c>
      <x:c r="J10" s="26" t="str">
        <x:v>LOCKED CORRECTION</x:v>
      </x:c>
    </x:row>
    <x:row r="11" ht="86" customHeight="1">
      <x:c r="A11" s="26" t="str">
        <x:v>JMC-CLM-007</x:v>
      </x:c>
      <x:c r="B11" s="26" t="str">
        <x:v>3.1 XL</x:v>
      </x:c>
      <x:c r="C11" s="26" t="str">
        <x:v>The 3.1 XL was safe only below 110 pounds.</x:v>
      </x:c>
      <x:c r="D11" s="26" t="str">
        <x:v>V3 period-ad summary</x:v>
      </x:c>
      <x:c r="E11" s="26" t="str">
        <x:v>QUALIFIED</x:v>
      </x:c>
      <x:c r="F11" s="26" t="str">
        <x:v>The 1981 ad summary gives a 110-pound rider limit.</x:v>
      </x:c>
      <x:c r="G11" s="26" t="str">
        <x:v>This is period marketing/use guidance, not modern safety certification.</x:v>
      </x:c>
      <x:c r="H11" s="26" t="str">
        <x:v>A 1981 JMC advertisement stated a 110-pound rider limit for the 3.1 XL.</x:v>
      </x:c>
      <x:c r="I11" s="26" t="str">
        <x:v>Transcribe test/ad context.</x:v>
      </x:c>
      <x:c r="J11" s="26" t="str">
        <x:v>LOCKED</x:v>
      </x:c>
    </x:row>
    <x:row r="12" ht="86" customHeight="1">
      <x:c r="A12" s="26" t="str">
        <x:v>JMC-CLM-008</x:v>
      </x:c>
      <x:c r="B12" s="26" t="str">
        <x:v>Known survivors</x:v>
      </x:c>
      <x:c r="C12" s="26" t="str">
        <x:v>The known-survivor registry lists every surviving JMC.</x:v>
      </x:c>
      <x:c r="D12" s="26" t="str">
        <x:v>Community/archive registry</x:v>
      </x:c>
      <x:c r="E12" s="26" t="str">
        <x:v>REJECT</x:v>
      </x:c>
      <x:c r="F12" s="26" t="str">
        <x:v>The list includes reported certified and uncertified examples.</x:v>
      </x:c>
      <x:c r="G12" s="26" t="str">
        <x:v>Unreported/private examples necessarily remain possible.</x:v>
      </x:c>
      <x:c r="H12" s="26" t="str">
        <x:v>The known-survivor registry is a comparison lead, not a complete census.</x:v>
      </x:c>
      <x:c r="I12" s="26" t="str">
        <x:v>Continue public lead recovery.</x:v>
      </x:c>
      <x:c r="J12" s="26" t="str">
        <x:v>LOCKED</x:v>
      </x:c>
    </x:row>
    <x:row r="13" ht="86" customHeight="1">
      <x:c r="A13" s="26" t="str">
        <x:v>JMC-CLM-009</x:v>
      </x:c>
      <x:c r="B13" s="26" t="str">
        <x:v>Production totals</x:v>
      </x:c>
      <x:c r="C13" s="26" t="str">
        <x:v>P16 110, Micro Mini 85 and AP 333 are conclusively audited totals.</x:v>
      </x:c>
      <x:c r="D13" s="26" t="str">
        <x:v>V3 first-person archive</x:v>
      </x:c>
      <x:c r="E13" s="26" t="str">
        <x:v>ATTRIBUTED, NOT INDEPENDENTLY AUDITED</x:v>
      </x:c>
      <x:c r="F13" s="26" t="str">
        <x:v>Company chronology reports these totals.</x:v>
      </x:c>
      <x:c r="G13" s="26" t="str">
        <x:v>Direct ledger audit has not been performed in this project.</x:v>
      </x:c>
      <x:c r="H13" s="26" t="str">
        <x:v>JMC's company archive reports production totals of 110 P16s, 85 Micro Minis and 333 Andy Patterson frames.</x:v>
      </x:c>
      <x:c r="I13" s="26" t="str">
        <x:v>Seek official count/certification dataset.</x:v>
      </x:c>
      <x:c r="J13" s="26" t="str">
        <x:v>ACTIVE</x:v>
      </x:c>
    </x:row>
    <x:row r="14" ht="86" customHeight="1">
      <x:c r="A14" s="26" t="str">
        <x:v>JMC-CLM-010</x:v>
      </x:c>
      <x:c r="B14" s="26" t="str">
        <x:v>Darrell Young first nine</x:v>
      </x:c>
      <x:c r="C14" s="26" t="str">
        <x:v>Nine retail Darrell Young frames were sold on October 24, 1983.</x:v>
      </x:c>
      <x:c r="D14" s="26" t="str">
        <x:v>V3 first-person firsts archive</x:v>
      </x:c>
      <x:c r="E14" s="26" t="str">
        <x:v>REJECT / CORRECT</x:v>
      </x:c>
      <x:c r="F14" s="26" t="str">
        <x:v>The first nine include prototypes and development/release frames; identified retail sales occur January 1984.</x:v>
      </x:c>
      <x:c r="G14" s="26" t="str">
        <x:v>Roles differ within the nine-frame group.</x:v>
      </x:c>
      <x:c r="H14" s="26" t="str">
        <x:v>JMC produced an initial nine-frame Darrell Young Design development group in October 1983; identified retail sales followed in January 1984.</x:v>
      </x:c>
      <x:c r="I14" s="26" t="str">
        <x:v>Frame-by-frame ledger role.</x:v>
      </x:c>
      <x:c r="J14" s="26" t="str">
        <x:v>LOCKED CORRECTION</x:v>
      </x:c>
    </x:row>
    <x:row r="15" ht="86" customHeight="1">
      <x:c r="A15" s="26" t="str">
        <x:v>JMC-CLM-011</x:v>
      </x:c>
      <x:c r="B15" s="26" t="str">
        <x:v>Darrell Young test</x:v>
      </x:c>
      <x:c r="C15" s="26" t="str">
        <x:v>The March 1984 magazine test defines the factory specification for every DY bike.</x:v>
      </x:c>
      <x:c r="D15" s="26" t="str">
        <x:v>V3 period test</x:v>
      </x:c>
      <x:c r="E15" s="26" t="str">
        <x:v>REJECT</x:v>
      </x:c>
      <x:c r="F15" s="26" t="str">
        <x:v>It documents one complete test build and measured setup.</x:v>
      </x:c>
      <x:c r="G15" s="26" t="str">
        <x:v>Components could vary by dealer/rider/build.</x:v>
      </x:c>
      <x:c r="H15" s="26" t="str">
        <x:v>The March 1984 test provides measured data for one documented Darrell Young Design build.</x:v>
      </x:c>
      <x:c r="I15" s="26" t="str">
        <x:v>Compare catalogs and submitted bikes separately.</x:v>
      </x:c>
      <x:c r="J15" s="26" t="str">
        <x:v>LOCKED</x:v>
      </x:c>
    </x:row>
    <x:row r="16" ht="86" customHeight="1">
      <x:c r="A16" s="26" t="str">
        <x:v>JMC-CLM-012</x:v>
      </x:c>
      <x:c r="B16" s="26" t="str">
        <x:v>BMXMuseum 119290</x:v>
      </x:c>
      <x:c r="C16" s="26" t="str">
        <x:v>Record 119290 is an original factory-correct 1984 Darrell Young.</x:v>
      </x:c>
      <x:c r="D16" s="26" t="str">
        <x:v>A1 exact public record + V3 chronology</x:v>
      </x:c>
      <x:c r="E16" s="26" t="str">
        <x:v>OPEN</x:v>
      </x:c>
      <x:c r="F16" s="26" t="str">
        <x:v>The exact public title/year are recovered and historically plausible.</x:v>
      </x:c>
      <x:c r="G16" s="26" t="str">
        <x:v>Serial, provenance, restoration and components are not inspected.</x:v>
      </x:c>
      <x:c r="H16" s="26" t="str">
        <x:v>BMXMuseum record 119290 is submitted as a 1984 JMC Darrell Young; originality remains unverified.</x:v>
      </x:c>
      <x:c r="I16" s="26" t="str">
        <x:v>Permission-free backlinks, external provenance and period comparison.</x:v>
      </x:c>
      <x:c r="J16" s="26" t="str">
        <x:v>ACTIVE</x:v>
      </x:c>
    </x:row>
    <x:row r="17" ht="86" customHeight="1">
      <x:c r="A17" s="26" t="str">
        <x:v>JMC-CLM-013</x:v>
      </x:c>
      <x:c r="B17" s="26" t="str">
        <x:v>BMXMuseum 128885</x:v>
      </x:c>
      <x:c r="C17" s="26" t="str">
        <x:v>Record 128885 is an original factory-correct 1984 JMC 24.</x:v>
      </x:c>
      <x:c r="D17" s="26" t="str">
        <x:v>A1 exact public record + V3 chronology</x:v>
      </x:c>
      <x:c r="E17" s="26" t="str">
        <x:v>OPEN</x:v>
      </x:c>
      <x:c r="F17" s="26" t="str">
        <x:v>The exact public title/year are recovered and 24-inch production is historically supported.</x:v>
      </x:c>
      <x:c r="G17" s="26" t="str">
        <x:v>Serial notation and configuration are not inspected.</x:v>
      </x:c>
      <x:c r="H17" s="26" t="str">
        <x:v>BMXMuseum record 128885 is submitted as a 1984 JMC 24; originality remains unverified.</x:v>
      </x:c>
      <x:c r="I17" s="26" t="str">
        <x:v>External backlinks, serial and period comparison.</x:v>
      </x:c>
      <x:c r="J17" s="26" t="str">
        <x:v>ACTIVE</x:v>
      </x:c>
    </x:row>
    <x:row r="18" ht="86" customHeight="1">
      <x:c r="A18" s="26" t="str">
        <x:v>JMC-CLM-014</x:v>
      </x:c>
      <x:c r="B18" s="26" t="str">
        <x:v>Andy Patterson</x:v>
      </x:c>
      <x:c r="C18" s="26" t="str">
        <x:v>AP5 was the first Andy Patterson frame produced.</x:v>
      </x:c>
      <x:c r="D18" s="26" t="str">
        <x:v>V3 firsts archive</x:v>
      </x:c>
      <x:c r="E18" s="26" t="str">
        <x:v>REJECT / CORRECT</x:v>
      </x:c>
      <x:c r="F18" s="26" t="str">
        <x:v>AP2/AP3 and AP4 precede AP5; AP5 is identified as the first sold.</x:v>
      </x:c>
      <x:c r="G18" s="26" t="str">
        <x:v>AP1 remains open.</x:v>
      </x:c>
      <x:c r="H18" s="26" t="str">
        <x:v>The archive identifies AP5 as the first retail-sold AP frame, not the first AP frame produced.</x:v>
      </x:c>
      <x:c r="I18" s="26" t="str">
        <x:v>Resolve AP1 and production sequence.</x:v>
      </x:c>
      <x:c r="J18" s="26" t="str">
        <x:v>LOCKED</x:v>
      </x:c>
    </x:row>
    <x:row r="19" ht="86" customHeight="1">
      <x:c r="A19" s="26" t="str">
        <x:v>JMC-CLM-015</x:v>
      </x:c>
      <x:c r="B19" s="26" t="str">
        <x:v>Serial dating</x:v>
      </x:c>
      <x:c r="C19" s="26" t="str">
        <x:v>The first two serial digits always give the production year.</x:v>
      </x:c>
      <x:c r="D19" s="26" t="str">
        <x:v>V3 identification guide + registry</x:v>
      </x:c>
      <x:c r="E19" s="26" t="str">
        <x:v>REJECT AS UNIVERSAL</x:v>
      </x:c>
      <x:c r="F19" s="26" t="str">
        <x:v>Year coding applies only in later periods/models and has a transition conflict around late 1982–1983.</x:v>
      </x:c>
      <x:c r="G19" s="26" t="str">
        <x:v>Earlier sequential frames and model prefixes differ.</x:v>
      </x:c>
      <x:c r="H19" s="26" t="str">
        <x:v>JMC serial interpretation depends on period, model prefix and construction features; the first two digits are not a universal year code.</x:v>
      </x:c>
      <x:c r="I19" s="26" t="str">
        <x:v>Create model-specific decoding table.</x:v>
      </x:c>
      <x:c r="J19" s="26" t="str">
        <x:v>LOCKED</x:v>
      </x:c>
    </x:row>
    <x:row r="20" ht="86" customHeight="1">
      <x:c r="A20" s="26" t="str">
        <x:v>JMC-CLM-016</x:v>
      </x:c>
      <x:c r="B20" s="26" t="str">
        <x:v>Certification</x:v>
      </x:c>
      <x:c r="C20" s="26" t="str">
        <x:v>A serial photograph alone authenticates a JMC.</x:v>
      </x:c>
      <x:c r="D20" s="26" t="str">
        <x:v>Current official practice</x:v>
      </x:c>
      <x:c r="E20" s="26" t="str">
        <x:v>REJECT</x:v>
      </x:c>
      <x:c r="F20" s="26" t="str">
        <x:v>Current official certification asks for serial, top-tube stamp, BB and complete-frame images.</x:v>
      </x:c>
      <x:c r="G20" s="26" t="str">
        <x:v>Provenance and ledger matching may also be needed.</x:v>
      </x:c>
      <x:c r="H20" s="26" t="str">
        <x:v>A candidate JMC requires a complete physical marking package and production-record review, not a serial alone.</x:v>
      </x:c>
      <x:c r="I20" s="26" t="str">
        <x:v>Apply official capture standard.</x:v>
      </x:c>
      <x:c r="J20" s="26" t="str">
        <x:v>LOCKED</x:v>
      </x:c>
    </x:row>
    <x:row r="21" ht="86" customHeight="1">
      <x:c r="A21" s="26" t="str">
        <x:v>JMC-CLM-017</x:v>
      </x:c>
      <x:c r="B21" s="26" t="str">
        <x:v>Team USA jersey</x:v>
      </x:c>
      <x:c r="C21" s="26" t="str">
        <x:v>Lititz artifact 26.0024 is a period JMC team jersey.</x:v>
      </x:c>
      <x:c r="D21" s="26" t="str">
        <x:v>V4 official USA BMX + Lititz inventory</x:v>
      </x:c>
      <x:c r="E21" s="26" t="str">
        <x:v>REJECT / CORRECT</x:v>
      </x:c>
      <x:c r="F21" s="26" t="str">
        <x:v>It is a 2022 Team USA design honoring JMC and Darrell Young.</x:v>
      </x:c>
      <x:c r="G21" s="26" t="str">
        <x:v>It has no period JMC factory-team status.</x:v>
      </x:c>
      <x:c r="H21" s="26" t="str">
        <x:v>Artifact 26.0024 is a 2022 Team USA tribute to JMC and Darrell Young, signed by Greg Mathias.</x:v>
      </x:c>
      <x:c r="I21" s="26" t="str">
        <x:v>Preserve design/source and signature provenance.</x:v>
      </x:c>
      <x:c r="J21" s="26" t="str">
        <x:v>LOCKED</x:v>
      </x:c>
    </x:row>
  </x:sheetData>
  <x:mergeCells>
    <x:mergeCell ref="A1:J1"/>
    <x:mergeCell ref="A2:J2"/>
  </x:mergeCells>
  <x:pageMargins left="0.7" right="0.7" top="0.75" bottom="0.75" header="0.3" footer="0.3"/>
  <x:tableParts count="1">
    <x:tablePart xmlns:r="http://schemas.openxmlformats.org/officeDocument/2006/relationships" r:id="R46d98265d2664816"/>
  </x:tableParts>
</x:worksheet>
</file>

<file path=xl/worksheets/sheet98.xml><?xml version="1.0" encoding="utf-8"?>
<x:worksheet xmlns:x="http://schemas.openxmlformats.org/spreadsheetml/2006/main">
  <x:sheetFormatPr defaultRowHeight="15"/>
  <x:cols>
    <x:col min="1" max="1" width="15" hidden="0" customWidth="1"/>
    <x:col min="2" max="2" width="30" hidden="0" customWidth="1"/>
    <x:col min="3" max="3" width="34" hidden="0" customWidth="1"/>
    <x:col min="4" max="4" width="38" hidden="0" customWidth="1"/>
    <x:col min="5" max="5" width="22" hidden="0" customWidth="1"/>
    <x:col min="6" max="6" width="36" hidden="0" customWidth="1"/>
    <x:col min="7" max="7" width="22" hidden="0" customWidth="1"/>
    <x:col min="8" max="8" width="48" hidden="0" customWidth="1"/>
    <x:col min="9" max="9" width="58" hidden="0" customWidth="1"/>
    <x:col min="10" max="10" width="22" hidden="0" customWidth="1"/>
  </x:cols>
  <x:sheetData>
    <x:row r="1" ht="31" customHeight="1">
      <x:c r="A1" s="579" t="str">
        <x:v>JMC Relationship Map</x:v>
      </x:c>
      <x:c r="B1" s="579"/>
      <x:c r="C1" s="579"/>
      <x:c r="D1" s="579"/>
      <x:c r="E1" s="579"/>
      <x:c r="F1" s="579"/>
      <x:c r="G1" s="579"/>
      <x:c r="H1" s="579"/>
      <x:c r="I1" s="579"/>
      <x:c r="J1" s="579"/>
    </x:row>
    <x:row r="2" ht="31" customHeight="1">
      <x:c r="A2" s="584" t="str">
        <x:v>Edges preserve the difference between founder, shop team, prototype rider, first recipient, signature rider, dealer, submitted record, modern tribute and authentication custodian.</x:v>
      </x:c>
      <x:c r="B2" s="584"/>
      <x:c r="C2" s="584"/>
      <x:c r="D2" s="584"/>
      <x:c r="E2" s="584"/>
      <x:c r="F2" s="584"/>
      <x:c r="G2" s="584"/>
      <x:c r="H2" s="584"/>
      <x:c r="I2" s="584"/>
      <x:c r="J2" s="584"/>
    </x:row>
    <x:row r="4">
      <x:c r="A4" s="589" t="str">
        <x:v>Edge ID</x:v>
      </x:c>
      <x:c r="B4" s="589" t="str">
        <x:v>Subject</x:v>
      </x:c>
      <x:c r="C4" s="589" t="str">
        <x:v>Relationship</x:v>
      </x:c>
      <x:c r="D4" s="589" t="str">
        <x:v>Object</x:v>
      </x:c>
      <x:c r="E4" s="589" t="str">
        <x:v>Date / Period</x:v>
      </x:c>
      <x:c r="F4" s="589" t="str">
        <x:v>Evidence</x:v>
      </x:c>
      <x:c r="G4" s="589" t="str">
        <x:v>Confidence</x:v>
      </x:c>
      <x:c r="H4" s="589" t="str">
        <x:v>Qualification</x:v>
      </x:c>
      <x:c r="I4" s="589" t="str">
        <x:v>Source URL</x:v>
      </x:c>
      <x:c r="J4" s="589" t="str">
        <x:v>Status</x:v>
      </x:c>
    </x:row>
    <x:row r="5" ht="82" customHeight="1">
      <x:c r="A5" s="26" t="str">
        <x:v>JMC-REL-001</x:v>
      </x:c>
      <x:c r="B5" s="26" t="str">
        <x:v>Jim Melton</x:v>
      </x:c>
      <x:c r="C5" s="26" t="str">
        <x:v>founded business later known as</x:v>
      </x:c>
      <x:c r="D5" s="26" t="str">
        <x:v>JMC / Jim Melton Cyclery</x:v>
      </x:c>
      <x:c r="E5" s="26" t="str">
        <x:v>1969</x:v>
      </x:c>
      <x:c r="F5" s="26" t="str">
        <x:v>Current first-party history</x:v>
      </x:c>
      <x:c r="G5" s="26" t="str">
        <x:v>HIGH</x:v>
      </x:c>
      <x:c r="H5" s="26" t="str">
        <x:v>Business origin is not production-frame launch.</x:v>
      </x:c>
      <x:c r="I5" s="26" t="str">
        <x:v>https://jmcbmx.com/</x:v>
      </x:c>
      <x:c r="J5" s="26" t="str">
        <x:v>LOCKED</x:v>
      </x:c>
    </x:row>
    <x:row r="6" ht="82" customHeight="1">
      <x:c r="A6" s="26" t="str">
        <x:v>JMC-REL-002</x:v>
      </x:c>
      <x:c r="B6" s="26" t="str">
        <x:v>JM Cyclery</x:v>
      </x:c>
      <x:c r="C6" s="26" t="str">
        <x:v>organized</x:v>
      </x:c>
      <x:c r="D6" s="26" t="str">
        <x:v>1975 shop BMX team</x:v>
      </x:c>
      <x:c r="E6" s="26" t="str">
        <x:v>1975</x:v>
      </x:c>
      <x:c r="F6" s="26" t="str">
        <x:v>First-person company history</x:v>
      </x:c>
      <x:c r="G6" s="26" t="str">
        <x:v>HIGH</x:v>
      </x:c>
      <x:c r="H6" s="26" t="str">
        <x:v>Pre-production shop-team phase.</x:v>
      </x:c>
      <x:c r="I6" s="26" t="str">
        <x:v>https://jmcbmx.wordpress.com/about/</x:v>
      </x:c>
      <x:c r="J6" s="26" t="str">
        <x:v>LOCKED</x:v>
      </x:c>
    </x:row>
    <x:row r="7" ht="82" customHeight="1">
      <x:c r="A7" s="26" t="str">
        <x:v>JMC-REL-003</x:v>
      </x:c>
      <x:c r="B7" s="26" t="str">
        <x:v>Harry Leary</x:v>
      </x:c>
      <x:c r="C7" s="26" t="str">
        <x:v>member of</x:v>
      </x:c>
      <x:c r="D7" s="26" t="str">
        <x:v>JM Cyclery/JMC team</x:v>
      </x:c>
      <x:c r="E7" s="26" t="str">
        <x:v>1975–1979</x:v>
      </x:c>
      <x:c r="F7" s="26" t="str">
        <x:v>First-person company archive</x:v>
      </x:c>
      <x:c r="G7" s="26" t="str">
        <x:v>HIGH</x:v>
      </x:c>
      <x:c r="H7" s="26" t="str">
        <x:v>Exact monthly tenure and race-by-race equipment remain open.</x:v>
      </x:c>
      <x:c r="I7" s="26" t="str">
        <x:v>https://jmcbmx.wordpress.com/jmc-factory-riders/</x:v>
      </x:c>
      <x:c r="J7" s="26" t="str">
        <x:v>ACTIVE</x:v>
      </x:c>
    </x:row>
    <x:row r="8" ht="82" customHeight="1">
      <x:c r="A8" s="26" t="str">
        <x:v>JMC-REL-004</x:v>
      </x:c>
      <x:c r="B8" s="26" t="str">
        <x:v>Harry Leary</x:v>
      </x:c>
      <x:c r="C8" s="26" t="str">
        <x:v>associated with</x:v>
      </x:c>
      <x:c r="D8" s="26" t="str">
        <x:v>XP2 Long prototype</x:v>
      </x:c>
      <x:c r="E8" s="26" t="str">
        <x:v>1976</x:v>
      </x:c>
      <x:c r="F8" s="26" t="str">
        <x:v>First-person company archive</x:v>
      </x:c>
      <x:c r="G8" s="26" t="str">
        <x:v>HIGH attributed</x:v>
      </x:c>
      <x:c r="H8" s="26" t="str">
        <x:v>No surviving-frame provenance implied.</x:v>
      </x:c>
      <x:c r="I8" s="26" t="str">
        <x:v>https://jmcbmx.wordpress.com/about/</x:v>
      </x:c>
      <x:c r="J8" s="26" t="str">
        <x:v>ACTIVE</x:v>
      </x:c>
    </x:row>
    <x:row r="9" ht="82" customHeight="1">
      <x:c r="A9" s="26" t="str">
        <x:v>JMC-REL-005</x:v>
      </x:c>
      <x:c r="B9" s="26" t="str">
        <x:v>Ronnie West</x:v>
      </x:c>
      <x:c r="C9" s="26" t="str">
        <x:v>associated with</x:v>
      </x:c>
      <x:c r="D9" s="26" t="str">
        <x:v>XP1 Short prototype</x:v>
      </x:c>
      <x:c r="E9" s="26" t="str">
        <x:v>1976</x:v>
      </x:c>
      <x:c r="F9" s="26" t="str">
        <x:v>First-person company archive</x:v>
      </x:c>
      <x:c r="G9" s="26" t="str">
        <x:v>HIGH attributed</x:v>
      </x:c>
      <x:c r="H9" s="26" t="str">
        <x:v>No surviving-frame provenance implied.</x:v>
      </x:c>
      <x:c r="I9" s="26" t="str">
        <x:v>https://jmcbmx.wordpress.com/about/</x:v>
      </x:c>
      <x:c r="J9" s="26" t="str">
        <x:v>ACTIVE</x:v>
      </x:c>
    </x:row>
    <x:row r="10" ht="82" customHeight="1">
      <x:c r="A10" s="26" t="str">
        <x:v>JMC-REL-006</x:v>
      </x:c>
      <x:c r="B10" s="26" t="str">
        <x:v>Dave Wilson</x:v>
      </x:c>
      <x:c r="C10" s="26" t="str">
        <x:v>received / associated with</x:v>
      </x:c>
      <x:c r="D10" s="26" t="str">
        <x:v>JMC1 first production short</x:v>
      </x:c>
      <x:c r="E10" s="26" t="str">
        <x:v>March 1977</x:v>
      </x:c>
      <x:c r="F10" s="26" t="str">
        <x:v>First-person archive</x:v>
      </x:c>
      <x:c r="G10" s="26" t="str">
        <x:v>HIGH attributed</x:v>
      </x:c>
      <x:c r="H10" s="26" t="str">
        <x:v>Current location and ownership open.</x:v>
      </x:c>
      <x:c r="I10" s="26" t="str">
        <x:v>https://jmcbmx.wordpress.com/2010/02/02/how-to-id-a-jmc/</x:v>
      </x:c>
      <x:c r="J10" s="26" t="str">
        <x:v>ACTIVE</x:v>
      </x:c>
    </x:row>
    <x:row r="11" ht="82" customHeight="1">
      <x:c r="A11" s="26" t="str">
        <x:v>JMC-REL-007</x:v>
      </x:c>
      <x:c r="B11" s="26" t="str">
        <x:v>Clint Miller</x:v>
      </x:c>
      <x:c r="C11" s="26" t="str">
        <x:v>received / associated with</x:v>
      </x:c>
      <x:c r="D11" s="26" t="str">
        <x:v>JMC20 first production long</x:v>
      </x:c>
      <x:c r="E11" s="26" t="str">
        <x:v>April 1977</x:v>
      </x:c>
      <x:c r="F11" s="26" t="str">
        <x:v>First-person archive</x:v>
      </x:c>
      <x:c r="G11" s="26" t="str">
        <x:v>HIGH attributed</x:v>
      </x:c>
      <x:c r="H11" s="26" t="str">
        <x:v>Current location and ownership open.</x:v>
      </x:c>
      <x:c r="I11" s="26" t="str">
        <x:v>https://jmcbmx.wordpress.com/2010/02/02/how-to-id-a-jmc/</x:v>
      </x:c>
      <x:c r="J11" s="26" t="str">
        <x:v>ACTIVE</x:v>
      </x:c>
    </x:row>
    <x:row r="12" ht="82" customHeight="1">
      <x:c r="A12" s="26" t="str">
        <x:v>JMC-REL-008</x:v>
      </x:c>
      <x:c r="B12" s="26" t="str">
        <x:v>Bicycle Harbor of Arizona</x:v>
      </x:c>
      <x:c r="C12" s="26" t="str">
        <x:v>dealer/naming collaborator for</x:v>
      </x:c>
      <x:c r="D12" s="26" t="str">
        <x:v>Black Shadow and 3.1 XL</x:v>
      </x:c>
      <x:c r="E12" s="26" t="str">
        <x:v>1980</x:v>
      </x:c>
      <x:c r="F12" s="26" t="str">
        <x:v>First-person archive</x:v>
      </x:c>
      <x:c r="G12" s="26" t="str">
        <x:v>HIGH attributed</x:v>
      </x:c>
      <x:c r="H12" s="26" t="str">
        <x:v>Original announcement and sales paperwork still needed.</x:v>
      </x:c>
      <x:c r="I12" s="26" t="str">
        <x:v>https://jmcbmx.wordpress.com/about/</x:v>
      </x:c>
      <x:c r="J12" s="26" t="str">
        <x:v>ACTIVE</x:v>
      </x:c>
    </x:row>
    <x:row r="13" ht="82" customHeight="1">
      <x:c r="A13" s="26" t="str">
        <x:v>JMC-REL-009</x:v>
      </x:c>
      <x:c r="B13" s="26" t="str">
        <x:v>Matt Raymer</x:v>
      </x:c>
      <x:c r="C13" s="26" t="str">
        <x:v>named</x:v>
      </x:c>
      <x:c r="D13" s="26" t="str">
        <x:v>3.1 XL</x:v>
      </x:c>
      <x:c r="E13" s="26" t="str">
        <x:v>1980</x:v>
      </x:c>
      <x:c r="F13" s="26" t="str">
        <x:v>First-person archive</x:v>
      </x:c>
      <x:c r="G13" s="26" t="str">
        <x:v>HIGH attributed</x:v>
      </x:c>
      <x:c r="H13" s="26" t="str">
        <x:v>Original contest announcement not recovered.</x:v>
      </x:c>
      <x:c r="I13" s="26" t="str">
        <x:v>https://jmcbmx.wordpress.com/about/</x:v>
      </x:c>
      <x:c r="J13" s="26" t="str">
        <x:v>ACTIVE</x:v>
      </x:c>
    </x:row>
    <x:row r="14" ht="82" customHeight="1">
      <x:c r="A14" s="26" t="str">
        <x:v>JMC-REL-010</x:v>
      </x:c>
      <x:c r="B14" s="26" t="str">
        <x:v>Darrell Young</x:v>
      </x:c>
      <x:c r="C14" s="26" t="str">
        <x:v>signature/design relationship with</x:v>
      </x:c>
      <x:c r="D14" s="26" t="str">
        <x:v>Darrell Young Design</x:v>
      </x:c>
      <x:c r="E14" s="26" t="str">
        <x:v>1983–1985</x:v>
      </x:c>
      <x:c r="F14" s="26" t="str">
        <x:v>First-person archive + period test</x:v>
      </x:c>
      <x:c r="G14" s="26" t="str">
        <x:v>HIGH</x:v>
      </x:c>
      <x:c r="H14" s="26" t="str">
        <x:v>Design contribution details remain source-specific.</x:v>
      </x:c>
      <x:c r="I14" s="26" t="str">
        <x:v>https://oldschoolmags.com/tests/JMC_DY_Bikes%26Dirt8403.pdf</x:v>
      </x:c>
      <x:c r="J14" s="26" t="str">
        <x:v>ACTIVE</x:v>
      </x:c>
    </x:row>
    <x:row r="15" ht="82" customHeight="1">
      <x:c r="A15" s="26" t="str">
        <x:v>JMC-REL-011</x:v>
      </x:c>
      <x:c r="B15" s="26" t="str">
        <x:v>Andy Patterson</x:v>
      </x:c>
      <x:c r="C15" s="26" t="str">
        <x:v>signature/design relationship with</x:v>
      </x:c>
      <x:c r="D15" s="26" t="str">
        <x:v>Andy Patterson Design</x:v>
      </x:c>
      <x:c r="E15" s="26" t="str">
        <x:v>1984–1985</x:v>
      </x:c>
      <x:c r="F15" s="26" t="str">
        <x:v>First-person archive</x:v>
      </x:c>
      <x:c r="G15" s="26" t="str">
        <x:v>HIGH</x:v>
      </x:c>
      <x:c r="H15" s="26" t="str">
        <x:v>AP1 and complete sequence remain open.</x:v>
      </x:c>
      <x:c r="I15" s="26" t="str">
        <x:v>https://jmcbmx.wordpress.com/category/jmc-firsts/</x:v>
      </x:c>
      <x:c r="J15" s="26" t="str">
        <x:v>ACTIVE</x:v>
      </x:c>
    </x:row>
    <x:row r="16" ht="82" customHeight="1">
      <x:c r="A16" s="26" t="str">
        <x:v>JMC-REL-012</x:v>
      </x:c>
      <x:c r="B16" s="26" t="str">
        <x:v>Justin Roos</x:v>
      </x:c>
      <x:c r="C16" s="26" t="str">
        <x:v>development relationship with</x:v>
      </x:c>
      <x:c r="D16" s="26" t="str">
        <x:v>JR Mini</x:v>
      </x:c>
      <x:c r="E16" s="26" t="str">
        <x:v>1982</x:v>
      </x:c>
      <x:c r="F16" s="26" t="str">
        <x:v>First-person company history</x:v>
      </x:c>
      <x:c r="G16" s="26" t="str">
        <x:v>HIGH attributed</x:v>
      </x:c>
      <x:c r="H16" s="26" t="str">
        <x:v>Production sequence open.</x:v>
      </x:c>
      <x:c r="I16" s="26" t="str">
        <x:v>https://jmcbmx.wordpress.com/about/</x:v>
      </x:c>
      <x:c r="J16" s="26" t="str">
        <x:v>ACTIVE</x:v>
      </x:c>
    </x:row>
    <x:row r="17" ht="82" customHeight="1">
      <x:c r="A17" s="26" t="str">
        <x:v>JMC-REL-013</x:v>
      </x:c>
      <x:c r="B17" s="26" t="str">
        <x:v>JMC Racing</x:v>
      </x:c>
      <x:c r="C17" s="26" t="str">
        <x:v>source relationship with</x:v>
      </x:c>
      <x:c r="D17" s="26" t="str">
        <x:v>BMXMuseum brand gallery</x:v>
      </x:c>
      <x:c r="E17" s="26" t="str">
        <x:v>Public current</x:v>
      </x:c>
      <x:c r="F17" s="26" t="str">
        <x:v>Canonical public endpoint</x:v>
      </x:c>
      <x:c r="G17" s="26" t="str">
        <x:v>HIGH for endpoint</x:v>
      </x:c>
      <x:c r="H17" s="26" t="str">
        <x:v>Submitted examples are not company production records.</x:v>
      </x:c>
      <x:c r="I17" s="26" t="str">
        <x:v>https://www.bmxmuseum.com/bikes/jmc_racing/</x:v>
      </x:c>
      <x:c r="J17" s="26" t="str">
        <x:v>INDEX ONLY</x:v>
      </x:c>
    </x:row>
    <x:row r="18" ht="82" customHeight="1">
      <x:c r="A18" s="26" t="str">
        <x:v>JMC-REL-014</x:v>
      </x:c>
      <x:c r="B18" s="26" t="str">
        <x:v>BMXMuseum record 119290</x:v>
      </x:c>
      <x:c r="C18" s="26" t="str">
        <x:v>submitted as</x:v>
      </x:c>
      <x:c r="D18" s="26" t="str">
        <x:v>1984 JMC Darrell Young</x:v>
      </x:c>
      <x:c r="E18" s="26" t="str">
        <x:v>Public record</x:v>
      </x:c>
      <x:c r="F18" s="26" t="str">
        <x:v>Official public social exposure</x:v>
      </x:c>
      <x:c r="G18" s="26" t="str">
        <x:v>A1 exact identity</x:v>
      </x:c>
      <x:c r="H18" s="26" t="str">
        <x:v>Exact-bike originality unverified.</x:v>
      </x:c>
      <x:c r="I18" s="26" t="str">
        <x:v>https://www.bmxmuseum.com/bikes/jmc_racing/119290</x:v>
      </x:c>
      <x:c r="J18" s="26" t="str">
        <x:v>EXACT</x:v>
      </x:c>
    </x:row>
    <x:row r="19" ht="82" customHeight="1">
      <x:c r="A19" s="26" t="str">
        <x:v>JMC-REL-015</x:v>
      </x:c>
      <x:c r="B19" s="26" t="str">
        <x:v>BMXMuseum record 128885</x:v>
      </x:c>
      <x:c r="C19" s="26" t="str">
        <x:v>submitted as</x:v>
      </x:c>
      <x:c r="D19" s="26" t="str">
        <x:v>1984 JMC 24</x:v>
      </x:c>
      <x:c r="E19" s="26" t="str">
        <x:v>Public record</x:v>
      </x:c>
      <x:c r="F19" s="26" t="str">
        <x:v>Official public social exposure</x:v>
      </x:c>
      <x:c r="G19" s="26" t="str">
        <x:v>A1 exact identity</x:v>
      </x:c>
      <x:c r="H19" s="26" t="str">
        <x:v>Exact-bike originality unverified.</x:v>
      </x:c>
      <x:c r="I19" s="26" t="str">
        <x:v>https://www.bmxmuseum.com/bikes/jmc_racing/128885</x:v>
      </x:c>
      <x:c r="J19" s="26" t="str">
        <x:v>EXACT</x:v>
      </x:c>
    </x:row>
    <x:row r="20" ht="82" customHeight="1">
      <x:c r="A20" s="26" t="str">
        <x:v>JMC-REL-016</x:v>
      </x:c>
      <x:c r="B20" s="26" t="str">
        <x:v>2022 Team USA jersey</x:v>
      </x:c>
      <x:c r="C20" s="26" t="str">
        <x:v>design tribute to</x:v>
      </x:c>
      <x:c r="D20" s="26" t="str">
        <x:v>JMC Racing and Darrell Young</x:v>
      </x:c>
      <x:c r="E20" s="26" t="str">
        <x:v>2022</x:v>
      </x:c>
      <x:c r="F20" s="26" t="str">
        <x:v>Official USA BMX announcement</x:v>
      </x:c>
      <x:c r="G20" s="26" t="str">
        <x:v>HIGH</x:v>
      </x:c>
      <x:c r="H20" s="26" t="str">
        <x:v>Modern tribute, not period team apparel.</x:v>
      </x:c>
      <x:c r="I20" s="26" t="str">
        <x:v>https://www.usabmx.com/news-and-media/6/2022-05-02/2022-TEAM-USA-Worlds-Jerseys-revealed?id=1951</x:v>
      </x:c>
      <x:c r="J20" s="26" t="str">
        <x:v>VERIFIED</x:v>
      </x:c>
    </x:row>
    <x:row r="21" ht="82" customHeight="1">
      <x:c r="A21" s="26" t="str">
        <x:v>JMC-REL-017</x:v>
      </x:c>
      <x:c r="B21" s="26" t="str">
        <x:v>Lititz artifact 26.0024</x:v>
      </x:c>
      <x:c r="C21" s="26" t="str">
        <x:v>physical example of</x:v>
      </x:c>
      <x:c r="D21" s="26" t="str">
        <x:v>2022 Team USA JMC/DY tribute</x:v>
      </x:c>
      <x:c r="E21" s="26" t="str">
        <x:v>2022 / collection</x:v>
      </x:c>
      <x:c r="F21" s="26" t="str">
        <x:v>Lititz inventory + official design source</x:v>
      </x:c>
      <x:c r="G21" s="26" t="str">
        <x:v>HIGH</x:v>
      </x:c>
      <x:c r="H21" s="26" t="str">
        <x:v>Signature provenance remains collection-specific.</x:v>
      </x:c>
      <x:c r="I21" s="26" t="str">
        <x:v>https://sites.google.com/view/lititzbmxinventorylist/home/26-0024</x:v>
      </x:c>
      <x:c r="J21" s="26" t="str">
        <x:v>VERIFIED</x:v>
      </x:c>
    </x:row>
    <x:row r="22" ht="82" customHeight="1">
      <x:c r="A22" s="26" t="str">
        <x:v>JMC-REL-018</x:v>
      </x:c>
      <x:c r="B22" s="26" t="str">
        <x:v>Carla Melton Jansen</x:v>
      </x:c>
      <x:c r="C22" s="26" t="str">
        <x:v>current custodian/authenticator for</x:v>
      </x:c>
      <x:c r="D22" s="26" t="str">
        <x:v>JMC production records and COA process</x:v>
      </x:c>
      <x:c r="E22" s="26" t="str">
        <x:v>Current</x:v>
      </x:c>
      <x:c r="F22" s="26" t="str">
        <x:v>Official JMC service page</x:v>
      </x:c>
      <x:c r="G22" s="26" t="str">
        <x:v>HIGH</x:v>
      </x:c>
      <x:c r="H22" s="26" t="str">
        <x:v>Certification result depends on evidence supplied and available records.</x:v>
      </x:c>
      <x:c r="I22" s="26" t="str">
        <x:v>https://jmcbmx.com/products/certificate-of-authenticity</x:v>
      </x:c>
      <x:c r="J22" s="26" t="str">
        <x:v>CURRENT OFFICIAL</x:v>
      </x:c>
    </x:row>
  </x:sheetData>
  <x:mergeCells>
    <x:mergeCell ref="A1:J1"/>
    <x:mergeCell ref="A2:J2"/>
  </x:mergeCells>
  <x:pageMargins left="0.7" right="0.7" top="0.75" bottom="0.75" header="0.3" footer="0.3"/>
  <x:tableParts count="1">
    <x:tablePart xmlns:r="http://schemas.openxmlformats.org/officeDocument/2006/relationships" r:id="R5daf6a62cb3040bf"/>
  </x:tableParts>
</x:worksheet>
</file>

<file path=xl/worksheets/sheet99.xml><?xml version="1.0" encoding="utf-8"?>
<x:worksheet xmlns:x="http://schemas.openxmlformats.org/spreadsheetml/2006/main">
  <x:sheetFormatPr defaultRowHeight="15"/>
  <x:cols>
    <x:col min="1" max="1" width="15" hidden="0" customWidth="1"/>
    <x:col min="2" max="2" width="48" hidden="0" customWidth="1"/>
    <x:col min="3" max="3" width="54" hidden="0" customWidth="1"/>
    <x:col min="4" max="4" width="62" hidden="0" customWidth="1"/>
    <x:col min="5" max="5" width="16" hidden="0" customWidth="1"/>
    <x:col min="6" max="6" width="40" hidden="0" customWidth="1"/>
    <x:col min="7" max="7" width="20" hidden="0" customWidth="1"/>
    <x:col min="8" max="8" width="44" hidden="0" customWidth="1"/>
  </x:cols>
  <x:sheetData>
    <x:row r="1" ht="31" customHeight="1">
      <x:c r="A1" s="579" t="str">
        <x:v>JMC Corrections and Public-Wording Lock</x:v>
      </x:c>
      <x:c r="B1" s="579"/>
      <x:c r="C1" s="579"/>
      <x:c r="D1" s="579"/>
      <x:c r="E1" s="579"/>
      <x:c r="F1" s="579"/>
      <x:c r="G1" s="579"/>
      <x:c r="H1" s="579"/>
    </x:row>
    <x:row r="2" ht="31" customHeight="1">
      <x:c r="A2" s="584" t="str">
        <x:v>These corrections prevent business-origin dates, survivor lists, prefixes, period tests, BMXMuseum metadata and modern tribute objects from being overstated.</x:v>
      </x:c>
      <x:c r="B2" s="584"/>
      <x:c r="C2" s="584"/>
      <x:c r="D2" s="584"/>
      <x:c r="E2" s="584"/>
      <x:c r="F2" s="584"/>
      <x:c r="G2" s="584"/>
      <x:c r="H2" s="584"/>
    </x:row>
    <x:row r="4">
      <x:c r="A4" s="589" t="str">
        <x:v>Correction ID</x:v>
      </x:c>
      <x:c r="B4" s="589" t="str">
        <x:v>Existing / Risky Wording</x:v>
      </x:c>
      <x:c r="C4" s="589" t="str">
        <x:v>Audit Finding</x:v>
      </x:c>
      <x:c r="D4" s="589" t="str">
        <x:v>Locked Replacement Wording</x:v>
      </x:c>
      <x:c r="E4" s="589" t="str">
        <x:v>Severity</x:v>
      </x:c>
      <x:c r="F4" s="589" t="str">
        <x:v>Evidence</x:v>
      </x:c>
      <x:c r="G4" s="589" t="str">
        <x:v>Status</x:v>
      </x:c>
      <x:c r="H4" s="589" t="str">
        <x:v>Follow-up</x:v>
      </x:c>
    </x:row>
    <x:row r="5" ht="84" customHeight="1">
      <x:c r="A5" s="26" t="str">
        <x:v>JMC-COR-001</x:v>
      </x:c>
      <x:c r="B5" s="26" t="str">
        <x:v>JMC began producing BMX frames in 1969.</x:v>
      </x:c>
      <x:c r="C5" s="26" t="str">
        <x:v>1969 is the business origin; BMX involvement came around 1974, prototypes in 1976 and production in 1977.</x:v>
      </x:c>
      <x:c r="D5" s="26" t="str">
        <x:v>The business was established in 1969; JMC entered BMX in the mid-1970s and began production frames in 1977.</x:v>
      </x:c>
      <x:c r="E5" s="26" t="str">
        <x:v>CRITICAL</x:v>
      </x:c>
      <x:c r="F5" s="26" t="str">
        <x:v>JMC current and preserved company histories</x:v>
      </x:c>
      <x:c r="G5" s="26" t="str">
        <x:v>LOCKED</x:v>
      </x:c>
      <x:c r="H5" s="26" t="str">
        <x:v>Apply to all public chronology.</x:v>
      </x:c>
    </x:row>
    <x:row r="6" ht="84" customHeight="1">
      <x:c r="A6" s="26" t="str">
        <x:v>JMC-COR-002</x:v>
      </x:c>
      <x:c r="B6" s="26" t="str">
        <x:v>Harry Leary was riding a JMC production frame throughout 1975.</x:v>
      </x:c>
      <x:c r="C6" s="26" t="str">
        <x:v>The 1975 phase was a shop team using Webco, FMF, Pedals Ready GT, Race Inc and JM Special equipment; JMC prototypes followed in 1976.</x:v>
      </x:c>
      <x:c r="D6" s="26" t="str">
        <x:v>Harry Leary joined the 1975 JM Cyclery team and later participated in JMC prototype and production-era activity.</x:v>
      </x:c>
      <x:c r="E6" s="26" t="str">
        <x:v>HIGH</x:v>
      </x:c>
      <x:c r="F6" s="26" t="str">
        <x:v>JMC preserved history</x:v>
      </x:c>
      <x:c r="G6" s="26" t="str">
        <x:v>LOCKED</x:v>
      </x:c>
      <x:c r="H6" s="26" t="str">
        <x:v>Link race-by-race equipment only with period evidence.</x:v>
      </x:c>
    </x:row>
    <x:row r="7" ht="84" customHeight="1">
      <x:c r="A7" s="26" t="str">
        <x:v>JMC-COR-003</x:v>
      </x:c>
      <x:c r="B7" s="26" t="str">
        <x:v>Every Black Shadow uses a K serial.</x:v>
      </x:c>
      <x:c r="C7" s="26" t="str">
        <x:v>The first Black Shadow is identified as JMC2175; K came later.</x:v>
      </x:c>
      <x:c r="D7" s="26" t="str">
        <x:v>Early Black Shadows can carry JMC-prefix serials; the first K transition remains unresolved.</x:v>
      </x:c>
      <x:c r="E7" s="26" t="str">
        <x:v>HIGH</x:v>
      </x:c>
      <x:c r="F7" s="26" t="str">
        <x:v>JMC firsts/history</x:v>
      </x:c>
      <x:c r="G7" s="26" t="str">
        <x:v>LOCKED</x:v>
      </x:c>
      <x:c r="H7" s="26" t="str">
        <x:v>Find exact first K ledger entry.</x:v>
      </x:c>
    </x:row>
    <x:row r="8" ht="84" customHeight="1">
      <x:c r="A8" s="26" t="str">
        <x:v>JMC-COR-004</x:v>
      </x:c>
      <x:c r="B8" s="26" t="str">
        <x:v>The known-survivor list is the production record.</x:v>
      </x:c>
      <x:c r="C8" s="26" t="str">
        <x:v>It is an incomplete retrospective registry containing certified and uncertified reported bikes.</x:v>
      </x:c>
      <x:c r="D8" s="26" t="str">
        <x:v>Use the survivor list only as a comparison lead; production totals require company records.</x:v>
      </x:c>
      <x:c r="E8" s="26" t="str">
        <x:v>HIGH</x:v>
      </x:c>
      <x:c r="F8" s="26" t="str">
        <x:v>JMC survivor registry and certification practice</x:v>
      </x:c>
      <x:c r="G8" s="26" t="str">
        <x:v>LOCKED</x:v>
      </x:c>
      <x:c r="H8" s="26" t="str">
        <x:v>Never convert absence into nonproduction.</x:v>
      </x:c>
    </x:row>
    <x:row r="9" ht="84" customHeight="1">
      <x:c r="A9" s="26" t="str">
        <x:v>JMC-COR-005</x:v>
      </x:c>
      <x:c r="B9" s="26" t="str">
        <x:v>The first two digits always date a JMC.</x:v>
      </x:c>
      <x:c r="C9" s="26" t="str">
        <x:v>The coding rule is later and model-dependent, with a late-1982/1983 transition conflict.</x:v>
      </x:c>
      <x:c r="D9" s="26" t="str">
        <x:v>Decode serials by model, period, prefix, construction and records—not by a universal two-digit rule.</x:v>
      </x:c>
      <x:c r="E9" s="26" t="str">
        <x:v>CRITICAL</x:v>
      </x:c>
      <x:c r="F9" s="26" t="str">
        <x:v>JMC identification guide and registry</x:v>
      </x:c>
      <x:c r="G9" s="26" t="str">
        <x:v>LOCKED</x:v>
      </x:c>
      <x:c r="H9" s="26" t="str">
        <x:v>Build model-specific transition table.</x:v>
      </x:c>
    </x:row>
    <x:row r="10" ht="84" customHeight="1">
      <x:c r="A10" s="26" t="str">
        <x:v>JMC-COR-006</x:v>
      </x:c>
      <x:c r="B10" s="26" t="str">
        <x:v>The first nine DY frames were nine retail bikes.</x:v>
      </x:c>
      <x:c r="C10" s="26" t="str">
        <x:v>They included prototypes and development/release frames; identified retail sales came in January 1984.</x:v>
      </x:c>
      <x:c r="D10" s="26" t="str">
        <x:v>Describe the October 1983 group as the first nine-frame development group, not nine retail sales.</x:v>
      </x:c>
      <x:c r="E10" s="26" t="str">
        <x:v>HIGH</x:v>
      </x:c>
      <x:c r="F10" s="26" t="str">
        <x:v>JMC firsts archive</x:v>
      </x:c>
      <x:c r="G10" s="26" t="str">
        <x:v>LOCKED</x:v>
      </x:c>
      <x:c r="H10" s="26" t="str">
        <x:v>Record each serial/role separately when available.</x:v>
      </x:c>
    </x:row>
    <x:row r="11" ht="84" customHeight="1">
      <x:c r="A11" s="26" t="str">
        <x:v>JMC-COR-007</x:v>
      </x:c>
      <x:c r="B11" s="26" t="str">
        <x:v>AP5 was the first AP frame made.</x:v>
      </x:c>
      <x:c r="C11" s="26" t="str">
        <x:v>AP2/AP3 and AP4 precede AP5; AP5 is identified as the first sold.</x:v>
      </x:c>
      <x:c r="D11" s="26" t="str">
        <x:v>AP5 is the first identified retail-sold AP frame; AP1 status remains open.</x:v>
      </x:c>
      <x:c r="E11" s="26" t="str">
        <x:v>HIGH</x:v>
      </x:c>
      <x:c r="F11" s="26" t="str">
        <x:v>JMC firsts archive</x:v>
      </x:c>
      <x:c r="G11" s="26" t="str">
        <x:v>LOCKED</x:v>
      </x:c>
      <x:c r="H11" s="26" t="str">
        <x:v>Resolve AP1.</x:v>
      </x:c>
    </x:row>
    <x:row r="12" ht="84" customHeight="1">
      <x:c r="A12" s="26" t="str">
        <x:v>JMC-COR-008</x:v>
      </x:c>
      <x:c r="B12" s="26" t="str">
        <x:v>A period magazine test defines every JMC factory build.</x:v>
      </x:c>
      <x:c r="C12" s="26" t="str">
        <x:v>Tests document one tested configuration and measured setup.</x:v>
      </x:c>
      <x:c r="D12" s="26" t="str">
        <x:v>Use each period test as object-specific measured evidence, not a universal component specification.</x:v>
      </x:c>
      <x:c r="E12" s="26" t="str">
        <x:v>HIGH</x:v>
      </x:c>
      <x:c r="F12" s="26" t="str">
        <x:v>Period tests</x:v>
      </x:c>
      <x:c r="G12" s="26" t="str">
        <x:v>LOCKED</x:v>
      </x:c>
      <x:c r="H12" s="26" t="str">
        <x:v>Compare against catalogs and price lists.</x:v>
      </x:c>
    </x:row>
    <x:row r="13" ht="84" customHeight="1">
      <x:c r="A13" s="26" t="str">
        <x:v>JMC-COR-009</x:v>
      </x:c>
      <x:c r="B13" s="26" t="str">
        <x:v>BMXMuseum exact title/year authenticates an individual bike.</x:v>
      </x:c>
      <x:c r="C13" s="26" t="str">
        <x:v>Exact public metadata identifies the submitted record only.</x:v>
      </x:c>
      <x:c r="D13" s="26" t="str">
        <x:v>Use BMXMuseum title/year as submitted metadata; authenticate serial, frame and originality separately.</x:v>
      </x:c>
      <x:c r="E13" s="26" t="str">
        <x:v>CRITICAL</x:v>
      </x:c>
      <x:c r="F13" s="26" t="str">
        <x:v>Register method rule</x:v>
      </x:c>
      <x:c r="G13" s="26" t="str">
        <x:v>LOCKED</x:v>
      </x:c>
      <x:c r="H13" s="26" t="str">
        <x:v>Apply to records 119290 and 128885.</x:v>
      </x:c>
    </x:row>
    <x:row r="14" ht="84" customHeight="1">
      <x:c r="A14" s="26" t="str">
        <x:v>JMC-COR-010</x:v>
      </x:c>
      <x:c r="B14" s="26" t="str">
        <x:v>The 2022 Team USA jersey is period JMC apparel.</x:v>
      </x:c>
      <x:c r="C14" s="26" t="str">
        <x:v>USA BMX identifies it as a modern tribute to JMC and Darrell Young.</x:v>
      </x:c>
      <x:c r="D14" s="26" t="str">
        <x:v>Describe Lititz artifact 26.0024 as a 2022 Team USA JMC/Darrell Young tribute jersey.</x:v>
      </x:c>
      <x:c r="E14" s="26" t="str">
        <x:v>HIGH</x:v>
      </x:c>
      <x:c r="F14" s="26" t="str">
        <x:v>USA BMX official announcement</x:v>
      </x:c>
      <x:c r="G14" s="26" t="str">
        <x:v>LOCKED</x:v>
      </x:c>
      <x:c r="H14" s="26" t="str">
        <x:v>Preserve signature provenance separately.</x:v>
      </x:c>
    </x:row>
    <x:row r="15" ht="84" customHeight="1">
      <x:c r="A15" s="26" t="str">
        <x:v>JMC-COR-011</x:v>
      </x:c>
      <x:c r="B15" s="26" t="str">
        <x:v>A serial photograph alone is sufficient for JMC authentication.</x:v>
      </x:c>
      <x:c r="C15" s="26" t="str">
        <x:v>Current JMC certification asks for serial, JMC stamp behind the top tube, BB and complete-frame images.</x:v>
      </x:c>
      <x:c r="D15" s="26" t="str">
        <x:v>Require the full official-style capture package plus provenance and production-record comparison.</x:v>
      </x:c>
      <x:c r="E15" s="26" t="str">
        <x:v>CRITICAL</x:v>
      </x:c>
      <x:c r="F15" s="26" t="str">
        <x:v>Official JMC COA service</x:v>
      </x:c>
      <x:c r="G15" s="26" t="str">
        <x:v>LOCKED</x:v>
      </x:c>
      <x:c r="H15" s="26" t="str">
        <x:v>Add standard to future physical roadmap.</x:v>
      </x:c>
    </x:row>
  </x:sheetData>
  <x:mergeCells>
    <x:mergeCell ref="A1:H1"/>
    <x:mergeCell ref="A2:H2"/>
  </x:mergeCells>
  <x:pageMargins left="0.7" right="0.7" top="0.75" bottom="0.75" header="0.3" footer="0.3"/>
  <x:tableParts count="1">
    <x:tablePart xmlns:r="http://schemas.openxmlformats.org/officeDocument/2006/relationships" r:id="Rc0410ebda5c7447f"/>
  </x:tableParts>
</x:worksheet>
</file>

<file path=xl/worksheets/sheet100.xml><?xml version="1.0" encoding="utf-8"?>
<x:worksheet xmlns:x="http://schemas.openxmlformats.org/spreadsheetml/2006/main">
  <x:sheetFormatPr defaultRowHeight="15"/>
  <x:cols>
    <x:col min="1" max="1" width="15" hidden="0" customWidth="1"/>
    <x:col min="2" max="2" width="38" hidden="0" customWidth="1"/>
    <x:col min="3" max="3" width="31" hidden="0" customWidth="1"/>
    <x:col min="4" max="4" width="24" hidden="0" customWidth="1"/>
    <x:col min="5" max="5" width="52" hidden="0" customWidth="1"/>
    <x:col min="6" max="6" width="50" hidden="0" customWidth="1"/>
    <x:col min="7" max="7" width="42" hidden="0" customWidth="1"/>
    <x:col min="8" max="8" width="62" hidden="0" customWidth="1"/>
    <x:col min="9" max="9" width="14" hidden="0" customWidth="1"/>
  </x:cols>
  <x:sheetData>
    <x:row r="1" ht="31" customHeight="1">
      <x:c r="A1" s="579" t="str">
        <x:v>JMC Source Register</x:v>
      </x:c>
      <x:c r="B1" s="579"/>
      <x:c r="C1" s="579"/>
      <x:c r="D1" s="579"/>
      <x:c r="E1" s="579"/>
      <x:c r="F1" s="579"/>
      <x:c r="G1" s="579"/>
      <x:c r="H1" s="579"/>
      <x:c r="I1" s="579"/>
    </x:row>
    <x:row r="2" ht="31" customHeight="1">
      <x:c r="A2" s="584" t="str">
        <x:v>First-person company history, period tests, official announcements, current certification practice and BMXMuseum public metadata remain distinct source classes.</x:v>
      </x:c>
      <x:c r="B2" s="584"/>
      <x:c r="C2" s="584"/>
      <x:c r="D2" s="584"/>
      <x:c r="E2" s="584"/>
      <x:c r="F2" s="584"/>
      <x:c r="G2" s="584"/>
      <x:c r="H2" s="584"/>
      <x:c r="I2" s="584"/>
    </x:row>
    <x:row r="4">
      <x:c r="A4" s="589" t="str">
        <x:v>Source ID</x:v>
      </x:c>
      <x:c r="B4" s="589" t="str">
        <x:v>Source</x:v>
      </x:c>
      <x:c r="C4" s="589" t="str">
        <x:v>Source Class</x:v>
      </x:c>
      <x:c r="D4" s="589" t="str">
        <x:v>Coverage</x:v>
      </x:c>
      <x:c r="E4" s="589" t="str">
        <x:v>Claims Supported</x:v>
      </x:c>
      <x:c r="F4" s="589" t="str">
        <x:v>Limitations</x:v>
      </x:c>
      <x:c r="G4" s="589" t="str">
        <x:v>Rights / Use</x:v>
      </x:c>
      <x:c r="H4" s="589" t="str">
        <x:v>URL</x:v>
      </x:c>
      <x:c r="I4" s="589" t="str">
        <x:v>Accessed</x:v>
      </x:c>
    </x:row>
    <x:row r="5" ht="82" customHeight="1">
      <x:c r="A5" s="26" t="str">
        <x:v>JMC-SRC-001</x:v>
      </x:c>
      <x:c r="B5" s="26" t="str">
        <x:v>About JMC</x:v>
      </x:c>
      <x:c r="C5" s="26" t="str">
        <x:v>Preserved first-person company history</x:v>
      </x:c>
      <x:c r="D5" s="26" t="str">
        <x:v>1969–1985</x:v>
      </x:c>
      <x:c r="E5" s="26" t="str">
        <x:v>Business chronology, team, prototypes, models, totals and closure.</x:v>
      </x:c>
      <x:c r="F5" s="26" t="str">
        <x:v>Company-authored retrospective; direct ledger audit remains separate.</x:v>
      </x:c>
      <x:c r="G5" s="26" t="str">
        <x:v>Paraphrase factual history; cite source.</x:v>
      </x:c>
      <x:c r="H5" s="26" t="str">
        <x:v>https://jmcbmx.wordpress.com/about/</x:v>
      </x:c>
      <x:c r="I5" s="26" t="str">
        <x:v>2026-07-30</x:v>
      </x:c>
    </x:row>
    <x:row r="6" ht="82" customHeight="1">
      <x:c r="A6" s="26" t="str">
        <x:v>JMC-SRC-002</x:v>
      </x:c>
      <x:c r="B6" s="26" t="str">
        <x:v>How to ID a JMC</x:v>
      </x:c>
      <x:c r="C6" s="26" t="str">
        <x:v>Company/specialist identification guide</x:v>
      </x:c>
      <x:c r="D6" s="26" t="str">
        <x:v>1976–1985</x:v>
      </x:c>
      <x:c r="E6" s="26" t="str">
        <x:v>Prefixes, serial sequence, geometry and construction transitions.</x:v>
      </x:c>
      <x:c r="F6" s="26" t="str">
        <x:v>Several transition dates are expressly unresolved.</x:v>
      </x:c>
      <x:c r="G6" s="26" t="str">
        <x:v>Use with model-specific confidence labels.</x:v>
      </x:c>
      <x:c r="H6" s="26" t="str">
        <x:v>https://jmcbmx.wordpress.com/2010/02/02/how-to-id-a-jmc/</x:v>
      </x:c>
      <x:c r="I6" s="26" t="str">
        <x:v>2026-07-30</x:v>
      </x:c>
    </x:row>
    <x:row r="7" ht="82" customHeight="1">
      <x:c r="A7" s="26" t="str">
        <x:v>JMC-SRC-003</x:v>
      </x:c>
      <x:c r="B7" s="26" t="str">
        <x:v>JMC Firsts archive</x:v>
      </x:c>
      <x:c r="C7" s="26" t="str">
        <x:v>Company firsts/production-record summaries</x:v>
      </x:c>
      <x:c r="D7" s="26" t="str">
        <x:v>1977–1984</x:v>
      </x:c>
      <x:c r="E7" s="26" t="str">
        <x:v>First Black Shadow, DY and AP sequences, early sales.</x:v>
      </x:c>
      <x:c r="F7" s="26" t="str">
        <x:v>Public summaries do not replace full ledger entries.</x:v>
      </x:c>
      <x:c r="G7" s="26" t="str">
        <x:v>Paraphrase factual record summaries.</x:v>
      </x:c>
      <x:c r="H7" s="26" t="str">
        <x:v>https://jmcbmx.wordpress.com/category/jmc-firsts/</x:v>
      </x:c>
      <x:c r="I7" s="26" t="str">
        <x:v>2026-07-30</x:v>
      </x:c>
    </x:row>
    <x:row r="8" ht="82" customHeight="1">
      <x:c r="A8" s="26" t="str">
        <x:v>JMC-SRC-004</x:v>
      </x:c>
      <x:c r="B8" s="26" t="str">
        <x:v>JMC Factory Riders</x:v>
      </x:c>
      <x:c r="C8" s="26" t="str">
        <x:v>Preserved company roster</x:v>
      </x:c>
      <x:c r="D8" s="26" t="str">
        <x:v>1975–1985</x:v>
      </x:c>
      <x:c r="E8" s="26" t="str">
        <x:v>Team tenures and rider relationships.</x:v>
      </x:c>
      <x:c r="F8" s="26" t="str">
        <x:v>Archive invites corrections; not every period/equipment detail is complete.</x:v>
      </x:c>
      <x:c r="G8" s="26" t="str">
        <x:v>Use as attributed roster; corroborate major results.</x:v>
      </x:c>
      <x:c r="H8" s="26" t="str">
        <x:v>https://jmcbmx.wordpress.com/jmc-factory-riders/</x:v>
      </x:c>
      <x:c r="I8" s="26" t="str">
        <x:v>2026-07-30</x:v>
      </x:c>
    </x:row>
    <x:row r="9" ht="82" customHeight="1">
      <x:c r="A9" s="26" t="str">
        <x:v>JMC-SRC-005</x:v>
      </x:c>
      <x:c r="B9" s="26" t="str">
        <x:v>Certified JMCs archive</x:v>
      </x:c>
      <x:c r="C9" s="26" t="str">
        <x:v>Company certification archive</x:v>
      </x:c>
      <x:c r="D9" s="26" t="str">
        <x:v>Selected surviving frames</x:v>
      </x:c>
      <x:c r="E9" s="26" t="str">
        <x:v>Certified firsts and production-record relationships.</x:v>
      </x:c>
      <x:c r="F9" s="26" t="str">
        <x:v>Selection is not a complete census.</x:v>
      </x:c>
      <x:c r="G9" s="26" t="str">
        <x:v>Use certification status only as stated.</x:v>
      </x:c>
      <x:c r="H9" s="26" t="str">
        <x:v>https://jmcbmx.wordpress.com/category/certified-jmcs/</x:v>
      </x:c>
      <x:c r="I9" s="26" t="str">
        <x:v>2026-07-30</x:v>
      </x:c>
    </x:row>
    <x:row r="10" ht="82" customHeight="1">
      <x:c r="A10" s="26" t="str">
        <x:v>JMC-SRC-006</x:v>
      </x:c>
      <x:c r="B10" s="26" t="str">
        <x:v>Known Survivors</x:v>
      </x:c>
      <x:c r="C10" s="26" t="str">
        <x:v>Community/company survivor registry</x:v>
      </x:c>
      <x:c r="D10" s="26" t="str">
        <x:v>Retrospective</x:v>
      </x:c>
      <x:c r="E10" s="26" t="str">
        <x:v>Reported surviving serials and comparison leads.</x:v>
      </x:c>
      <x:c r="F10" s="26" t="str">
        <x:v>Contains certified and uncertified reports; incomplete by design.</x:v>
      </x:c>
      <x:c r="G10" s="26" t="str">
        <x:v>Index leads only; no completeness claim.</x:v>
      </x:c>
      <x:c r="H10" s="26" t="str">
        <x:v>https://jmcbmx.wordpress.com/category/known-survivors/</x:v>
      </x:c>
      <x:c r="I10" s="26" t="str">
        <x:v>2026-07-30</x:v>
      </x:c>
    </x:row>
    <x:row r="11" ht="82" customHeight="1">
      <x:c r="A11" s="26" t="str">
        <x:v>JMC-SRC-007</x:v>
      </x:c>
      <x:c r="B11" s="26" t="str">
        <x:v>Official JMC Certificate of Authenticity service</x:v>
      </x:c>
      <x:c r="C11" s="26" t="str">
        <x:v>Current official authentication source</x:v>
      </x:c>
      <x:c r="D11" s="26" t="str">
        <x:v>Current</x:v>
      </x:c>
      <x:c r="E11" s="26" t="str">
        <x:v>Required photographs, signature/authentication process and production-record use.</x:v>
      </x:c>
      <x:c r="F11" s="26" t="str">
        <x:v>Certification outcome depends on evidence and record availability.</x:v>
      </x:c>
      <x:c r="G11" s="26" t="str">
        <x:v>Use as authentication standard; do not imply a certificate exists unless issued.</x:v>
      </x:c>
      <x:c r="H11" s="26" t="str">
        <x:v>https://jmcbmx.com/products/certificate-of-authenticity</x:v>
      </x:c>
      <x:c r="I11" s="26" t="str">
        <x:v>2026-07-30</x:v>
      </x:c>
    </x:row>
    <x:row r="12" ht="82" customHeight="1">
      <x:c r="A12" s="26" t="str">
        <x:v>JMC-SRC-008</x:v>
      </x:c>
      <x:c r="B12" s="26" t="str">
        <x:v>July 1979 JMC advertisement archive entry</x:v>
      </x:c>
      <x:c r="C12" s="26" t="str">
        <x:v>First-party bibliographic source</x:v>
      </x:c>
      <x:c r="D12" s="26" t="str">
        <x:v>1979</x:v>
      </x:c>
      <x:c r="E12" s="26" t="str">
        <x:v>Publication/month and repeated-ad context.</x:v>
      </x:c>
      <x:c r="F12" s="26" t="str">
        <x:v>No page number; BMXA imagery rights restricted.</x:v>
      </x:c>
      <x:c r="G12" s="26" t="str">
        <x:v>Metadata and paraphrase only.</x:v>
      </x:c>
      <x:c r="H12" s="26" t="str">
        <x:v>https://jmcbmx.wordpress.com/2010/02/03/july-1979-advertisement/</x:v>
      </x:c>
      <x:c r="I12" s="26" t="str">
        <x:v>2026-07-30</x:v>
      </x:c>
    </x:row>
    <x:row r="13" ht="82" customHeight="1">
      <x:c r="A13" s="26" t="str">
        <x:v>JMC-SRC-009</x:v>
      </x:c>
      <x:c r="B13" s="26" t="str">
        <x:v>April 1981 JMC advertisement archive entry</x:v>
      </x:c>
      <x:c r="C13" s="26" t="str">
        <x:v>First-party bibliographic/source summary</x:v>
      </x:c>
      <x:c r="D13" s="26" t="str">
        <x:v>1981</x:v>
      </x:c>
      <x:c r="E13" s="26" t="str">
        <x:v>Black Shadow/3.1 XL/standard relationships and period rider limit.</x:v>
      </x:c>
      <x:c r="F13" s="26" t="str">
        <x:v>Exact page and full advertisement copy unresolved.</x:v>
      </x:c>
      <x:c r="G13" s="26" t="str">
        <x:v>Do not reproduce advertisement image.</x:v>
      </x:c>
      <x:c r="H13" s="26" t="str">
        <x:v>https://jmcbmx.wordpress.com/2010/02/03/april-1981-advertisement/</x:v>
      </x:c>
      <x:c r="I13" s="26" t="str">
        <x:v>2026-07-30</x:v>
      </x:c>
    </x:row>
    <x:row r="14" ht="82" customHeight="1">
      <x:c r="A14" s="26" t="str">
        <x:v>JMC-SRC-010</x:v>
      </x:c>
      <x:c r="B14" s="26" t="str">
        <x:v>BMXA July 1979 JMC frame/fork test</x:v>
      </x:c>
      <x:c r="C14" s="26" t="str">
        <x:v>Period magazine test</x:v>
      </x:c>
      <x:c r="D14" s="26" t="str">
        <x:v>1979</x:v>
      </x:c>
      <x:c r="E14" s="26" t="str">
        <x:v>Independent early-frame test source.</x:v>
      </x:c>
      <x:c r="F14" s="26" t="str">
        <x:v>Full factual transcription remains incomplete.</x:v>
      </x:c>
      <x:c r="G14" s="26" t="str">
        <x:v>Index and paraphrase; do not republish pages.</x:v>
      </x:c>
      <x:c r="H14" s="26" t="str">
        <x:v>https://oldschoolmags.com/tests/JMC_Frame_Forks_BMXA7907.pdf</x:v>
      </x:c>
      <x:c r="I14" s="26" t="str">
        <x:v>2026-07-30</x:v>
      </x:c>
    </x:row>
    <x:row r="15" ht="82" customHeight="1">
      <x:c r="A15" s="26" t="str">
        <x:v>JMC-SRC-011</x:v>
      </x:c>
      <x:c r="B15" s="26" t="str">
        <x:v>Super BMX May 1981 JMC 3.1 XL test</x:v>
      </x:c>
      <x:c r="C15" s="26" t="str">
        <x:v>Period magazine test</x:v>
      </x:c>
      <x:c r="D15" s="26" t="str">
        <x:v>1981</x:v>
      </x:c>
      <x:c r="E15" s="26" t="str">
        <x:v>Independent 3.1 XL test source.</x:v>
      </x:c>
      <x:c r="F15" s="26" t="str">
        <x:v>Full factual transcription remains incomplete.</x:v>
      </x:c>
      <x:c r="G15" s="26" t="str">
        <x:v>Index and paraphrase; do not republish pages.</x:v>
      </x:c>
      <x:c r="H15" s="26" t="str">
        <x:v>https://oldschoolmags.com/tests/JMC_31XL_SBMX_8105.pdf</x:v>
      </x:c>
      <x:c r="I15" s="26" t="str">
        <x:v>2026-07-30</x:v>
      </x:c>
    </x:row>
    <x:row r="16" ht="82" customHeight="1">
      <x:c r="A16" s="26" t="str">
        <x:v>JMC-SRC-012</x:v>
      </x:c>
      <x:c r="B16" s="26" t="str">
        <x:v>Bicycles and Dirt March 1984 Darrell Young test</x:v>
      </x:c>
      <x:c r="C16" s="26" t="str">
        <x:v>Period magazine test</x:v>
      </x:c>
      <x:c r="D16" s="26" t="str">
        <x:v>1984</x:v>
      </x:c>
      <x:c r="E16" s="26" t="str">
        <x:v>Measured geometry, complete test build and design discussion.</x:v>
      </x:c>
      <x:c r="F16" s="26" t="str">
        <x:v>One test bike, not universal specification.</x:v>
      </x:c>
      <x:c r="G16" s="26" t="str">
        <x:v>Paraphrase measurements; no page republication.</x:v>
      </x:c>
      <x:c r="H16" s="26" t="str">
        <x:v>https://oldschoolmags.com/tests/JMC_DY_Bikes%26Dirt8403.pdf</x:v>
      </x:c>
      <x:c r="I16" s="26" t="str">
        <x:v>2026-07-30</x:v>
      </x:c>
    </x:row>
    <x:row r="17" ht="82" customHeight="1">
      <x:c r="A17" s="26" t="str">
        <x:v>JMC-SRC-013</x:v>
      </x:c>
      <x:c r="B17" s="26" t="str">
        <x:v>USA BMX 2022 Team USA jersey announcement</x:v>
      </x:c>
      <x:c r="C17" s="26" t="str">
        <x:v>Official sanctioning-body source</x:v>
      </x:c>
      <x:c r="D17" s="26" t="str">
        <x:v>2022</x:v>
      </x:c>
      <x:c r="E17" s="26" t="str">
        <x:v>Official JMC/Darrell Young tribute design context.</x:v>
      </x:c>
      <x:c r="F17" s="26" t="str">
        <x:v>Does not authenticate the Lititz signature itself.</x:v>
      </x:c>
      <x:c r="G17" s="26" t="str">
        <x:v>Cite official design relationship.</x:v>
      </x:c>
      <x:c r="H17" s="26" t="str">
        <x:v>https://www.usabmx.com/news-and-media/6/2022-05-02/2022-TEAM-USA-Worlds-Jerseys-revealed?id=1951</x:v>
      </x:c>
      <x:c r="I17" s="26" t="str">
        <x:v>2026-07-30</x:v>
      </x:c>
    </x:row>
    <x:row r="18" ht="82" customHeight="1">
      <x:c r="A18" s="26" t="str">
        <x:v>JMC-SRC-014</x:v>
      </x:c>
      <x:c r="B18" s="26" t="str">
        <x:v>BMXMuseum official public social links</x:v>
      </x:c>
      <x:c r="C18" s="26" t="str">
        <x:v>First-party public metadata exposure</x:v>
      </x:c>
      <x:c r="D18" s="26" t="str">
        <x:v>Current public records</x:v>
      </x:c>
      <x:c r="E18" s="26" t="str">
        <x:v>Exact IDs 119290 and 128885, titles and submitted years.</x:v>
      </x:c>
      <x:c r="F18" s="26" t="str">
        <x:v>No direct content crawl; originality remains unverified.</x:v>
      </x:c>
      <x:c r="G18" s="26" t="str">
        <x:v>Index canonical URLs and submitted metadata only.</x:v>
      </x:c>
      <x:c r="H18" s="26" t="str">
        <x:v>https://www.reddit.com/user/bmxmuseum/</x:v>
      </x:c>
      <x:c r="I18" s="26" t="str">
        <x:v>2026-07-30</x:v>
      </x:c>
    </x:row>
    <x:row r="19" ht="82" customHeight="1">
      <x:c r="A19" s="26" t="str">
        <x:v>JMC-SRC-015</x:v>
      </x:c>
      <x:c r="B19" s="26" t="str">
        <x:v>JMC Racing Fliers and Price List public index</x:v>
      </x:c>
      <x:c r="C19" s="26" t="str">
        <x:v>Third-party index/backlink</x:v>
      </x:c>
      <x:c r="D19" s="26" t="str">
        <x:v>Undated</x:v>
      </x:c>
      <x:c r="E19" s="26" t="str">
        <x:v>Existence/title of a BMXMuseum reference set.</x:v>
      </x:c>
      <x:c r="F19" s="26" t="str">
        <x:v>Exact reference ID, date and contents unresolved.</x:v>
      </x:c>
      <x:c r="G19" s="26" t="str">
        <x:v>Metadata only; do not copy scans.</x:v>
      </x:c>
      <x:c r="H19" s="26" t="str">
        <x:v>https://www.pinterest.com/pin/jmc-bmx-fliers-and-price-list--442478732119429034/</x:v>
      </x:c>
      <x:c r="I19" s="26" t="str">
        <x:v>2026-07-30</x:v>
      </x:c>
    </x:row>
  </x:sheetData>
  <x:mergeCells>
    <x:mergeCell ref="A1:I1"/>
    <x:mergeCell ref="A2:I2"/>
  </x:mergeCells>
  <x:pageMargins left="0.7" right="0.7" top="0.75" bottom="0.75" header="0.3" footer="0.3"/>
  <x:tableParts count="1">
    <x:tablePart xmlns:r="http://schemas.openxmlformats.org/officeDocument/2006/relationships" r:id="Raf9aa122289547fa"/>
  </x:tableParts>
</x:worksheet>
</file>

<file path=xl/worksheets/sheet101.xml><?xml version="1.0" encoding="utf-8"?>
<x:worksheet xmlns:x="http://schemas.openxmlformats.org/spreadsheetml/2006/main">
  <x:sheetFormatPr defaultRowHeight="15"/>
  <x:cols>
    <x:col min="1" max="1" width="15" hidden="0" customWidth="1"/>
    <x:col min="2" max="2" width="25" hidden="0" customWidth="1"/>
    <x:col min="3" max="3" width="50" hidden="0" customWidth="1"/>
    <x:col min="4" max="4" width="45" hidden="0" customWidth="1"/>
    <x:col min="5" max="5" width="50" hidden="0" customWidth="1"/>
    <x:col min="6" max="6" width="45" hidden="0" customWidth="1"/>
    <x:col min="7" max="7" width="10" hidden="0" customWidth="1"/>
    <x:col min="8" max="8" width="48" hidden="0" customWidth="1"/>
    <x:col min="9" max="9" width="20" hidden="0" customWidth="1"/>
  </x:cols>
  <x:sheetData>
    <x:row r="1" ht="31" customHeight="1">
      <x:c r="A1" s="579" t="str">
        <x:v>JMC Open Questions and Permission-Free Recovery Plan</x:v>
      </x:c>
      <x:c r="B1" s="579"/>
      <x:c r="C1" s="579"/>
      <x:c r="D1" s="579"/>
      <x:c r="E1" s="579"/>
      <x:c r="F1" s="579"/>
      <x:c r="G1" s="579"/>
      <x:c r="H1" s="579"/>
      <x:c r="I1" s="579"/>
    </x:row>
    <x:row r="2" ht="31" customHeight="1">
      <x:c r="A2" s="584" t="str">
        <x:v>The next gains come from public certification records, period tests, official results, exact backlinks and artifact-specific evidence—not from bypassing BMXMuseum controls.</x:v>
      </x:c>
      <x:c r="B2" s="584"/>
      <x:c r="C2" s="584"/>
      <x:c r="D2" s="584"/>
      <x:c r="E2" s="584"/>
      <x:c r="F2" s="584"/>
      <x:c r="G2" s="584"/>
      <x:c r="H2" s="584"/>
      <x:c r="I2" s="584"/>
    </x:row>
    <x:row r="4">
      <x:c r="A4" s="589" t="str">
        <x:v>Question ID</x:v>
      </x:c>
      <x:c r="B4" s="589" t="str">
        <x:v>Subject</x:v>
      </x:c>
      <x:c r="C4" s="589" t="str">
        <x:v>Open Question</x:v>
      </x:c>
      <x:c r="D4" s="589" t="str">
        <x:v>Why It Matters</x:v>
      </x:c>
      <x:c r="E4" s="589" t="str">
        <x:v>Evidence Needed</x:v>
      </x:c>
      <x:c r="F4" s="589" t="str">
        <x:v>Current Position</x:v>
      </x:c>
      <x:c r="G4" s="589" t="str">
        <x:v>Priority</x:v>
      </x:c>
      <x:c r="H4" s="589" t="str">
        <x:v>Next Permission-Free Route</x:v>
      </x:c>
      <x:c r="I4" s="589" t="str">
        <x:v>Status</x:v>
      </x:c>
    </x:row>
    <x:row r="5" ht="82" customHeight="1">
      <x:c r="A5" s="26" t="str">
        <x:v>JMC-Q-001</x:v>
      </x:c>
      <x:c r="B5" s="26" t="str">
        <x:v>Corporate chronology</x:v>
      </x:c>
      <x:c r="C5" s="26" t="str">
        <x:v>What was the exact legal structure and date sequence from the 1969 business through JM Cyclery and JMC Racing?</x:v>
      </x:c>
      <x:c r="D5" s="26" t="str">
        <x:v>Separates shop history from manufacturing history.</x:v>
      </x:c>
      <x:c r="E5" s="26" t="str">
        <x:v>Business registrations, advertisements, invoices and dated letterhead.</x:v>
      </x:c>
      <x:c r="F5" s="26" t="str">
        <x:v>Current chronology is strong at phase level but not legal-entity level.</x:v>
      </x:c>
      <x:c r="G5" s="26" t="str">
        <x:v>P2</x:v>
      </x:c>
      <x:c r="H5" s="26" t="str">
        <x:v>Public business archives and period dealer documents.</x:v>
      </x:c>
      <x:c r="I5" s="26" t="str">
        <x:v>OPEN</x:v>
      </x:c>
    </x:row>
    <x:row r="6" ht="82" customHeight="1">
      <x:c r="A6" s="26" t="str">
        <x:v>JMC-Q-002</x:v>
      </x:c>
      <x:c r="B6" s="26" t="str">
        <x:v>Prototype sequence</x:v>
      </x:c>
      <x:c r="C6" s="26" t="str">
        <x:v>How many XP prototypes existed and what were their exact serials, riders and outcomes?</x:v>
      </x:c>
      <x:c r="D6" s="26" t="str">
        <x:v>Controls rarity and prototype authentication.</x:v>
      </x:c>
      <x:c r="E6" s="26" t="str">
        <x:v>Production records, certificates, period photos and surviving-frame files.</x:v>
      </x:c>
      <x:c r="F6" s="26" t="str">
        <x:v>Only XP1 and XP2 are clearly described publicly.</x:v>
      </x:c>
      <x:c r="G6" s="26" t="str">
        <x:v>P0</x:v>
      </x:c>
      <x:c r="H6" s="26" t="str">
        <x:v>Certification archive, public owner documentation and period images.</x:v>
      </x:c>
      <x:c r="I6" s="26" t="str">
        <x:v>OPEN</x:v>
      </x:c>
    </x:row>
    <x:row r="7" ht="82" customHeight="1">
      <x:c r="A7" s="26" t="str">
        <x:v>JMC-Q-003</x:v>
      </x:c>
      <x:c r="B7" s="26" t="str">
        <x:v>JMC1/JMC20</x:v>
      </x:c>
      <x:c r="C7" s="26" t="str">
        <x:v>Do complete public certification/provenance packets exist for the claimed surviving first production frames?</x:v>
      </x:c>
      <x:c r="D7" s="26" t="str">
        <x:v>Would strengthen first-production history without republishing private data.</x:v>
      </x:c>
      <x:c r="E7" s="26" t="str">
        <x:v>Official COA status, provenance summaries and nonprivate photographs.</x:v>
      </x:c>
      <x:c r="F7" s="26" t="str">
        <x:v>Archive identifies the serials and first roles.</x:v>
      </x:c>
      <x:c r="G7" s="26" t="str">
        <x:v>P1</x:v>
      </x:c>
      <x:c r="H7" s="26" t="str">
        <x:v>Official current JMC pages and public owner histories.</x:v>
      </x:c>
      <x:c r="I7" s="26" t="str">
        <x:v>OPEN</x:v>
      </x:c>
    </x:row>
    <x:row r="8" ht="82" customHeight="1">
      <x:c r="A8" s="26" t="str">
        <x:v>JMC-Q-004</x:v>
      </x:c>
      <x:c r="B8" s="26" t="str">
        <x:v>Construction transitions</x:v>
      </x:c>
      <x:c r="C8" s="26" t="str">
        <x:v>What exact serials mark elliptical-to-square brace and 1983 box-elimination changes?</x:v>
      </x:c>
      <x:c r="D8" s="26" t="str">
        <x:v>Improves model-year authentication.</x:v>
      </x:c>
      <x:c r="E8" s="26" t="str">
        <x:v>Production books, period photographs and certified survivor matrix.</x:v>
      </x:c>
      <x:c r="F8" s="26" t="str">
        <x:v>Only broad transition years are public.</x:v>
      </x:c>
      <x:c r="G8" s="26" t="str">
        <x:v>P0</x:v>
      </x:c>
      <x:c r="H8" s="26" t="str">
        <x:v>Build public certified-frame comparison table.</x:v>
      </x:c>
      <x:c r="I8" s="26" t="str">
        <x:v>OPEN</x:v>
      </x:c>
    </x:row>
    <x:row r="9" ht="82" customHeight="1">
      <x:c r="A9" s="26" t="str">
        <x:v>JMC-Q-005</x:v>
      </x:c>
      <x:c r="B9" s="26" t="str">
        <x:v>Black Shadow K transition</x:v>
      </x:c>
      <x:c r="C9" s="26" t="str">
        <x:v>What was the first K-prefix Shadow and exact date?</x:v>
      </x:c>
      <x:c r="D9" s="26" t="str">
        <x:v>Corrects a common serial misconception.</x:v>
      </x:c>
      <x:c r="E9" s="26" t="str">
        <x:v>Production record or certified first-K frame.</x:v>
      </x:c>
      <x:c r="F9" s="26" t="str">
        <x:v>First Shadow JMC2175 is established; first K is not.</x:v>
      </x:c>
      <x:c r="G9" s="26" t="str">
        <x:v>P0</x:v>
      </x:c>
      <x:c r="H9" s="26" t="str">
        <x:v>Search certification and firsts archives plus public owner records.</x:v>
      </x:c>
      <x:c r="I9" s="26" t="str">
        <x:v>OPEN</x:v>
      </x:c>
    </x:row>
    <x:row r="10" ht="82" customHeight="1">
      <x:c r="A10" s="26" t="str">
        <x:v>JMC-Q-006</x:v>
      </x:c>
      <x:c r="B10" s="26" t="str">
        <x:v>Year-code transition</x:v>
      </x:c>
      <x:c r="C10" s="26" t="str">
        <x:v>Did two-digit year coding begin in late 1982 or 1983, and did it vary by model?</x:v>
      </x:c>
      <x:c r="D10" s="26" t="str">
        <x:v>Prevents systematic dating errors.</x:v>
      </x:c>
      <x:c r="E10" s="26" t="str">
        <x:v>Model-specific production records and certified examples.</x:v>
      </x:c>
      <x:c r="F10" s="26" t="str">
        <x:v>Current public sources conflict or generalize.</x:v>
      </x:c>
      <x:c r="G10" s="26" t="str">
        <x:v>P0</x:v>
      </x:c>
      <x:c r="H10" s="26" t="str">
        <x:v>Compile certified serial/date examples by model.</x:v>
      </x:c>
      <x:c r="I10" s="26" t="str">
        <x:v>OPEN</x:v>
      </x:c>
    </x:row>
    <x:row r="11" ht="82" customHeight="1">
      <x:c r="A11" s="26" t="str">
        <x:v>JMC-Q-007</x:v>
      </x:c>
      <x:c r="B11" s="26" t="str">
        <x:v>3.1 XL</x:v>
      </x:c>
      <x:c r="C11" s="26" t="str">
        <x:v>What is the exact first production date and serial sequence after the naming contest?</x:v>
      </x:c>
      <x:c r="D11" s="26" t="str">
        <x:v>Controls model chronology.</x:v>
      </x:c>
      <x:c r="E11" s="26" t="str">
        <x:v>Original ABA announcement, production record and period ads/tests.</x:v>
      </x:c>
      <x:c r="F11" s="26" t="str">
        <x:v>First certified serial is identified; announcement object unresolved.</x:v>
      </x:c>
      <x:c r="G11" s="26" t="str">
        <x:v>P1</x:v>
      </x:c>
      <x:c r="H11" s="26" t="str">
        <x:v>ABA paper indexes and public archive citations.</x:v>
      </x:c>
      <x:c r="I11" s="26" t="str">
        <x:v>OPEN</x:v>
      </x:c>
    </x:row>
    <x:row r="12" ht="82" customHeight="1">
      <x:c r="A12" s="26" t="str">
        <x:v>JMC-Q-008</x:v>
      </x:c>
      <x:c r="B12" s="26" t="str">
        <x:v>Cruiser serials</x:v>
      </x:c>
      <x:c r="C12" s="26" t="str">
        <x:v>How do CR24, C and 24C formats map to dates and model revisions?</x:v>
      </x:c>
      <x:c r="D12" s="26" t="str">
        <x:v>Needed to interpret record 128885 and other cruisers.</x:v>
      </x:c>
      <x:c r="E12" s="26" t="str">
        <x:v>Certified serial list, production records, catalogs and period tests.</x:v>
      </x:c>
      <x:c r="F12" s="26" t="str">
        <x:v>Notation remains inconsistent.</x:v>
      </x:c>
      <x:c r="G12" s="26" t="str">
        <x:v>P0</x:v>
      </x:c>
      <x:c r="H12" s="26" t="str">
        <x:v>Public certification/survivor records and external owner backlinks.</x:v>
      </x:c>
      <x:c r="I12" s="26" t="str">
        <x:v>OPEN</x:v>
      </x:c>
    </x:row>
    <x:row r="13" ht="82" customHeight="1">
      <x:c r="A13" s="26" t="str">
        <x:v>JMC-Q-009</x:v>
      </x:c>
      <x:c r="B13" s="26" t="str">
        <x:v>Darrell Young first nine</x:v>
      </x:c>
      <x:c r="C13" s="26" t="str">
        <x:v>What was the exact role and destination of each of the nine October 1983 frames?</x:v>
      </x:c>
      <x:c r="D13" s="26" t="str">
        <x:v>Separates prototypes, team/ABA frames and retail production.</x:v>
      </x:c>
      <x:c r="E13" s="26" t="str">
        <x:v>Frame-by-frame production-record entries.</x:v>
      </x:c>
      <x:c r="F13" s="26" t="str">
        <x:v>Public firsts archive gives only part of the sequence.</x:v>
      </x:c>
      <x:c r="G13" s="26" t="str">
        <x:v>P1</x:v>
      </x:c>
      <x:c r="H13" s="26" t="str">
        <x:v>Public certificate pages and dealer/rider histories.</x:v>
      </x:c>
      <x:c r="I13" s="26" t="str">
        <x:v>OPEN</x:v>
      </x:c>
    </x:row>
    <x:row r="14" ht="82" customHeight="1">
      <x:c r="A14" s="26" t="str">
        <x:v>JMC-Q-010</x:v>
      </x:c>
      <x:c r="B14" s="26" t="str">
        <x:v>Andy Patterson AP1</x:v>
      </x:c>
      <x:c r="C14" s="26" t="str">
        <x:v>What happened to AP1?</x:v>
      </x:c>
      <x:c r="D14" s="26" t="str">
        <x:v>Controls the first-frame sequence and rarity claims.</x:v>
      </x:c>
      <x:c r="E14" s="26" t="str">
        <x:v>Production book or first-person clarification.</x:v>
      </x:c>
      <x:c r="F14" s="26" t="str">
        <x:v>AP2–AP5 roles are public; AP1 remains unexplained.</x:v>
      </x:c>
      <x:c r="G14" s="26" t="str">
        <x:v>P1</x:v>
      </x:c>
      <x:c r="H14" s="26" t="str">
        <x:v>Official JMC archive and public interview material.</x:v>
      </x:c>
      <x:c r="I14" s="26" t="str">
        <x:v>OPEN</x:v>
      </x:c>
    </x:row>
    <x:row r="15" ht="82" customHeight="1">
      <x:c r="A15" s="26" t="str">
        <x:v>JMC-Q-011</x:v>
      </x:c>
      <x:c r="B15" s="26" t="str">
        <x:v>Production totals</x:v>
      </x:c>
      <x:c r="C15" s="26" t="str">
        <x:v>Can 110 P16, 85 Micro Mini and 333 AP totals be independently or officially summarized from the ledger?</x:v>
      </x:c>
      <x:c r="D15" s="26" t="str">
        <x:v>Moves archive-attributed totals toward stronger verification.</x:v>
      </x:c>
      <x:c r="E15" s="26" t="str">
        <x:v>Official count statement or anonymized ledger summary.</x:v>
      </x:c>
      <x:c r="F15" s="26" t="str">
        <x:v>Current totals are first-party history claims.</x:v>
      </x:c>
      <x:c r="G15" s="26" t="str">
        <x:v>P1</x:v>
      </x:c>
      <x:c r="H15" s="26" t="str">
        <x:v>Current official JMC site and published certification material.</x:v>
      </x:c>
      <x:c r="I15" s="26" t="str">
        <x:v>OPEN</x:v>
      </x:c>
    </x:row>
    <x:row r="16" ht="82" customHeight="1">
      <x:c r="A16" s="26" t="str">
        <x:v>JMC-Q-012</x:v>
      </x:c>
      <x:c r="B16" s="26" t="str">
        <x:v>1979 frame/fork test</x:v>
      </x:c>
      <x:c r="C16" s="26" t="str">
        <x:v>What exact measured specifications and conclusions are in the July 1979 BMXA test?</x:v>
      </x:c>
      <x:c r="D16" s="26" t="str">
        <x:v>Would independently document early production geometry.</x:v>
      </x:c>
      <x:c r="E16" s="26" t="str">
        <x:v>Controlled page transcription with page references.</x:v>
      </x:c>
      <x:c r="F16" s="26" t="str">
        <x:v>PDF is located; extraction not completed in this release.</x:v>
      </x:c>
      <x:c r="G16" s="26" t="str">
        <x:v>P1</x:v>
      </x:c>
      <x:c r="H16" s="26" t="str">
        <x:v>Manual page inspection and factual transcription.</x:v>
      </x:c>
      <x:c r="I16" s="26" t="str">
        <x:v>OPEN</x:v>
      </x:c>
    </x:row>
    <x:row r="17" ht="82" customHeight="1">
      <x:c r="A17" s="26" t="str">
        <x:v>JMC-Q-013</x:v>
      </x:c>
      <x:c r="B17" s="26" t="str">
        <x:v>1981 3.1 XL test</x:v>
      </x:c>
      <x:c r="C17" s="26" t="str">
        <x:v>What exact weight, geometry and component/test findings were published?</x:v>
      </x:c>
      <x:c r="D17" s="26" t="str">
        <x:v>Tests advertising claims and model differences.</x:v>
      </x:c>
      <x:c r="E17" s="26" t="str">
        <x:v>Controlled factual transcription.</x:v>
      </x:c>
      <x:c r="F17" s="26" t="str">
        <x:v>PDF is located; extraction not completed.</x:v>
      </x:c>
      <x:c r="G17" s="26" t="str">
        <x:v>P1</x:v>
      </x:c>
      <x:c r="H17" s="26" t="str">
        <x:v>Manual page inspection and factual transcription.</x:v>
      </x:c>
      <x:c r="I17" s="26" t="str">
        <x:v>OPEN</x:v>
      </x:c>
    </x:row>
    <x:row r="18" ht="82" customHeight="1">
      <x:c r="A18" s="26" t="str">
        <x:v>JMC-Q-014</x:v>
      </x:c>
      <x:c r="B18" s="26" t="str">
        <x:v>JMC price/flyer set</x:v>
      </x:c>
      <x:c r="C18" s="26" t="str">
        <x:v>What is the exact BMXMuseum reference ID and document structure?</x:v>
      </x:c>
      <x:c r="D18" s="26" t="str">
        <x:v>Could anchor model and price chronology.</x:v>
      </x:c>
      <x:c r="E18" s="26" t="str">
        <x:v>Public backlink exposing canonical ID or first-party repost.</x:v>
      </x:c>
      <x:c r="F18" s="26" t="str">
        <x:v>Title exists but ID remains unrecovered.</x:v>
      </x:c>
      <x:c r="G18" s="26" t="str">
        <x:v>P0</x:v>
      </x:c>
      <x:c r="H18" s="26" t="str">
        <x:v>Exact-title searches, public citations and social posts.</x:v>
      </x:c>
      <x:c r="I18" s="26" t="str">
        <x:v>OPEN</x:v>
      </x:c>
    </x:row>
    <x:row r="19" ht="82" customHeight="1">
      <x:c r="A19" s="26" t="str">
        <x:v>JMC-Q-015</x:v>
      </x:c>
      <x:c r="B19" s="26" t="str">
        <x:v>BMXMuseum 119290</x:v>
      </x:c>
      <x:c r="C19" s="26" t="str">
        <x:v>What serial, restoration status and component history support the submitted 1984 DY identification?</x:v>
      </x:c>
      <x:c r="D19" s="26" t="str">
        <x:v>Determines value as a comparison record.</x:v>
      </x:c>
      <x:c r="E19" s="26" t="str">
        <x:v>Public owner/backlink evidence and period comparison.</x:v>
      </x:c>
      <x:c r="F19" s="26" t="str">
        <x:v>Exact title/year only.</x:v>
      </x:c>
      <x:c r="G19" s="26" t="str">
        <x:v>P1</x:v>
      </x:c>
      <x:c r="H19" s="26" t="str">
        <x:v>External backlinks and public social discussion.</x:v>
      </x:c>
      <x:c r="I19" s="26" t="str">
        <x:v>OPEN</x:v>
      </x:c>
    </x:row>
    <x:row r="20" ht="82" customHeight="1">
      <x:c r="A20" s="26" t="str">
        <x:v>JMC-Q-016</x:v>
      </x:c>
      <x:c r="B20" s="26" t="str">
        <x:v>BMXMuseum 128885</x:v>
      </x:c>
      <x:c r="C20" s="26" t="str">
        <x:v>What serial format, model wording and originality support the submitted 1984 24 identification?</x:v>
      </x:c>
      <x:c r="D20" s="26" t="str">
        <x:v>Could clarify cruiser serial conventions.</x:v>
      </x:c>
      <x:c r="E20" s="26" t="str">
        <x:v>Public owner/backlink evidence and certified comparisons.</x:v>
      </x:c>
      <x:c r="F20" s="26" t="str">
        <x:v>Exact title/year only.</x:v>
      </x:c>
      <x:c r="G20" s="26" t="str">
        <x:v>P1</x:v>
      </x:c>
      <x:c r="H20" s="26" t="str">
        <x:v>External backlinks and public social discussion.</x:v>
      </x:c>
      <x:c r="I20" s="26" t="str">
        <x:v>OPEN</x:v>
      </x:c>
    </x:row>
    <x:row r="21" ht="82" customHeight="1">
      <x:c r="A21" s="26" t="str">
        <x:v>JMC-Q-017</x:v>
      </x:c>
      <x:c r="B21" s="26" t="str">
        <x:v>Harry Leary</x:v>
      </x:c>
      <x:c r="C21" s="26" t="str">
        <x:v>Which period races, advertisements and photographs identify the exact JMC models Leary used from 1975–79?</x:v>
      </x:c>
      <x:c r="D21" s="26" t="str">
        <x:v>Builds a defensible rider/equipment chronology.</x:v>
      </x:c>
      <x:c r="E21" s="26" t="str">
        <x:v>Period race reports, photos, ads and tests.</x:v>
      </x:c>
      <x:c r="F21" s="26" t="str">
        <x:v>Shop-team, prototype and roster relationships are established at summary level.</x:v>
      </x:c>
      <x:c r="G21" s="26" t="str">
        <x:v>P1</x:v>
      </x:c>
      <x:c r="H21" s="26" t="str">
        <x:v>Old-school magazine indexes and JMC archive citations.</x:v>
      </x:c>
      <x:c r="I21" s="26" t="str">
        <x:v>OPEN</x:v>
      </x:c>
    </x:row>
    <x:row r="22" ht="82" customHeight="1">
      <x:c r="A22" s="26" t="str">
        <x:v>JMC-Q-018</x:v>
      </x:c>
      <x:c r="B22" s="26" t="str">
        <x:v>Factory roster</x:v>
      </x:c>
      <x:c r="C22" s="26" t="str">
        <x:v>Can major JMC rider tenures and championships be reconciled with official ABA/NBL/IBMXF results?</x:v>
      </x:c>
      <x:c r="D22" s="26" t="str">
        <x:v>Separates archive roster from result proof.</x:v>
      </x:c>
      <x:c r="E22" s="26" t="str">
        <x:v>Official results and period coverage.</x:v>
      </x:c>
      <x:c r="F22" s="26" t="str">
        <x:v>Roster is first-party and evolving.</x:v>
      </x:c>
      <x:c r="G22" s="26" t="str">
        <x:v>P2</x:v>
      </x:c>
      <x:c r="H22" s="26" t="str">
        <x:v>USA BMX, UCI/IBMXF archives and period publications.</x:v>
      </x:c>
      <x:c r="I22" s="26" t="str">
        <x:v>OPEN</x:v>
      </x:c>
    </x:row>
    <x:row r="23" ht="82" customHeight="1">
      <x:c r="A23" s="26" t="str">
        <x:v>JMC-Q-019</x:v>
      </x:c>
      <x:c r="B23" s="26" t="str">
        <x:v>Official Hall of Fame</x:v>
      </x:c>
      <x:c r="C23" s="26" t="str">
        <x:v>Can an official Jim Melton 1989 profile be recovered?</x:v>
      </x:c>
      <x:c r="D23" s="26" t="str">
        <x:v>Adds independent legacy verification.</x:v>
      </x:c>
      <x:c r="E23" s="26" t="str">
        <x:v>USA BMX Hall of Fame page or archived official profile.</x:v>
      </x:c>
      <x:c r="F23" s="26" t="str">
        <x:v>Only company history has been linked.</x:v>
      </x:c>
      <x:c r="G23" s="26" t="str">
        <x:v>P2</x:v>
      </x:c>
      <x:c r="H23" s="26" t="str">
        <x:v>USA BMX archive and web archives available without bypass.</x:v>
      </x:c>
      <x:c r="I23" s="26" t="str">
        <x:v>OPEN</x:v>
      </x:c>
    </x:row>
  </x:sheetData>
  <x:mergeCells>
    <x:mergeCell ref="A1:I1"/>
    <x:mergeCell ref="A2:I2"/>
  </x:mergeCells>
  <x:pageMargins left="0.7" right="0.7" top="0.75" bottom="0.75" header="0.3" footer="0.3"/>
  <x:tableParts count="1">
    <x:tablePart xmlns:r="http://schemas.openxmlformats.org/officeDocument/2006/relationships" r:id="Rbb39a366fb854072"/>
  </x:tableParts>
</x:worksheet>
</file>

<file path=xl/worksheets/sheet102.xml><?xml version="1.0" encoding="utf-8"?>
<x:worksheet xmlns:x="http://schemas.openxmlformats.org/spreadsheetml/2006/main">
  <x:sheetFormatPr defaultRowHeight="15"/>
  <x:cols>
    <x:col min="1" max="1" width="30" hidden="0" customWidth="1"/>
    <x:col min="2" max="2" width="14" hidden="0" customWidth="1"/>
    <x:col min="4" max="4" width="28" hidden="0" customWidth="1"/>
    <x:col min="5" max="5" width="72" hidden="0" customWidth="1"/>
    <x:col min="8" max="8" width="31" hidden="0" customWidth="1"/>
    <x:col min="9" max="9" width="50" hidden="0" customWidth="1"/>
  </x:cols>
  <x:sheetData>
    <x:row r="1">
      <x:c r="A1" s="579" t="str">
        <x:v>BMXMuseum Public Knowledge Register v1.5 — JMC Production and Reference Dossier</x:v>
      </x:c>
      <x:c r="B1" s="579"/>
      <x:c r="C1" s="579"/>
      <x:c r="D1" s="579"/>
      <x:c r="E1" s="579"/>
      <x:c r="F1" s="579"/>
      <x:c r="G1" s="579"/>
      <x:c r="H1" s="579"/>
      <x:c r="I1" s="579"/>
      <x:c r="J1" s="579"/>
      <x:c r="K1" s="579"/>
      <x:c r="L1" s="579"/>
      <x:c r="M1" s="579"/>
      <x:c r="N1" s="579"/>
    </x:row>
    <x:row r="2">
      <x:c r="A2" s="584" t="str">
        <x:v>Permission-free research only. Business history, prototypes, production frames, serial rules, signature models, period tests, submitted BMXMuseum records and Lititz relationships are separately inspectable.</x:v>
      </x:c>
      <x:c r="B2" s="584"/>
      <x:c r="C2" s="584"/>
      <x:c r="D2" s="584"/>
      <x:c r="E2" s="584"/>
      <x:c r="F2" s="584"/>
      <x:c r="G2" s="584"/>
      <x:c r="H2" s="584"/>
      <x:c r="I2" s="584"/>
      <x:c r="J2" s="584"/>
      <x:c r="K2" s="584"/>
      <x:c r="L2" s="584"/>
      <x:c r="M2" s="584"/>
      <x:c r="N2" s="584"/>
    </x:row>
    <x:row r="4">
      <x:c r="A4" s="589" t="str">
        <x:v>Work Product</x:v>
      </x:c>
      <x:c r="B4" s="589" t="str">
        <x:v>Count</x:v>
      </x:c>
      <x:c r="D4" s="589" t="str">
        <x:v>Major Conclusion</x:v>
      </x:c>
      <x:c r="E4" s="589" t="str">
        <x:v>Current Determination</x:v>
      </x:c>
      <x:c r="H4" s="589" t="str">
        <x:v>Boundary / Correction</x:v>
      </x:c>
      <x:c r="I4" s="589" t="str">
        <x:v>Locked Rule</x:v>
      </x:c>
    </x:row>
    <x:row r="5" ht="48" customHeight="1">
      <x:c r="A5" s="26" t="str">
        <x:v>Chronology entries</x:v>
      </x:c>
      <x:c r="B5" s="26" t="n">
        <x:v>27</x:v>
      </x:c>
      <x:c r="D5" s="591" t="str">
        <x:v>Company timeline</x:v>
      </x:c>
      <x:c r="E5" s="26" t="str">
        <x:v>Business origin in 1969; BMX entry around 1974; shop team in 1975; prototypes in 1976; production launch in March/April 1977.</x:v>
      </x:c>
      <x:c r="H5" s="593" t="str">
        <x:v>1969 ≠ frame production</x:v>
      </x:c>
      <x:c r="I5" s="26" t="str">
        <x:v>Use separate business, BMX-entry, prototype and production dates.</x:v>
      </x:c>
    </x:row>
    <x:row r="6" ht="48" customHeight="1">
      <x:c r="A6" s="26" t="str">
        <x:v>Models / product objects</x:v>
      </x:c>
      <x:c r="B6" s="26" t="n">
        <x:v>15</x:v>
      </x:c>
      <x:c r="D6" s="591" t="str">
        <x:v>Harry Leary</x:v>
      </x:c>
      <x:c r="E6" s="26" t="str">
        <x:v>Named on the 1975 shop team and associated with the 1976 XP2 Long prototype; no surviving-frame authentication is implied.</x:v>
      </x:c>
      <x:c r="H6" s="593" t="str">
        <x:v>Survivor registry ≠ ledger</x:v>
      </x:c>
      <x:c r="I6" s="26" t="str">
        <x:v>A reported-survivor list is not a production total or complete census.</x:v>
      </x:c>
    </x:row>
    <x:row r="7" ht="48" customHeight="1">
      <x:c r="A7" s="26" t="str">
        <x:v>Serial / authentication rules</x:v>
      </x:c>
      <x:c r="B7" s="26" t="n">
        <x:v>15</x:v>
      </x:c>
      <x:c r="D7" s="591" t="str">
        <x:v>Serial system</x:v>
      </x:c>
      <x:c r="E7" s="26" t="str">
        <x:v>Model- and period-dependent. Prefix, construction, complete-frame evidence and production records must be considered together.</x:v>
      </x:c>
      <x:c r="H7" s="593" t="str">
        <x:v>Submitted metadata ≠ authentication</x:v>
      </x:c>
      <x:c r="I7" s="26" t="str">
        <x:v>BMXMuseum title/year identify a public submission only.</x:v>
      </x:c>
    </x:row>
    <x:row r="8" ht="48" customHeight="1">
      <x:c r="A8" s="26" t="str">
        <x:v>Firsts / production records</x:v>
      </x:c>
      <x:c r="B8" s="26" t="n">
        <x:v>11</x:v>
      </x:c>
      <x:c r="D8" s="591" t="str">
        <x:v>Darrell Young Design</x:v>
      </x:c>
      <x:c r="E8" s="26" t="str">
        <x:v>Initial nine-frame development group in October 1983; first identified retail sales in January 1984.</x:v>
      </x:c>
      <x:c r="H8" s="593" t="str">
        <x:v>Period test ≠ universal specification</x:v>
      </x:c>
      <x:c r="I8" s="26" t="str">
        <x:v>A magazine test documents the tested object/configuration.</x:v>
      </x:c>
    </x:row>
    <x:row r="9" ht="48" customHeight="1">
      <x:c r="A9" s="26" t="str">
        <x:v>Period tests</x:v>
      </x:c>
      <x:c r="B9" s="26" t="n">
        <x:v>3</x:v>
      </x:c>
      <x:c r="D9" s="591" t="str">
        <x:v>Andy Patterson</x:v>
      </x:c>
      <x:c r="E9" s="26" t="str">
        <x:v>AP2/AP3 rider frames, AP4 team frame and AP5 first identified retail sale; AP1 remains unresolved.</x:v>
      </x:c>
      <x:c r="H9" s="593" t="str">
        <x:v>First nine ≠ first nine retail sales</x:v>
      </x:c>
      <x:c r="I9" s="26" t="str">
        <x:v>Prototype/development/team/retail roles must remain distinct.</x:v>
      </x:c>
    </x:row>
    <x:row r="10" ht="48" customHeight="1">
      <x:c r="A10" s="26" t="str">
        <x:v>People / team records</x:v>
      </x:c>
      <x:c r="B10" s="26" t="n">
        <x:v>14</x:v>
      </x:c>
      <x:c r="D10" s="591" t="str">
        <x:v>Production totals</x:v>
      </x:c>
      <x:c r="E10" s="26" t="str">
        <x:v>110 P16, 85 Micro Mini and 333 AP are company-archive totals, not independently audited totals in this project.</x:v>
      </x:c>
      <x:c r="H10" s="593" t="str">
        <x:v>Modern tribute ≠ period artifact</x:v>
      </x:c>
      <x:c r="I10" s="26" t="str">
        <x:v>The 2022 Team USA jersey is interpretive/commemorative JMC evidence.</x:v>
      </x:c>
    </x:row>
    <x:row r="11" ht="48" customHeight="1">
      <x:c r="A11" s="26" t="str">
        <x:v>BMXMuseum objects / leads</x:v>
      </x:c>
      <x:c r="B11" s="26" t="n">
        <x:v>6</x:v>
      </x:c>
      <x:c r="D11" s="591" t="str">
        <x:v>BMXMuseum coverage</x:v>
      </x:c>
      <x:c r="E11" s="26" t="str">
        <x:v>Two exact public records recovered: 119290 Darrell Young and 128885 JMC 24. Originality remains unverified.</x:v>
      </x:c>
      <x:c r="H11" s="593" t="str">
        <x:v>No-permission route</x:v>
      </x:c>
      <x:c r="I11" s="26" t="str">
        <x:v>No direct crawling, images, descriptions or forum-body mirroring.</x:v>
      </x:c>
    </x:row>
    <x:row r="12" ht="52" customHeight="1">
      <x:c r="A12" s="26" t="str">
        <x:v>Ephemera objects</x:v>
      </x:c>
      <x:c r="B12" s="26" t="n">
        <x:v>10</x:v>
      </x:c>
      <x:c r="D12" s="591" t="str">
        <x:v>Authentication</x:v>
      </x:c>
      <x:c r="E12" s="26" t="str">
        <x:v>Current official JMC practice requires serial, top-tube stamp, BB and whole-frame photographs; a serial alone is insufficient.</x:v>
      </x:c>
    </x:row>
    <x:row r="13" ht="52" customHeight="1">
      <x:c r="A13" s="26" t="str">
        <x:v>Lititz crosswalks</x:v>
      </x:c>
      <x:c r="B13" s="26" t="n">
        <x:v>4</x:v>
      </x:c>
      <x:c r="D13" s="591" t="str">
        <x:v>Lititz relationship</x:v>
      </x:c>
      <x:c r="E13" s="26" t="str">
        <x:v>Artifact 26.0024 is a 2022 Team USA tribute to JMC/Darrell Young—not period JMC apparel.</x:v>
      </x:c>
    </x:row>
    <x:row r="14">
      <x:c r="A14" s="26" t="str">
        <x:v>Claims</x:v>
      </x:c>
      <x:c r="B14" s="26" t="n">
        <x:v>17</x:v>
      </x:c>
    </x:row>
    <x:row r="15">
      <x:c r="A15" s="26" t="str">
        <x:v>Relationship edges</x:v>
      </x:c>
      <x:c r="B15" s="26" t="n">
        <x:v>18</x:v>
      </x:c>
    </x:row>
    <x:row r="16">
      <x:c r="A16" s="26" t="str">
        <x:v>Locked corrections</x:v>
      </x:c>
      <x:c r="B16" s="26" t="n">
        <x:v>11</x:v>
      </x:c>
    </x:row>
    <x:row r="17">
      <x:c r="A17" s="26" t="str">
        <x:v>Source records</x:v>
      </x:c>
      <x:c r="B17" s="26" t="n">
        <x:v>15</x:v>
      </x:c>
    </x:row>
    <x:row r="18">
      <x:c r="A18" s="26" t="str">
        <x:v>Open questions</x:v>
      </x:c>
      <x:c r="B18" s="26" t="n">
        <x:v>19</x:v>
      </x:c>
    </x:row>
    <x:row r="22">
      <x:c r="A22" s="589" t="str">
        <x:v>Research Position</x:v>
      </x:c>
      <x:c r="B22" s="589"/>
      <x:c r="C22" s="589"/>
      <x:c r="D22" s="589"/>
      <x:c r="E22" s="589"/>
      <x:c r="F22" s="589"/>
      <x:c r="G22" s="589"/>
      <x:c r="H22" s="589"/>
      <x:c r="I22" s="589"/>
    </x:row>
    <x:row r="23" ht="72" customHeight="1">
      <x:c r="A23" s="584" t="str">
        <x:v>The JMC cluster is now historically strong without special access: the main company and model chronology, first production frames, serial families, signature-model sequences, period tests and current authentication standard are documented. Remaining weaknesses are exact transition serials, full production-book auditing, unresolved BMXMuseum reference IDs and individual submitted-bike originality.</x:v>
      </x:c>
      <x:c r="B23" s="584"/>
      <x:c r="C23" s="584"/>
      <x:c r="D23" s="584"/>
      <x:c r="E23" s="584"/>
      <x:c r="F23" s="584"/>
      <x:c r="G23" s="584"/>
      <x:c r="H23" s="584"/>
      <x:c r="I23" s="584"/>
    </x:row>
    <x:row r="24" ht="72" customHeight="1">
      <x:c r="A24" s="584"/>
      <x:c r="B24" s="584"/>
      <x:c r="C24" s="584"/>
      <x:c r="D24" s="584"/>
      <x:c r="E24" s="584"/>
      <x:c r="F24" s="584"/>
      <x:c r="G24" s="584"/>
      <x:c r="H24" s="584"/>
      <x:c r="I24" s="584"/>
    </x:row>
    <x:row r="25" ht="72" customHeight="1">
      <x:c r="A25" s="584"/>
      <x:c r="B25" s="584"/>
      <x:c r="C25" s="584"/>
      <x:c r="D25" s="584"/>
      <x:c r="E25" s="584"/>
      <x:c r="F25" s="584"/>
      <x:c r="G25" s="584"/>
      <x:c r="H25" s="584"/>
      <x:c r="I25" s="584"/>
    </x:row>
    <x:row r="26" ht="72" customHeight="1">
      <x:c r="A26" s="584"/>
      <x:c r="B26" s="584"/>
      <x:c r="C26" s="584"/>
      <x:c r="D26" s="584"/>
      <x:c r="E26" s="584"/>
      <x:c r="F26" s="584"/>
      <x:c r="G26" s="584"/>
      <x:c r="H26" s="584"/>
      <x:c r="I26" s="584"/>
    </x:row>
    <x:row r="27" ht="72" customHeight="1">
      <x:c r="A27" s="584"/>
      <x:c r="B27" s="584"/>
      <x:c r="C27" s="584"/>
      <x:c r="D27" s="584"/>
      <x:c r="E27" s="584"/>
      <x:c r="F27" s="584"/>
      <x:c r="G27" s="584"/>
      <x:c r="H27" s="584"/>
      <x:c r="I27" s="584"/>
    </x:row>
  </x:sheetData>
  <x:mergeCells>
    <x:mergeCell ref="A1:N1"/>
    <x:mergeCell ref="A2:N2"/>
    <x:mergeCell ref="A22:I22"/>
    <x:mergeCell ref="A23:I27"/>
  </x:mergeCells>
  <x:pageMargins left="0.7" right="0.7" top="0.75" bottom="0.75" header="0.3" footer="0.3"/>
  <x:drawing xmlns:r="http://schemas.openxmlformats.org/officeDocument/2006/relationships" r:id="R1479a04476034cc5"/>
</x:worksheet>
</file>

<file path=xl/worksheets/sheet103.xml><?xml version="1.0" encoding="utf-8"?>
<x:worksheet xmlns:x="http://schemas.openxmlformats.org/spreadsheetml/2006/main">
  <x:sheetFormatPr defaultRowHeight="15"/>
  <x:cols>
    <x:col min="1" max="1" width="15" hidden="0" customWidth="1"/>
    <x:col min="2" max="2" width="18" hidden="0" customWidth="1"/>
    <x:col min="3" max="3" width="44" hidden="0" customWidth="1"/>
    <x:col min="4" max="4" width="30" hidden="0" customWidth="1"/>
    <x:col min="5" max="5" width="34" hidden="0" customWidth="1"/>
    <x:col min="6" max="6" width="30" hidden="0" customWidth="1"/>
    <x:col min="7" max="7" width="54" hidden="0" customWidth="1"/>
    <x:col min="8" max="8" width="50" hidden="0" customWidth="1"/>
    <x:col min="9" max="9" width="58" hidden="0" customWidth="1"/>
    <x:col min="10" max="10" width="24" hidden="0" customWidth="1"/>
  </x:cols>
  <x:sheetData>
    <x:row r="1" ht="31" customHeight="1">
      <x:c r="A1" s="600" t="str">
        <x:v>GT and Dyno Master Chronology — Engineering, Soft Goods, Acquisition, Catalogs and Racing</x:v>
      </x:c>
      <x:c r="B1" s="600"/>
      <x:c r="C1" s="600"/>
      <x:c r="D1" s="600"/>
      <x:c r="E1" s="600"/>
      <x:c r="F1" s="600"/>
      <x:c r="G1" s="600"/>
      <x:c r="H1" s="600"/>
      <x:c r="I1" s="600"/>
      <x:c r="J1" s="600"/>
    </x:row>
    <x:row r="2" ht="31" customHeight="1">
      <x:c r="A2" s="605" t="str">
        <x:v>The chronology locks four distinct events: GT's 1972 frame origin, Dyno's 1982 soft-goods origin, the 1983 GT Performer design and GT's 1985 acquisition/launch of Dyno bicycles.</x:v>
      </x:c>
      <x:c r="B2" s="605"/>
      <x:c r="C2" s="605"/>
      <x:c r="D2" s="605"/>
      <x:c r="E2" s="605"/>
      <x:c r="F2" s="605"/>
      <x:c r="G2" s="605"/>
      <x:c r="H2" s="605"/>
      <x:c r="I2" s="605"/>
      <x:c r="J2" s="605"/>
    </x:row>
    <x:row r="4">
      <x:c r="A4" s="610" t="str">
        <x:v>Chronology ID</x:v>
      </x:c>
      <x:c r="B4" s="610" t="str">
        <x:v>Date / Period</x:v>
      </x:c>
      <x:c r="C4" s="610" t="str">
        <x:v>Event</x:v>
      </x:c>
      <x:c r="D4" s="610" t="str">
        <x:v>Entity / Phase</x:v>
      </x:c>
      <x:c r="E4" s="610" t="str">
        <x:v>People</x:v>
      </x:c>
      <x:c r="F4" s="610" t="str">
        <x:v>Evidence Class</x:v>
      </x:c>
      <x:c r="G4" s="610" t="str">
        <x:v>Evidence Summary</x:v>
      </x:c>
      <x:c r="H4" s="610" t="str">
        <x:v>Qualification</x:v>
      </x:c>
      <x:c r="I4" s="610" t="str">
        <x:v>Source URL</x:v>
      </x:c>
      <x:c r="J4" s="610" t="str">
        <x:v>Status</x:v>
      </x:c>
    </x:row>
    <x:row r="5" ht="86" customHeight="1">
      <x:c r="A5" s="26" t="str">
        <x:v>GTD-CHR-001</x:v>
      </x:c>
      <x:c r="B5" s="26" t="str">
        <x:v>1972</x:v>
      </x:c>
      <x:c r="C5" s="26" t="str">
        <x:v>Gary Turner built the first GT frame for his son to race.</x:v>
      </x:c>
      <x:c r="D5" s="26" t="str">
        <x:v>GT engineering origin</x:v>
      </x:c>
      <x:c r="E5" s="26" t="str">
        <x:v>Gary Turner</x:v>
      </x:c>
      <x:c r="F5" s="26" t="str">
        <x:v>Current official GT history</x:v>
      </x:c>
      <x:c r="G5" s="26" t="str">
        <x:v>GT identifies 1972 as the first frame year.</x:v>
      </x:c>
      <x:c r="H5" s="26" t="str">
        <x:v>This is the frame origin, not necessarily the legal incorporation date of GT Bicycles.</x:v>
      </x:c>
      <x:c r="I5" s="26" t="str">
        <x:v>https://gtbicycles.com/pages/about-us</x:v>
      </x:c>
      <x:c r="J5" s="26" t="str">
        <x:v>OFFICIAL</x:v>
      </x:c>
    </x:row>
    <x:row r="6" ht="86" customHeight="1">
      <x:c r="A6" s="26" t="str">
        <x:v>GTD-CHR-002</x:v>
      </x:c>
      <x:c r="B6" s="26" t="str">
        <x:v>1974–1980</x:v>
      </x:c>
      <x:c r="C6" s="26" t="str">
        <x:v>GT developed from a Southern California frame effort into a recognized BMX brand.</x:v>
      </x:c>
      <x:c r="D6" s="26" t="str">
        <x:v>GT brand-growth phase</x:v>
      </x:c>
      <x:c r="E6" s="26" t="str">
        <x:v>Gary Turner; early GT riders</x:v>
      </x:c>
      <x:c r="F6" s="26" t="str">
        <x:v>Current official GT history</x:v>
      </x:c>
      <x:c r="G6" s="26" t="str">
        <x:v>GT's current timeline groups its early BMX growth in this period.</x:v>
      </x:c>
      <x:c r="H6" s="26" t="str">
        <x:v>The exact partnership, shop and incorporation milestones require separate corporate records.</x:v>
      </x:c>
      <x:c r="I6" s="26" t="str">
        <x:v>https://gtbicycles.com/pages/about-us</x:v>
      </x:c>
      <x:c r="J6" s="26" t="str">
        <x:v>OFFICIAL SUMMARY</x:v>
      </x:c>
    </x:row>
    <x:row r="7" ht="86" customHeight="1">
      <x:c r="A7" s="26" t="str">
        <x:v>GTD-CHR-003</x:v>
      </x:c>
      <x:c r="B7" s="26" t="str">
        <x:v>1979</x:v>
      </x:c>
      <x:c r="C7" s="26" t="str">
        <x:v>GT Bicycles is widely dated as a Gary Turner–Richard Long company partnership/incorporation.</x:v>
      </x:c>
      <x:c r="D7" s="26" t="str">
        <x:v>GT corporate formation</x:v>
      </x:c>
      <x:c r="E7" s="26" t="str">
        <x:v>Gary Turner; Richard Long</x:v>
      </x:c>
      <x:c r="F7" s="26" t="str">
        <x:v>Secondary business/corporate histories</x:v>
      </x:c>
      <x:c r="G7" s="26" t="str">
        <x:v>Multiple histories place formal incorporation or company formation in 1979.</x:v>
      </x:c>
      <x:c r="H7" s="26" t="str">
        <x:v>Official GT's current timeline does not give this exact corporate date; treat it as qualified pending primary corporate records.</x:v>
      </x:c>
      <x:c r="I7" s="26" t="str">
        <x:v>https://road.cc/offroad/content/feature/gt-bicycles-the-story-of-an-iconic-marque-16391</x:v>
      </x:c>
      <x:c r="J7" s="26" t="str">
        <x:v>QUALIFIED</x:v>
      </x:c>
    </x:row>
    <x:row r="8" ht="86" customHeight="1">
      <x:c r="A8" s="26" t="str">
        <x:v>GTD-CHR-004</x:v>
      </x:c>
      <x:c r="B8" s="26" t="str">
        <x:v>1980</x:v>
      </x:c>
      <x:c r="C8" s="26" t="str">
        <x:v>GT introduced a complete GT Pro BMX bicycle and expanded advertising/team activity, according to corporate histories.</x:v>
      </x:c>
      <x:c r="D8" s="26" t="str">
        <x:v>GT complete-bike phase</x:v>
      </x:c>
      <x:c r="E8" s="26" t="str">
        <x:v>Gary Turner; Richard Long</x:v>
      </x:c>
      <x:c r="F8" s="26" t="str">
        <x:v>Secondary corporate history</x:v>
      </x:c>
      <x:c r="G8" s="26" t="str">
        <x:v>This marks the transition from custom frames toward complete bicycles and larger-scale marketing.</x:v>
      </x:c>
      <x:c r="H8" s="26" t="str">
        <x:v>Exact model specifications and first-ad issue must be verified from period sources.</x:v>
      </x:c>
      <x:c r="I8" s="26" t="str">
        <x:v>https://www.encyclopedia.com/books/politics-and-business-magazines/gt-bicycles</x:v>
      </x:c>
      <x:c r="J8" s="26" t="str">
        <x:v>QUALIFIED</x:v>
      </x:c>
    </x:row>
    <x:row r="9" ht="86" customHeight="1">
      <x:c r="A9" s="26" t="str">
        <x:v>GTD-CHR-005</x:v>
      </x:c>
      <x:c r="B9" s="26" t="str">
        <x:v>1982</x:v>
      </x:c>
      <x:c r="C9" s="26" t="str">
        <x:v>Bob Morales created Dyno Design inside BME as an apparel/accessory brand.</x:v>
      </x:c>
      <x:c r="D9" s="26" t="str">
        <x:v>Dyno soft-goods origin</x:v>
      </x:c>
      <x:c r="E9" s="26" t="str">
        <x:v>Bob Morales</x:v>
      </x:c>
      <x:c r="F9" s="26" t="str">
        <x:v>First-person history</x:v>
      </x:c>
      <x:c r="G9" s="26" t="str">
        <x:v>Morales lists jerseys, racing pants and T-shirts as the first Dyno product line.</x:v>
      </x:c>
      <x:c r="H9" s="26" t="str">
        <x:v>Dyno was not yet a bicycle-frame brand in 1982.</x:v>
      </x:c>
      <x:c r="I9" s="26" t="str">
        <x:v>https://www.melonpeel.com/morales/history.htm</x:v>
      </x:c>
      <x:c r="J9" s="26" t="str">
        <x:v>FIRST-PERSON VERIFIED</x:v>
      </x:c>
    </x:row>
    <x:row r="10" ht="86" customHeight="1">
      <x:c r="A10" s="26" t="str">
        <x:v>GTD-CHR-006</x:v>
      </x:c>
      <x:c r="B10" s="26" t="str">
        <x:v>1983</x:v>
      </x:c>
      <x:c r="C10" s="26" t="str">
        <x:v>Bob Morales and Eddie Fiola designed GT's first freestyle frame, named the Performer.</x:v>
      </x:c>
      <x:c r="D10" s="26" t="str">
        <x:v>GT freestyle development</x:v>
      </x:c>
      <x:c r="E10" s="26" t="str">
        <x:v>Bob Morales; Eddie Fiola; GT Bicycles</x:v>
      </x:c>
      <x:c r="F10" s="26" t="str">
        <x:v>First-person history</x:v>
      </x:c>
      <x:c r="G10" s="26" t="str">
        <x:v>Morales says the design received two patents assigned to GT.</x:v>
      </x:c>
      <x:c r="H10" s="26" t="str">
        <x:v>This GT Performer development preceded GT's purchase of Dyno and should not be called a Dyno bicycle.</x:v>
      </x:c>
      <x:c r="I10" s="26" t="str">
        <x:v>https://www.melonpeel.com/morales/history.htm</x:v>
      </x:c>
      <x:c r="J10" s="26" t="str">
        <x:v>FIRST-PERSON VERIFIED</x:v>
      </x:c>
    </x:row>
    <x:row r="11" ht="86" customHeight="1">
      <x:c r="A11" s="26" t="str">
        <x:v>GTD-CHR-007</x:v>
      </x:c>
      <x:c r="B11" s="26" t="str">
        <x:v>1983</x:v>
      </x:c>
      <x:c r="C11" s="26" t="str">
        <x:v>Dyno expanded accessories and sponsored GT BMX/Freestyle and SE Racing teams.</x:v>
      </x:c>
      <x:c r="D11" s="26" t="str">
        <x:v>Dyno soft-goods/team phase</x:v>
      </x:c>
      <x:c r="E11" s="26" t="str">
        <x:v>Bob Morales; GT; SE Racing</x:v>
      </x:c>
      <x:c r="F11" s="26" t="str">
        <x:v>First-person history</x:v>
      </x:c>
      <x:c r="G11" s="26" t="str">
        <x:v>Morales describes Dyno number plates, accessories, sponsorship and magazine advertising.</x:v>
      </x:c>
      <x:c r="H11" s="26" t="str">
        <x:v>Sponsoring GT did not make Dyno a GT-owned company yet.</x:v>
      </x:c>
      <x:c r="I11" s="26" t="str">
        <x:v>https://www.melonpeel.com/morales/history.htm</x:v>
      </x:c>
      <x:c r="J11" s="26" t="str">
        <x:v>FIRST-PERSON VERIFIED</x:v>
      </x:c>
    </x:row>
    <x:row r="12" ht="86" customHeight="1">
      <x:c r="A12" s="26" t="str">
        <x:v>GTD-CHR-008</x:v>
      </x:c>
      <x:c r="B12" s="26" t="str">
        <x:v>1985</x:v>
      </x:c>
      <x:c r="C12" s="26" t="str">
        <x:v>GT purchased Dyno from Bob Morales.</x:v>
      </x:c>
      <x:c r="D12" s="26" t="str">
        <x:v>GT acquisition of Dyno</x:v>
      </x:c>
      <x:c r="E12" s="26" t="str">
        <x:v>Bob Morales; GT Bicycles</x:v>
      </x:c>
      <x:c r="F12" s="26" t="str">
        <x:v>First-person history + USA BMX</x:v>
      </x:c>
      <x:c r="G12" s="26" t="str">
        <x:v>Morales explains that Dyno needed investment and that he accepted GT's offer.</x:v>
      </x:c>
      <x:c r="H12" s="26" t="str">
        <x:v>Sale terms, price and exact closing date are not publicly established in this project.</x:v>
      </x:c>
      <x:c r="I12" s="26" t="str">
        <x:v>https://www.melonpeel.com/morales/history.htm</x:v>
      </x:c>
      <x:c r="J12" s="26" t="str">
        <x:v>FIRST-PERSON VERIFIED</x:v>
      </x:c>
    </x:row>
    <x:row r="13" ht="86" customHeight="1">
      <x:c r="A13" s="26" t="str">
        <x:v>GTD-CHR-009</x:v>
      </x:c>
      <x:c r="B13" s="26" t="str">
        <x:v>1985</x:v>
      </x:c>
      <x:c r="C13" s="26" t="str">
        <x:v>Morales designed the first Dyno freestyle frame/fork and other GT/Dyno products under contract to GT.</x:v>
      </x:c>
      <x:c r="D13" s="26" t="str">
        <x:v>Dyno bicycle launch</x:v>
      </x:c>
      <x:c r="E13" s="26" t="str">
        <x:v>Bob Morales; GT/Dyno</x:v>
      </x:c>
      <x:c r="F13" s="26" t="str">
        <x:v>First-person history</x:v>
      </x:c>
      <x:c r="G13" s="26" t="str">
        <x:v>Morales explicitly separates this post-sale bicycle design work from Dyno's earlier soft-goods period.</x:v>
      </x:c>
      <x:c r="H13" s="26" t="str">
        <x:v>The exact prototype sequence and every later design credit remain model-specific.</x:v>
      </x:c>
      <x:c r="I13" s="26" t="str">
        <x:v>https://www.melonpeel.com/morales/history.htm</x:v>
      </x:c>
      <x:c r="J13" s="26" t="str">
        <x:v>FIRST-PERSON VERIFIED</x:v>
      </x:c>
    </x:row>
    <x:row r="14" ht="86" customHeight="1">
      <x:c r="A14" s="26" t="str">
        <x:v>GTD-CHR-010</x:v>
      </x:c>
      <x:c r="B14" s="26" t="str">
        <x:v>1986</x:v>
      </x:c>
      <x:c r="C14" s="26" t="str">
        <x:v>Morales left full-time GT employment but continued part-time consulting.</x:v>
      </x:c>
      <x:c r="D14" s="26" t="str">
        <x:v>Post-acquisition design transition</x:v>
      </x:c>
      <x:c r="E14" s="26" t="str">
        <x:v>Bob Morales; GT/Dyno</x:v>
      </x:c>
      <x:c r="F14" s="26" t="str">
        <x:v>First-person history</x:v>
      </x:c>
      <x:c r="G14" s="26" t="str">
        <x:v>Morales dates the change to later 1986.</x:v>
      </x:c>
      <x:c r="H14" s="26" t="str">
        <x:v>Do not credit Morales automatically for GT/Dyno models introduced years later.</x:v>
      </x:c>
      <x:c r="I14" s="26" t="str">
        <x:v>https://www.melonpeel.com/morales/history.htm</x:v>
      </x:c>
      <x:c r="J14" s="26" t="str">
        <x:v>FIRST-PERSON VERIFIED</x:v>
      </x:c>
    </x:row>
    <x:row r="15" ht="86" customHeight="1">
      <x:c r="A15" s="26" t="str">
        <x:v>GTD-CHR-011</x:v>
      </x:c>
      <x:c r="B15" s="26" t="str">
        <x:v>1986–1988</x:v>
      </x:c>
      <x:c r="C15" s="26" t="str">
        <x:v>GT and Dyno maintained distinct race and freestyle model ranges under shared corporate control.</x:v>
      </x:c>
      <x:c r="D15" s="26" t="str">
        <x:v>GT/Dyno brand architecture</x:v>
      </x:c>
      <x:c r="E15" s="26" t="str">
        <x:v>GT riders; Dyno riders</x:v>
      </x:c>
      <x:c r="F15" s="26" t="str">
        <x:v>Period catalog reconstruction + period retail ads</x:v>
      </x:c>
      <x:c r="G15" s="26" t="str">
        <x:v>Year-specific catalogs and retail advertisements show separate GT and Dyno lineups.</x:v>
      </x:c>
      <x:c r="H15" s="26" t="str">
        <x:v>Shared parts and ownership do not erase the brand distinction.</x:v>
      </x:c>
      <x:c r="I15" s="26" t="str">
        <x:v>https://www.bmx-catalogue.com/gt/old-school/1987/model.html</x:v>
      </x:c>
      <x:c r="J15" s="26" t="str">
        <x:v>CATALOG CONTROLLED</x:v>
      </x:c>
    </x:row>
    <x:row r="16" ht="86" customHeight="1">
      <x:c r="A16" s="26" t="str">
        <x:v>GTD-CHR-012</x:v>
      </x:c>
      <x:c r="B16" s="26" t="str">
        <x:v>July–August 1987</x:v>
      </x:c>
      <x:c r="C16" s="26" t="str">
        <x:v>Period retailer advertisements listed GT and Dyno complete bikes side-by-side at different price points.</x:v>
      </x:c>
      <x:c r="D16" s="26" t="str">
        <x:v>Retail evidence</x:v>
      </x:c>
      <x:c r="E16" s="26" t="str">
        <x:v>GT; Dyno; mail-order retailers</x:v>
      </x:c>
      <x:c r="F16" s="26" t="str">
        <x:v>Period publication advertisements</x:v>
      </x:c>
      <x:c r="G16" s="26" t="str">
        <x:v>Clear rows include GT Performer/Pro models and Dyno Compe/D-Tour/Pro Compe/VFR models.</x:v>
      </x:c>
      <x:c r="H16" s="26" t="str">
        <x:v>These are retailer prices, not manufacturer MSRP.</x:v>
      </x:c>
      <x:c r="I16" s="26" t="str">
        <x:v>https://previouspage.co.uk/issues/245-august-nineteen-eighty-seven</x:v>
      </x:c>
      <x:c r="J16" s="26" t="str">
        <x:v>PERIOD VERIFIED</x:v>
      </x:c>
    </x:row>
    <x:row r="17" ht="86" customHeight="1">
      <x:c r="A17" s="26" t="str">
        <x:v>GTD-CHR-013</x:v>
      </x:c>
      <x:c r="B17" s="26" t="str">
        <x:v>1990–1991</x:v>
      </x:c>
      <x:c r="C17" s="26" t="str">
        <x:v>GT and Dyno continued distinct race/freestyle lines; Dyno's 1991 catalog foregrounded Dave Voelker and Dino DeLuca.</x:v>
      </x:c>
      <x:c r="D17" s="26" t="str">
        <x:v>Catalog/team phase</x:v>
      </x:c>
      <x:c r="E17" s="26" t="str">
        <x:v>Dave Voelker; Dino DeLuca; GT/Dyno</x:v>
      </x:c>
      <x:c r="F17" s="26" t="str">
        <x:v>Catalog reconstruction based on original catalogs</x:v>
      </x:c>
      <x:c r="G17" s="26" t="str">
        <x:v>The 1991 Dyno catalog describes its freestyle team and multiple models.</x:v>
      </x:c>
      <x:c r="H17" s="26" t="str">
        <x:v>Reconstructed pages are useful catalog evidence but are not BMXMuseum records or factory production ledgers.</x:v>
      </x:c>
      <x:c r="I17" s="26" t="str">
        <x:v>https://www.bmx-catalogue.com/dyno/mid-school/1991/model.html</x:v>
      </x:c>
      <x:c r="J17" s="26" t="str">
        <x:v>CATALOG CONTROLLED</x:v>
      </x:c>
    </x:row>
    <x:row r="18" ht="86" customHeight="1">
      <x:c r="A18" s="26" t="str">
        <x:v>GTD-CHR-014</x:v>
      </x:c>
      <x:c r="B18" s="26" t="str">
        <x:v>1994</x:v>
      </x:c>
      <x:c r="C18" s="26" t="str">
        <x:v>Dyno offered freestyle, all-round and junior categories with Air, Compe, Slammer, Nitro, VFR and Blaze families.</x:v>
      </x:c>
      <x:c r="D18" s="26" t="str">
        <x:v>Mid-school expansion</x:v>
      </x:c>
      <x:c r="E18" s="26" t="str">
        <x:v>Dyno</x:v>
      </x:c>
      <x:c r="F18" s="26" t="str">
        <x:v>Catalog reconstruction based on original catalog</x:v>
      </x:c>
      <x:c r="G18" s="26" t="str">
        <x:v>The 1994 model-year page gives category-level lineup structure.</x:v>
      </x:c>
      <x:c r="H18" s="26" t="str">
        <x:v>Individual materials and specifications must be read from the specific model-year page.</x:v>
      </x:c>
      <x:c r="I18" s="26" t="str">
        <x:v>https://www.bmx-catalogue.com/dyno/mid-school/1994/model.html</x:v>
      </x:c>
      <x:c r="J18" s="26" t="str">
        <x:v>CATALOG CONTROLLED</x:v>
      </x:c>
    </x:row>
    <x:row r="19" ht="86" customHeight="1">
      <x:c r="A19" s="26" t="str">
        <x:v>GTD-CHR-015</x:v>
      </x:c>
      <x:c r="B19" s="26" t="str">
        <x:v>1996</x:v>
      </x:c>
      <x:c r="C19" s="26" t="str">
        <x:v>GT's BMX catalog separated freestyle, dirt/jump and race families; Dyno separated freestyle, race, all-round and junior lines.</x:v>
      </x:c>
      <x:c r="D19" s="26" t="str">
        <x:v>GT/Dyno catalog architecture</x:v>
      </x:c>
      <x:c r="E19" s="26" t="str">
        <x:v>GT; Dyno</x:v>
      </x:c>
      <x:c r="F19" s="26" t="str">
        <x:v>Catalog reconstruction based on original catalog</x:v>
      </x:c>
      <x:c r="G19" s="26" t="str">
        <x:v>The 1996 GT and Dyno catalogs expose distinct model lists and intended-use categories.</x:v>
      </x:c>
      <x:c r="H19" s="26" t="str">
        <x:v>The exact BMXMuseum catalog reference ID remains unresolved; catalog reconstruction is an independent source.</x:v>
      </x:c>
      <x:c r="I19" s="26" t="str">
        <x:v>https://www.bmx-catalogue.com/gt/mid-school/1996/model.html</x:v>
      </x:c>
      <x:c r="J19" s="26" t="str">
        <x:v>CATALOG CONTROLLED</x:v>
      </x:c>
    </x:row>
    <x:row r="20" ht="86" customHeight="1">
      <x:c r="A20" s="26" t="str">
        <x:v>GTD-CHR-016</x:v>
      </x:c>
      <x:c r="B20" s="26" t="str">
        <x:v>1996</x:v>
      </x:c>
      <x:c r="C20" s="26" t="str">
        <x:v>GT's catalog included shared GT/Dyno parts and accessories.</x:v>
      </x:c>
      <x:c r="D20" s="26" t="str">
        <x:v>Shared component system</x:v>
      </x:c>
      <x:c r="E20" s="26" t="str">
        <x:v>GT; Dyno</x:v>
      </x:c>
      <x:c r="F20" s="26" t="str">
        <x:v>Catalog reconstruction based on original catalog</x:v>
      </x:c>
      <x:c r="G20" s="26" t="str">
        <x:v>The parts page identifies GT and Dyno handlebars, seatposts and other shared corporate components.</x:v>
      </x:c>
      <x:c r="H20" s="26" t="str">
        <x:v>A shared part does not make a GT frame a Dyno or vice versa.</x:v>
      </x:c>
      <x:c r="I20" s="26" t="str">
        <x:v>https://www.bmx-catalogue.com/gt/mid-school/1996/parts-accessories.html</x:v>
      </x:c>
      <x:c r="J20" s="26" t="str">
        <x:v>CATALOG CONTROLLED</x:v>
      </x:c>
    </x:row>
    <x:row r="21" ht="86" customHeight="1">
      <x:c r="A21" s="26" t="str">
        <x:v>GTD-CHR-017</x:v>
      </x:c>
      <x:c r="B21" s="26" t="str">
        <x:v>1998</x:v>
      </x:c>
      <x:c r="C21" s="26" t="str">
        <x:v>Dyno's catalog described Trevor Meyer, Gabe Weed and Aaron Benke in Air Show/freestyle context and introduced revised VFR/NSX/Nitro frame details.</x:v>
      </x:c>
      <x:c r="D21" s="26" t="str">
        <x:v>Late-1990s team/model phase</x:v>
      </x:c>
      <x:c r="E21" s="26" t="str">
        <x:v>Trevor Meyer; Gabe Weed; Aaron Benke; Dyno</x:v>
      </x:c>
      <x:c r="F21" s="26" t="str">
        <x:v>Catalog reconstruction based on original catalog</x:v>
      </x:c>
      <x:c r="G21" s="26" t="str">
        <x:v>The 1998 catalog links team presentation and a redesigned lower-profile all-round frame family.</x:v>
      </x:c>
      <x:c r="H21" s="26" t="str">
        <x:v>This does not authenticate a particular Air Show jacket or identify its wearer.</x:v>
      </x:c>
      <x:c r="I21" s="26" t="str">
        <x:v>https://www.bmx-catalogue.com/dyno/mid-school/1998/model.html</x:v>
      </x:c>
      <x:c r="J21" s="26" t="str">
        <x:v>CATALOG CONTROLLED</x:v>
      </x:c>
    </x:row>
    <x:row r="22" ht="86" customHeight="1">
      <x:c r="A22" s="26" t="str">
        <x:v>GTD-CHR-018</x:v>
      </x:c>
      <x:c r="B22" s="26" t="str">
        <x:v>1999</x:v>
      </x:c>
      <x:c r="C22" s="26" t="str">
        <x:v>Dyno's lineup included Air, Compe, Detour, Slammer, Zone, XR, Nitro, NSX, VFR and junior models.</x:v>
      </x:c>
      <x:c r="D22" s="26" t="str">
        <x:v>Late-1990s lineup</x:v>
      </x:c>
      <x:c r="E22" s="26" t="str">
        <x:v>Dyno</x:v>
      </x:c>
      <x:c r="F22" s="26" t="str">
        <x:v>Catalog reconstruction based on original catalog</x:v>
      </x:c>
      <x:c r="G22" s="26" t="str">
        <x:v>The 1999 catalog provides category-level model coverage.</x:v>
      </x:c>
      <x:c r="H22" s="26" t="str">
        <x:v>The catalog reconstruction notes that the 1999 Air did not appear in the original catalog; catalog absence must not be treated as proof of nonproduction.</x:v>
      </x:c>
      <x:c r="I22" s="26" t="str">
        <x:v>https://www.bmx-catalogue.com/dyno/mid-school/1999/model.html</x:v>
      </x:c>
      <x:c r="J22" s="26" t="str">
        <x:v>CATALOG CONTROLLED</x:v>
      </x:c>
    </x:row>
    <x:row r="23" ht="86" customHeight="1">
      <x:c r="A23" s="26" t="str">
        <x:v>GTD-CHR-019</x:v>
      </x:c>
      <x:c r="B23" s="26" t="str">
        <x:v>2001</x:v>
      </x:c>
      <x:c r="C23" s="26" t="str">
        <x:v>The combined Schwinn/GT operation entered bankruptcy and the GT/Dyno brands passed to Pacific Cycle, according to historical syntheses.</x:v>
      </x:c>
      <x:c r="D23" s="26" t="str">
        <x:v>Ownership transition</x:v>
      </x:c>
      <x:c r="E23" s="26" t="str">
        <x:v>GT; Dyno; Schwinn; Pacific Cycle</x:v>
      </x:c>
      <x:c r="F23" s="26" t="str">
        <x:v>Corporate/industry historical sources</x:v>
      </x:c>
      <x:c r="G23" s="26" t="str">
        <x:v>This marks a later ownership phase after Richard Long's death and GT's corporate changes.</x:v>
      </x:c>
      <x:c r="H23" s="26" t="str">
        <x:v>A dedicated corporate dossier should verify court and acquisition records before public legal-detail claims.</x:v>
      </x:c>
      <x:c r="I23" s="26" t="str">
        <x:v>https://legendbikeco.com/pages/dyno-history</x:v>
      </x:c>
      <x:c r="J23" s="26" t="str">
        <x:v>QUALIFIED</x:v>
      </x:c>
    </x:row>
    <x:row r="24" ht="86" customHeight="1">
      <x:c r="A24" s="26" t="str">
        <x:v>GTD-CHR-020</x:v>
      </x:c>
      <x:c r="B24" s="26" t="str">
        <x:v>2012</x:v>
      </x:c>
      <x:c r="C24" s="26" t="str">
        <x:v>Felicia Stancil, riding for Factory GT, won both Junior Women's time-trial and race world titles.</x:v>
      </x:c>
      <x:c r="D24" s="26" t="str">
        <x:v>GT racing history</x:v>
      </x:c>
      <x:c r="E24" s="26" t="str">
        <x:v>Felicia Stancil; Factory GT</x:v>
      </x:c>
      <x:c r="F24" s="26" t="str">
        <x:v>Official USA BMX event report</x:v>
      </x:c>
      <x:c r="G24" s="26" t="str">
        <x:v>The result supports the rider/team achievement layer.</x:v>
      </x:c>
      <x:c r="H24" s="26" t="str">
        <x:v>The official result does not by itself authenticate Lititz artifact 26.0054 as the exact race bicycle.</x:v>
      </x:c>
      <x:c r="I24" s="26" t="str">
        <x:v>https://www.usabmx.com/news-and-media/6/2012-05-27/UCI-Worlds-Update?id=586</x:v>
      </x:c>
      <x:c r="J24" s="26" t="str">
        <x:v>OFFICIAL RESULT</x:v>
      </x:c>
    </x:row>
    <x:row r="25" ht="86" customHeight="1">
      <x:c r="A25" s="26" t="str">
        <x:v>GTD-CHR-021</x:v>
      </x:c>
      <x:c r="B25" s="26" t="str">
        <x:v>2016–2021</x:v>
      </x:c>
      <x:c r="C25" s="26" t="str">
        <x:v>GT's current official catalog archive publicly exposes modern catalogs, including a 2016 BMX catalog.</x:v>
      </x:c>
      <x:c r="D25" s="26" t="str">
        <x:v>Official current catalog support</x:v>
      </x:c>
      <x:c r="E25" s="26" t="str">
        <x:v>GT Bicycles</x:v>
      </x:c>
      <x:c r="F25" s="26" t="str">
        <x:v>Current official GT catalog page</x:v>
      </x:c>
      <x:c r="G25" s="26" t="str">
        <x:v>The official support page provides a modern public catalog trail.</x:v>
      </x:c>
      <x:c r="H25" s="26" t="str">
        <x:v>It does not currently provide the 1980s–1990s GT/Dyno catalogs needed for historical authentication.</x:v>
      </x:c>
      <x:c r="I25" s="26" t="str">
        <x:v>https://gtbicycles.com/pages/catalogs</x:v>
      </x:c>
      <x:c r="J25" s="26" t="str">
        <x:v>OFFICIAL BOUNDARY</x:v>
      </x:c>
    </x:row>
    <x:row r="26" ht="86" customHeight="1">
      <x:c r="A26" s="26" t="str">
        <x:v>GTD-CHR-022</x:v>
      </x:c>
      <x:c r="B26" s="26" t="str">
        <x:v>Current heritage line</x:v>
      </x:c>
      <x:c r="C26" s="26" t="str">
        <x:v>GT markets a modern Dyno Pro Compe heritage model.</x:v>
      </x:c>
      <x:c r="D26" s="26" t="str">
        <x:v>Modern heritage/reissue</x:v>
      </x:c>
      <x:c r="E26" s="26" t="str">
        <x:v>GT/Dyno</x:v>
      </x:c>
      <x:c r="F26" s="26" t="str">
        <x:v>Current official GT product page</x:v>
      </x:c>
      <x:c r="G26" s="26" t="str">
        <x:v>The current page explicitly frames the model as a legend reborn and tribute product.</x:v>
      </x:c>
      <x:c r="H26" s="26" t="str">
        <x:v>A modern heritage product must not be represented as an original 1987 bicycle.</x:v>
      </x:c>
      <x:c r="I26" s="26" t="str">
        <x:v>https://gtbicycles.com/pages/big-wheel-bmx</x:v>
      </x:c>
      <x:c r="J26" s="26" t="str">
        <x:v>OFFICIAL MODERN</x:v>
      </x:c>
    </x:row>
  </x:sheetData>
  <x:mergeCells>
    <x:mergeCell ref="A1:J1"/>
    <x:mergeCell ref="A2:J2"/>
  </x:mergeCells>
  <x:pageMargins left="0.7" right="0.7" top="0.75" bottom="0.75" header="0.3" footer="0.3"/>
  <x:tableParts count="1">
    <x:tablePart xmlns:r="http://schemas.openxmlformats.org/officeDocument/2006/relationships" r:id="R3b024826a11c4f98"/>
  </x:tableParts>
</x:worksheet>
</file>

<file path=xl/worksheets/sheet104.xml><?xml version="1.0" encoding="utf-8"?>
<x:worksheet xmlns:x="http://schemas.openxmlformats.org/spreadsheetml/2006/main">
  <x:sheetFormatPr defaultRowHeight="15"/>
  <x:cols>
    <x:col min="1" max="1" width="15" hidden="0" customWidth="1"/>
    <x:col min="2" max="2" width="28" hidden="0" customWidth="1"/>
    <x:col min="3" max="3" width="22" hidden="0" customWidth="1"/>
    <x:col min="4" max="4" width="22" hidden="0" customWidth="1"/>
    <x:col min="5" max="5" width="54" hidden="0" customWidth="1"/>
    <x:col min="6" max="6" width="48" hidden="0" customWidth="1"/>
    <x:col min="7" max="7" width="43" hidden="0" customWidth="1"/>
    <x:col min="8" max="8" width="30" hidden="0" customWidth="1"/>
    <x:col min="9" max="9" width="48" hidden="0" customWidth="1"/>
    <x:col min="10" max="10" width="50" hidden="0" customWidth="1"/>
    <x:col min="11" max="11" width="58" hidden="0" customWidth="1"/>
    <x:col min="12" max="12" width="24" hidden="0" customWidth="1"/>
  </x:cols>
  <x:sheetData>
    <x:row r="1" ht="31" customHeight="1">
      <x:c r="A1" s="600" t="str">
        <x:v>GT Catalog-Controlled Model Register</x:v>
      </x:c>
      <x:c r="B1" s="600"/>
      <x:c r="C1" s="600"/>
      <x:c r="D1" s="600"/>
      <x:c r="E1" s="600"/>
      <x:c r="F1" s="600"/>
      <x:c r="G1" s="600"/>
      <x:c r="H1" s="600"/>
      <x:c r="I1" s="600"/>
      <x:c r="J1" s="600"/>
      <x:c r="K1" s="600"/>
      <x:c r="L1" s="600"/>
    </x:row>
    <x:row r="2" ht="31" customHeight="1">
      <x:c r="A2" s="605" t="str">
        <x:v>A GT model name is not a specification. Model year, tier, intended use, factory, material and period catalog evidence must be recorded together.</x:v>
      </x:c>
      <x:c r="B2" s="605"/>
      <x:c r="C2" s="605"/>
      <x:c r="D2" s="605"/>
      <x:c r="E2" s="605"/>
      <x:c r="F2" s="605"/>
      <x:c r="G2" s="605"/>
      <x:c r="H2" s="605"/>
      <x:c r="I2" s="605"/>
      <x:c r="J2" s="605"/>
      <x:c r="K2" s="605"/>
      <x:c r="L2" s="605"/>
    </x:row>
    <x:row r="4">
      <x:c r="A4" s="610" t="str">
        <x:v>GT Model ID</x:v>
      </x:c>
      <x:c r="B4" s="610" t="str">
        <x:v>Model / Family</x:v>
      </x:c>
      <x:c r="C4" s="610" t="str">
        <x:v>Model Year(s)</x:v>
      </x:c>
      <x:c r="D4" s="610" t="str">
        <x:v>Category</x:v>
      </x:c>
      <x:c r="E4" s="610" t="str">
        <x:v>Catalog-Controlled Evidence</x:v>
      </x:c>
      <x:c r="F4" s="610" t="str">
        <x:v>Frame / Feature Summary</x:v>
      </x:c>
      <x:c r="G4" s="610" t="str">
        <x:v>Serial / Factory Note</x:v>
      </x:c>
      <x:c r="H4" s="610" t="str">
        <x:v>Evidence Class</x:v>
      </x:c>
      <x:c r="I4" s="610" t="str">
        <x:v>BMXMuseum Relationship</x:v>
      </x:c>
      <x:c r="J4" s="610" t="str">
        <x:v>Qualification</x:v>
      </x:c>
      <x:c r="K4" s="610" t="str">
        <x:v>Source URL</x:v>
      </x:c>
      <x:c r="L4" s="610" t="str">
        <x:v>Status</x:v>
      </x:c>
    </x:row>
    <x:row r="5" ht="88" customHeight="1">
      <x:c r="A5" s="26" t="str">
        <x:v>GT-MOD-001</x:v>
      </x:c>
      <x:c r="B5" s="26" t="str">
        <x:v>GT Pro / early complete-bike family</x:v>
      </x:c>
      <x:c r="C5" s="26" t="str">
        <x:v>1980–1981</x:v>
      </x:c>
      <x:c r="D5" s="26" t="str">
        <x:v>Race</x:v>
      </x:c>
      <x:c r="E5" s="26" t="str">
        <x:v>Corporate histories identify an early complete GT Pro phase; 1981 catalog reconstruction contains eight GT models.</x:v>
      </x:c>
      <x:c r="F5" s="26" t="str">
        <x:v>Early complete-bike line emerging from GT's frame business.</x:v>
      </x:c>
      <x:c r="G5" s="26" t="str">
        <x:v>Early serial practice remains model/factory specific and needs primary documentation.</x:v>
      </x:c>
      <x:c r="H5" s="26" t="str">
        <x:v>Corporate history + catalog reconstruction</x:v>
      </x:c>
      <x:c r="I5" s="26" t="str">
        <x:v>Exact early bike 606 is externally linked as an early GT Mini/Midi comparison.</x:v>
      </x:c>
      <x:c r="J5" s="26" t="str">
        <x:v>Do not force 1972 frame history into a complete-bike model date.</x:v>
      </x:c>
      <x:c r="K5" s="26" t="str">
        <x:v>https://www.bmx-catalogue.com/gt/year.html</x:v>
      </x:c>
      <x:c r="L5" s="26" t="str">
        <x:v>EARLY LINE</x:v>
      </x:c>
    </x:row>
    <x:row r="6" ht="88" customHeight="1">
      <x:c r="A6" s="26" t="str">
        <x:v>GT-MOD-002</x:v>
      </x:c>
      <x:c r="B6" s="26" t="str">
        <x:v>Performer</x:v>
      </x:c>
      <x:c r="C6" s="26" t="str">
        <x:v>1983 design; multiple later years</x:v>
      </x:c>
      <x:c r="D6" s="26" t="str">
        <x:v>Freestyle</x:v>
      </x:c>
      <x:c r="E6" s="26" t="str">
        <x:v>Morales says he and Eddie Fiola designed and named the first GT freestyle frame in 1983.</x:v>
      </x:c>
      <x:c r="F6" s="26" t="str">
        <x:v>Model name continued across many years with substantial changes.</x:v>
      </x:c>
      <x:c r="G6" s="26" t="str">
        <x:v>Never use a later YC/SY serial rule on an early USA frame.</x:v>
      </x:c>
      <x:c r="H6" s="26" t="str">
        <x:v>First-person design history + year catalogs</x:v>
      </x:c>
      <x:c r="I6" s="26" t="str">
        <x:v>Exact record 106522 is externally identified as a 1999 Performer; other Vertigo/Performer comparisons exist.</x:v>
      </x:c>
      <x:c r="J6" s="26" t="str">
        <x:v>A model name alone cannot establish year, material or specification.</x:v>
      </x:c>
      <x:c r="K6" s="26" t="str">
        <x:v>https://www.melonpeel.com/morales/history.htm</x:v>
      </x:c>
      <x:c r="L6" s="26" t="str">
        <x:v>CORE FAMILY</x:v>
      </x:c>
    </x:row>
    <x:row r="7" ht="88" customHeight="1">
      <x:c r="A7" s="26" t="str">
        <x:v>GT-MOD-003</x:v>
      </x:c>
      <x:c r="B7" s="26" t="str">
        <x:v>Pro Performer</x:v>
      </x:c>
      <x:c r="C7" s="26" t="str">
        <x:v>1986–1988 cataloged examples</x:v>
      </x:c>
      <x:c r="D7" s="26" t="str">
        <x:v>Freestyle</x:v>
      </x:c>
      <x:c r="E7" s="26" t="str">
        <x:v>1987/1988 pages show a CR-MO frameset, period Gyro/brake/stander systems and year-specific components.</x:v>
      </x:c>
      <x:c r="F7" s="26" t="str">
        <x:v>Freestyle geometry and spec changed by year.</x:v>
      </x:c>
      <x:c r="G7" s="26" t="str">
        <x:v>USA serial guidance on catalog reconstruction uses month/year and model abbreviations for these years.</x:v>
      </x:c>
      <x:c r="H7" s="26" t="str">
        <x:v>Catalog reconstruction based on original catalog</x:v>
      </x:c>
      <x:c r="I7" s="26" t="str">
        <x:v>Public GT records and comparisons exist; exact object IDs must be evaluated year by year.</x:v>
      </x:c>
      <x:c r="J7" s="26" t="str">
        <x:v>Do not merge Pro Performer with Performer or later heritage models.</x:v>
      </x:c>
      <x:c r="K7" s="26" t="str">
        <x:v>https://www.bmx-catalogue.com/gt/old-school/1987/pro-performer.html</x:v>
      </x:c>
      <x:c r="L7" s="26" t="str">
        <x:v>CATALOG CONTROLLED</x:v>
      </x:c>
    </x:row>
    <x:row r="8" ht="88" customHeight="1">
      <x:c r="A8" s="26" t="str">
        <x:v>GT-MOD-004</x:v>
      </x:c>
      <x:c r="B8" s="26" t="str">
        <x:v>Pro Freestyle Tour</x:v>
      </x:c>
      <x:c r="C8" s="26" t="str">
        <x:v>1986–1997 family</x:v>
      </x:c>
      <x:c r="D8" s="26" t="str">
        <x:v>Freestyle/touring</x:v>
      </x:c>
      <x:c r="E8" s="26" t="str">
        <x:v>1987 catalog specifies a USA-made chromoly frame/fork, Gyro and standers; 1988 and 1996 pages show continuing evolution.</x:v>
      </x:c>
      <x:c r="F8" s="26" t="str">
        <x:v>Tour/freestyle family with distinct Team tier.</x:v>
      </x:c>
      <x:c r="G8" s="26" t="str">
        <x:v>Serial, frame geometry and brake layout vary by year.</x:v>
      </x:c>
      <x:c r="H8" s="26" t="str">
        <x:v>Catalog reconstruction based on original catalog</x:v>
      </x:c>
      <x:c r="I8" s="26" t="str">
        <x:v>Exact record 302 is externally presented as a GT Pro Freestyle; exact year/title requires canonical metadata.</x:v>
      </x:c>
      <x:c r="J8" s="26" t="str">
        <x:v>Do not treat Pro Freestyle Tour and Pro Freestyle Tour Team as identical builds.</x:v>
      </x:c>
      <x:c r="K8" s="26" t="str">
        <x:v>https://www.bmx-catalogue.com/gt/old-school/1987/pro-freestyle-tour.html</x:v>
      </x:c>
      <x:c r="L8" s="26" t="str">
        <x:v>CORE FAMILY</x:v>
      </x:c>
    </x:row>
    <x:row r="9" ht="88" customHeight="1">
      <x:c r="A9" s="26" t="str">
        <x:v>GT-MOD-005</x:v>
      </x:c>
      <x:c r="B9" s="26" t="str">
        <x:v>Pro Freestyle Tour Team</x:v>
      </x:c>
      <x:c r="C9" s="26" t="str">
        <x:v>1987–1996 family</x:v>
      </x:c>
      <x:c r="D9" s="26" t="str">
        <x:v>Freestyle team</x:v>
      </x:c>
      <x:c r="E9" s="26" t="str">
        <x:v>1987 catalog describes redesigned frame/fork and Power Series three-piece cranks; 1988 differs again.</x:v>
      </x:c>
      <x:c r="F9" s="26" t="str">
        <x:v>Top-tier freestyle complete or frameset depending year.</x:v>
      </x:c>
      <x:c r="G9" s="26" t="str">
        <x:v>USA/factory serial interpretation remains year and origin dependent.</x:v>
      </x:c>
      <x:c r="H9" s="26" t="str">
        <x:v>Catalog reconstruction based on original catalog</x:v>
      </x:c>
      <x:c r="I9" s="26" t="str">
        <x:v>Exact submitted examples may support comparison only.</x:v>
      </x:c>
      <x:c r="J9" s="26" t="str">
        <x:v>Team designation is a model tier, not proof an individual bike was factory-team ridden.</x:v>
      </x:c>
      <x:c r="K9" s="26" t="str">
        <x:v>https://www.bmx-catalogue.com/gt/old-school/1987/pro-freestyle-tour-team.html</x:v>
      </x:c>
      <x:c r="L9" s="26" t="str">
        <x:v>CORE FAMILY</x:v>
      </x:c>
    </x:row>
    <x:row r="10" ht="88" customHeight="1">
      <x:c r="A10" s="26" t="str">
        <x:v>GT-MOD-006</x:v>
      </x:c>
      <x:c r="B10" s="26" t="str">
        <x:v>Vertigo</x:v>
      </x:c>
      <x:c r="C10" s="26" t="str">
        <x:v>1987–1999 family</x:v>
      </x:c>
      <x:c r="D10" s="26" t="str">
        <x:v>Freestyle/value</x:v>
      </x:c>
      <x:c r="E10" s="26" t="str">
        <x:v>Catalogs and public comparison records document a long-running lower/mid-tier freestyle family.</x:v>
      </x:c>
      <x:c r="F10" s="26" t="str">
        <x:v>Frame shape and tube junctions changed across years.</x:v>
      </x:c>
      <x:c r="G10" s="26" t="str">
        <x:v>Later Taiwan examples can use factory/year/month codes; early rules differ.</x:v>
      </x:c>
      <x:c r="H10" s="26" t="str">
        <x:v>Catalog reconstruction + external exact links</x:v>
      </x:c>
      <x:c r="I10" s="26" t="str">
        <x:v>Records 23017 and 42507 are externally linked as Vertigo comparisons.</x:v>
      </x:c>
      <x:c r="J10" s="26" t="str">
        <x:v>Do not identify a Vertigo only from a seatstay/top-tube silhouette.</x:v>
      </x:c>
      <x:c r="K10" s="26" t="str">
        <x:v>https://www.bmx-catalogue.com/gt/mid-school/1994/model.html</x:v>
      </x:c>
      <x:c r="L10" s="26" t="str">
        <x:v>CORE FAMILY</x:v>
      </x:c>
    </x:row>
    <x:row r="11" ht="88" customHeight="1">
      <x:c r="A11" s="26" t="str">
        <x:v>GT-MOD-007</x:v>
      </x:c>
      <x:c r="B11" s="26" t="str">
        <x:v>Mach One</x:v>
      </x:c>
      <x:c r="C11" s="26" t="str">
        <x:v>1985 onward</x:v>
      </x:c>
      <x:c r="D11" s="26" t="str">
        <x:v>Race</x:v>
      </x:c>
      <x:c r="E11" s="26" t="str">
        <x:v>Period tests and 1987/1996/1999 catalogs document a long-running race model.</x:v>
      </x:c>
      <x:c r="F11" s="26" t="str">
        <x:v>Material and component tier vary dramatically by year.</x:v>
      </x:c>
      <x:c r="G11" s="26" t="str">
        <x:v>USA and Taiwan serial patterns differ.</x:v>
      </x:c>
      <x:c r="H11" s="26" t="str">
        <x:v>Period tests + catalog reconstruction</x:v>
      </x:c>
      <x:c r="I11" s="26" t="str">
        <x:v>Records 23222 and 44864 are externally linked as 1989 and 2001 Mach One comparisons.</x:v>
      </x:c>
      <x:c r="J11" s="26" t="str">
        <x:v>Do not compare price/spec across years without model-year control.</x:v>
      </x:c>
      <x:c r="K11" s="26" t="str">
        <x:v>https://www.bmx-catalogue.com/gt/mid-school/1996/mach-one.html</x:v>
      </x:c>
      <x:c r="L11" s="26" t="str">
        <x:v>CORE FAMILY</x:v>
      </x:c>
    </x:row>
    <x:row r="12" ht="88" customHeight="1">
      <x:c r="A12" s="26" t="str">
        <x:v>GT-MOD-008</x:v>
      </x:c>
      <x:c r="B12" s="26" t="str">
        <x:v>Interceptor</x:v>
      </x:c>
      <x:c r="C12" s="26" t="str">
        <x:v>1986 onward</x:v>
      </x:c>
      <x:c r="D12" s="26" t="str">
        <x:v>Race/value</x:v>
      </x:c>
      <x:c r="E12" s="26" t="str">
        <x:v>1987 retailer ads and 1992 catalog leads show continuing model use.</x:v>
      </x:c>
      <x:c r="F12" s="26" t="str">
        <x:v>Complete-bike specification and price changed by year.</x:v>
      </x:c>
      <x:c r="G12" s="26" t="str">
        <x:v>Factory and market matter for serial interpretation.</x:v>
      </x:c>
      <x:c r="H12" s="26" t="str">
        <x:v>Period retailer evidence + catalog lead</x:v>
      </x:c>
      <x:c r="I12" s="26" t="str">
        <x:v>External records exist; 1992 price page remains model-page context dependent.</x:v>
      </x:c>
      <x:c r="J12" s="26" t="str">
        <x:v>The 1987 $169 and 1992 $259 observations are not equivalent configurations or MSRP.</x:v>
      </x:c>
      <x:c r="K12" s="26" t="str">
        <x:v>https://previouspage.co.uk/issues/245-august-nineteen-eighty-seven</x:v>
      </x:c>
      <x:c r="L12" s="26" t="str">
        <x:v>CORE FAMILY</x:v>
      </x:c>
    </x:row>
    <x:row r="13" ht="88" customHeight="1">
      <x:c r="A13" s="26" t="str">
        <x:v>GT-MOD-009</x:v>
      </x:c>
      <x:c r="B13" s="26" t="str">
        <x:v>Pro Series</x:v>
      </x:c>
      <x:c r="C13" s="26" t="str">
        <x:v>1984 onward</x:v>
      </x:c>
      <x:c r="D13" s="26" t="str">
        <x:v>Race</x:v>
      </x:c>
      <x:c r="E13" s="26" t="str">
        <x:v>1986–1988 and 1996 catalog pages document year-specific chromoly race bikes.</x:v>
      </x:c>
      <x:c r="F13" s="26" t="str">
        <x:v>USA-built and later imported variants require year/factory separation.</x:v>
      </x:c>
      <x:c r="G13" s="26" t="str">
        <x:v>1987/1988 USA guidance: first character month, next two digits year; later factories differ.</x:v>
      </x:c>
      <x:c r="H13" s="26" t="str">
        <x:v>Catalog reconstruction based on original catalog</x:v>
      </x:c>
      <x:c r="I13" s="26" t="str">
        <x:v>Exact record 119277 is publicly submitted as a 1990 Pro Series XL; 53260 as a later Pro Series 24 comparison.</x:v>
      </x:c>
      <x:c r="J13" s="26" t="str">
        <x:v>Model family does not authenticate exact serial or original complete build.</x:v>
      </x:c>
      <x:c r="K13" s="26" t="str">
        <x:v>https://www.bmx-catalogue.com/gt/old-school/1987/pro-series.html</x:v>
      </x:c>
      <x:c r="L13" s="26" t="str">
        <x:v>CORE FAMILY</x:v>
      </x:c>
    </x:row>
    <x:row r="14" ht="88" customHeight="1">
      <x:c r="A14" s="26" t="str">
        <x:v>GT-MOD-010</x:v>
      </x:c>
      <x:c r="B14" s="26" t="str">
        <x:v>Pro Series Team</x:v>
      </x:c>
      <x:c r="C14" s="26" t="str">
        <x:v>1987–1996 family</x:v>
      </x:c>
      <x:c r="D14" s="26" t="str">
        <x:v>Race team tier</x:v>
      </x:c>
      <x:c r="E14" s="26" t="str">
        <x:v>1987 catalog identifies Power Series cranks and team-level parts; 1996 remains a separate catalog model.</x:v>
      </x:c>
      <x:c r="F14" s="26" t="str">
        <x:v>Higher-spec model tier within race family.</x:v>
      </x:c>
      <x:c r="G14" s="26" t="str">
        <x:v>Model abbreviation next to USA serial is a useful but nonexclusive clue.</x:v>
      </x:c>
      <x:c r="H14" s="26" t="str">
        <x:v>Catalog reconstruction</x:v>
      </x:c>
      <x:c r="I14" s="26" t="str">
        <x:v>Submitted examples require serial/model-year comparison.</x:v>
      </x:c>
      <x:c r="J14" s="26" t="str">
        <x:v>'Team' in the title does not prove team use or rider provenance.</x:v>
      </x:c>
      <x:c r="K14" s="26" t="str">
        <x:v>https://www.bmx-catalogue.com/gt/old-school/1987/pro-series-team.html</x:v>
      </x:c>
      <x:c r="L14" s="26" t="str">
        <x:v>CORE FAMILY</x:v>
      </x:c>
    </x:row>
    <x:row r="15" ht="88" customHeight="1">
      <x:c r="A15" s="26" t="str">
        <x:v>GT-MOD-011</x:v>
      </x:c>
      <x:c r="B15" s="26" t="str">
        <x:v>Pro Series 24</x:v>
      </x:c>
      <x:c r="C15" s="26" t="str">
        <x:v>1980s–2000s family</x:v>
      </x:c>
      <x:c r="D15" s="26" t="str">
        <x:v>Race cruiser</x:v>
      </x:c>
      <x:c r="E15" s="26" t="str">
        <x:v>1996 catalog lists a USA chromoly cruiser; later Taiwan models use different serial systems/specs.</x:v>
      </x:c>
      <x:c r="F15" s="26" t="str">
        <x:v>24-inch model family with multiple generations.</x:v>
      </x:c>
      <x:c r="G15" s="26" t="str">
        <x:v>Record literal serial/factory code before decoding.</x:v>
      </x:c>
      <x:c r="H15" s="26" t="str">
        <x:v>Catalog reconstruction + exact backlink</x:v>
      </x:c>
      <x:c r="I15" s="26" t="str">
        <x:v>Record 53260 is externally identified as a 2003 Pro Series 24 comparison.</x:v>
      </x:c>
      <x:c r="J15" s="26" t="str">
        <x:v>Do not apply a 1996 USA serial rule to a 2003 imported frame.</x:v>
      </x:c>
      <x:c r="K15" s="26" t="str">
        <x:v>https://www.bmx-catalogue.com/gt/mid-school/1996/pro-series-24.html</x:v>
      </x:c>
      <x:c r="L15" s="26" t="str">
        <x:v>CORE CRUISER</x:v>
      </x:c>
    </x:row>
    <x:row r="16" ht="88" customHeight="1">
      <x:c r="A16" s="26" t="str">
        <x:v>GT-MOD-012</x:v>
      </x:c>
      <x:c r="B16" s="26" t="str">
        <x:v>Speed Series</x:v>
      </x:c>
      <x:c r="C16" s="26" t="str">
        <x:v>1990s–present family</x:v>
      </x:c>
      <x:c r="D16" s="26" t="str">
        <x:v>Race</x:v>
      </x:c>
      <x:c r="E16" s="26" t="str">
        <x:v>1996 catalog separates Speed Series and Speed Series Team; current GT continues Speed Series as a race line.</x:v>
      </x:c>
      <x:c r="F16" s="26" t="str">
        <x:v>Race family spans steel/aluminum/carbon and many size classes over time.</x:v>
      </x:c>
      <x:c r="G16" s="26" t="str">
        <x:v>Serial/manufacture rules are generation specific.</x:v>
      </x:c>
      <x:c r="H16" s="26" t="str">
        <x:v>Catalog reconstruction + current official GT</x:v>
      </x:c>
      <x:c r="I16" s="26" t="str">
        <x:v>Lititz 26.0054 is cataloged as a 2012 Speed Series associated with Felicia Stancil.</x:v>
      </x:c>
      <x:c r="J16" s="26" t="str">
        <x:v>The model family and official result do not alone prove exact race-day frame identity.</x:v>
      </x:c>
      <x:c r="K16" s="26" t="str">
        <x:v>https://gtbicycles.com/pages/race-bmx</x:v>
      </x:c>
      <x:c r="L16" s="26" t="str">
        <x:v>CORE RACE FAMILY</x:v>
      </x:c>
    </x:row>
    <x:row r="17" ht="88" customHeight="1">
      <x:c r="A17" s="26" t="str">
        <x:v>GT-MOD-013</x:v>
      </x:c>
      <x:c r="B17" s="26" t="str">
        <x:v>Fueler</x:v>
      </x:c>
      <x:c r="C17" s="26" t="str">
        <x:v>1996–late 1990s</x:v>
      </x:c>
      <x:c r="D17" s="26" t="str">
        <x:v>Dirt/jump</x:v>
      </x:c>
      <x:c r="E17" s="26" t="str">
        <x:v>1996 GT catalog separates Fueler as the dirt/jump model.</x:v>
      </x:c>
      <x:c r="F17" s="26" t="str">
        <x:v>Purpose-built category within the GT BMX lineup.</x:v>
      </x:c>
      <x:c r="G17" s="26" t="str">
        <x:v>Factory serial rule requires exact page/year.</x:v>
      </x:c>
      <x:c r="H17" s="26" t="str">
        <x:v>Catalog reconstruction</x:v>
      </x:c>
      <x:c r="I17" s="26" t="str">
        <x:v>No exact public BMXMuseum record recovered in this pass.</x:v>
      </x:c>
      <x:c r="J17" s="26" t="str">
        <x:v>Do not merge with freestyle Performer or race Mach One.</x:v>
      </x:c>
      <x:c r="K17" s="26" t="str">
        <x:v>https://www.bmx-catalogue.com/gt/mid-school/1996/fueler.html</x:v>
      </x:c>
      <x:c r="L17" s="26" t="str">
        <x:v>CATALOG MODEL</x:v>
      </x:c>
    </x:row>
    <x:row r="18" ht="88" customHeight="1">
      <x:c r="A18" s="26" t="str">
        <x:v>GT-MOD-014</x:v>
      </x:c>
      <x:c r="B18" s="26" t="str">
        <x:v>Show</x:v>
      </x:c>
      <x:c r="C18" s="26" t="str">
        <x:v>1998–1999</x:v>
      </x:c>
      <x:c r="D18" s="26" t="str">
        <x:v>Flatland/freestyle</x:v>
      </x:c>
      <x:c r="E18" s="26" t="str">
        <x:v>Period catalog metadata describes an aluminum flatland bicycle with freecoaster-era components.</x:v>
      </x:c>
      <x:c r="F18" s="26" t="str">
        <x:v>Distinct aluminum flatland model; separate from GT Air Show promotional team.</x:v>
      </x:c>
      <x:c r="G18" s="26" t="str">
        <x:v>Later Taiwan factory coding expected, but exact rules require model page/serial evidence.</x:v>
      </x:c>
      <x:c r="H18" s="26" t="str">
        <x:v>Catalog-derived secondary metadata</x:v>
      </x:c>
      <x:c r="I18" s="26" t="str">
        <x:v>Record 48067 is externally linked as a 1999 GT Show frame; record 2803 as a Showtime signature-model comparison.</x:v>
      </x:c>
      <x:c r="J18" s="26" t="str">
        <x:v>'Show', 'Showtime' and 'Air Show' are separate names and contexts.</x:v>
      </x:c>
      <x:c r="K18" s="26" t="str">
        <x:v>https://www.bicyclebluebook.com/value-guide/bmx/gt/show/1998/</x:v>
      </x:c>
      <x:c r="L18" s="26" t="str">
        <x:v>CATALOG/REFERENCE MODEL</x:v>
      </x:c>
    </x:row>
    <x:row r="19" ht="88" customHeight="1">
      <x:c r="A19" s="26" t="str">
        <x:v>GT-MOD-015</x:v>
      </x:c>
      <x:c r="B19" s="26" t="str">
        <x:v>Showtime</x:v>
      </x:c>
      <x:c r="C19" s="26" t="str">
        <x:v>1998–1999</x:v>
      </x:c>
      <x:c r="D19" s="26" t="str">
        <x:v>Signature/freestyle</x:v>
      </x:c>
      <x:c r="E19" s="26" t="str">
        <x:v>Public collector sources identify a Jeremy McGrath signature GT Showtime family.</x:v>
      </x:c>
      <x:c r="F19" s="26" t="str">
        <x:v>Signature product relationship needs period catalog confirmation.</x:v>
      </x:c>
      <x:c r="G19" s="26" t="str">
        <x:v>Serial/year needs exact frame and catalog page.</x:v>
      </x:c>
      <x:c r="H19" s="26" t="str">
        <x:v>External exact public backlink</x:v>
      </x:c>
      <x:c r="I19" s="26" t="str">
        <x:v>Record 2803 is cited as a blue/white Showtime comparison.</x:v>
      </x:c>
      <x:c r="J19" s="26" t="str">
        <x:v>Do not merge Showtime with the GT Show or call every Air Show artifact a Showtime item.</x:v>
      </x:c>
      <x:c r="K19" s="26" t="str">
        <x:v>https://ls1tech.com/forums/texas-members/1293232-looking-two-bmx-bikes-rare-ones.html</x:v>
      </x:c>
      <x:c r="L19" s="26" t="str">
        <x:v>PUBLIC LEAD</x:v>
      </x:c>
    </x:row>
    <x:row r="20" ht="88" customHeight="1">
      <x:c r="A20" s="26" t="str">
        <x:v>GT-MOD-016</x:v>
      </x:c>
      <x:c r="B20" s="26" t="str">
        <x:v>Modern Dyno Pro Compe heritage line</x:v>
      </x:c>
      <x:c r="C20" s="26" t="str">
        <x:v>Current</x:v>
      </x:c>
      <x:c r="D20" s="26" t="str">
        <x:v>Big-wheel heritage BMX</x:v>
      </x:c>
      <x:c r="E20" s="26" t="str">
        <x:v>Current official GT markets a Dyno Pro Compe as an '87-inspired tribute.</x:v>
      </x:c>
      <x:c r="F20" s="26" t="str">
        <x:v>Modern product borrows historical branding/design language.</x:v>
      </x:c>
      <x:c r="G20" s="26" t="str">
        <x:v>Modern serial and construction have no role in authenticating an original 1987 bike.</x:v>
      </x:c>
      <x:c r="H20" s="26" t="str">
        <x:v>Current official GT</x:v>
      </x:c>
      <x:c r="I20" s="26" t="str">
        <x:v>Not a BMXMuseum historical-object claim.</x:v>
      </x:c>
      <x:c r="J20" s="26" t="str">
        <x:v>Always label as modern heritage/reissue product.</x:v>
      </x:c>
      <x:c r="K20" s="26" t="str">
        <x:v>https://gtbicycles.com/pages/big-wheel-bmx</x:v>
      </x:c>
      <x:c r="L20" s="26" t="str">
        <x:v>MODERN SEPARATE</x:v>
      </x:c>
    </x:row>
  </x:sheetData>
  <x:mergeCells>
    <x:mergeCell ref="A1:L1"/>
    <x:mergeCell ref="A2:L2"/>
  </x:mergeCells>
  <x:pageMargins left="0.7" right="0.7" top="0.75" bottom="0.75" header="0.3" footer="0.3"/>
  <x:tableParts count="1">
    <x:tablePart xmlns:r="http://schemas.openxmlformats.org/officeDocument/2006/relationships" r:id="Rfda3802a40464115"/>
  </x:tableParts>
</x:worksheet>
</file>

<file path=xl/worksheets/sheet105.xml><?xml version="1.0" encoding="utf-8"?>
<x:worksheet xmlns:x="http://schemas.openxmlformats.org/spreadsheetml/2006/main">
  <x:sheetFormatPr defaultRowHeight="15"/>
  <x:cols>
    <x:col min="1" max="1" width="15" hidden="0" customWidth="1"/>
    <x:col min="2" max="2" width="30" hidden="0" customWidth="1"/>
    <x:col min="3" max="3" width="22" hidden="0" customWidth="1"/>
    <x:col min="4" max="4" width="22" hidden="0" customWidth="1"/>
    <x:col min="5" max="5" width="54" hidden="0" customWidth="1"/>
    <x:col min="6" max="6" width="50" hidden="0" customWidth="1"/>
    <x:col min="7" max="7" width="45" hidden="0" customWidth="1"/>
    <x:col min="8" max="8" width="31" hidden="0" customWidth="1"/>
    <x:col min="9" max="9" width="48" hidden="0" customWidth="1"/>
    <x:col min="10" max="10" width="52" hidden="0" customWidth="1"/>
    <x:col min="11" max="11" width="58" hidden="0" customWidth="1"/>
    <x:col min="12" max="12" width="24" hidden="0" customWidth="1"/>
  </x:cols>
  <x:sheetData>
    <x:row r="1" ht="31" customHeight="1">
      <x:c r="A1" s="600" t="str">
        <x:v>Dyno Catalog-Controlled Model Register</x:v>
      </x:c>
      <x:c r="B1" s="600"/>
      <x:c r="C1" s="600"/>
      <x:c r="D1" s="600"/>
      <x:c r="E1" s="600"/>
      <x:c r="F1" s="600"/>
      <x:c r="G1" s="600"/>
      <x:c r="H1" s="600"/>
      <x:c r="I1" s="600"/>
      <x:c r="J1" s="600"/>
      <x:c r="K1" s="600"/>
      <x:c r="L1" s="600"/>
    </x:row>
    <x:row r="2" ht="31" customHeight="1">
      <x:c r="A2" s="605" t="str">
        <x:v>Dyno began as apparel and accessories in 1982. Dyno bicycle models begin after the 1985 GT acquisition, and every model family is controlled by year-specific catalog evidence.</x:v>
      </x:c>
      <x:c r="B2" s="605"/>
      <x:c r="C2" s="605"/>
      <x:c r="D2" s="605"/>
      <x:c r="E2" s="605"/>
      <x:c r="F2" s="605"/>
      <x:c r="G2" s="605"/>
      <x:c r="H2" s="605"/>
      <x:c r="I2" s="605"/>
      <x:c r="J2" s="605"/>
      <x:c r="K2" s="605"/>
      <x:c r="L2" s="605"/>
    </x:row>
    <x:row r="4">
      <x:c r="A4" s="610" t="str">
        <x:v>Dyno Model ID</x:v>
      </x:c>
      <x:c r="B4" s="610" t="str">
        <x:v>Model / Family</x:v>
      </x:c>
      <x:c r="C4" s="610" t="str">
        <x:v>Model Year(s)</x:v>
      </x:c>
      <x:c r="D4" s="610" t="str">
        <x:v>Category</x:v>
      </x:c>
      <x:c r="E4" s="610" t="str">
        <x:v>Catalog-Controlled Evidence</x:v>
      </x:c>
      <x:c r="F4" s="610" t="str">
        <x:v>Frame / Feature Summary</x:v>
      </x:c>
      <x:c r="G4" s="610" t="str">
        <x:v>Serial / Factory Note</x:v>
      </x:c>
      <x:c r="H4" s="610" t="str">
        <x:v>Evidence Class</x:v>
      </x:c>
      <x:c r="I4" s="610" t="str">
        <x:v>BMXMuseum Relationship</x:v>
      </x:c>
      <x:c r="J4" s="610" t="str">
        <x:v>Qualification</x:v>
      </x:c>
      <x:c r="K4" s="610" t="str">
        <x:v>Source URL</x:v>
      </x:c>
      <x:c r="L4" s="610" t="str">
        <x:v>Status</x:v>
      </x:c>
    </x:row>
    <x:row r="5" ht="90" customHeight="1">
      <x:c r="A5" s="26" t="str">
        <x:v>DYNO-MOD-001</x:v>
      </x:c>
      <x:c r="B5" s="26" t="str">
        <x:v>Dyno Design apparel/accessories</x:v>
      </x:c>
      <x:c r="C5" s="26" t="str">
        <x:v>1982–1984</x:v>
      </x:c>
      <x:c r="D5" s="26" t="str">
        <x:v>Soft goods/accessories</x:v>
      </x:c>
      <x:c r="E5" s="26" t="str">
        <x:v>Bob Morales identifies jerseys, pants, T-shirts, number plates and accessories before Dyno bicycles.</x:v>
      </x:c>
      <x:c r="F5" s="26" t="str">
        <x:v>No bicycle frame existed in the original 1982 product line.</x:v>
      </x:c>
      <x:c r="G5" s="26" t="str">
        <x:v>No bicycle serial applies.</x:v>
      </x:c>
      <x:c r="H5" s="26" t="str">
        <x:v>First-person history</x:v>
      </x:c>
      <x:c r="I5" s="26" t="str">
        <x:v>Reference 7336 may preserve Bob Morales/Dyno history; direct content uninspected.</x:v>
      </x:c>
      <x:c r="J5" s="26" t="str">
        <x:v>Do not call 1982 the first Dyno bicycle year.</x:v>
      </x:c>
      <x:c r="K5" s="26" t="str">
        <x:v>https://www.melonpeel.com/morales/history.htm</x:v>
      </x:c>
      <x:c r="L5" s="26" t="str">
        <x:v>ORIGIN</x:v>
      </x:c>
    </x:row>
    <x:row r="6" ht="90" customHeight="1">
      <x:c r="A6" s="26" t="str">
        <x:v>DYNO-MOD-002</x:v>
      </x:c>
      <x:c r="B6" s="26" t="str">
        <x:v>Compe prototype / first Dyno frame</x:v>
      </x:c>
      <x:c r="C6" s="26" t="str">
        <x:v>1985</x:v>
      </x:c>
      <x:c r="D6" s="26" t="str">
        <x:v>Freestyle prototype/launch</x:v>
      </x:c>
      <x:c r="E6" s="26" t="str">
        <x:v>Morales says he designed the first Dyno frame/fork after GT purchased Dyno; external histories connect bike 72272 to a prototype posted by Morales.</x:v>
      </x:c>
      <x:c r="F6" s="26" t="str">
        <x:v>Bent-top-tube freestyle identity is associated with early Dyno design history.</x:v>
      </x:c>
      <x:c r="G6" s="26" t="str">
        <x:v>Prototype serial and exact construction require direct evidence.</x:v>
      </x:c>
      <x:c r="H6" s="26" t="str">
        <x:v>First-person history + exact cited BMXMuseum ID</x:v>
      </x:c>
      <x:c r="I6" s="26" t="str">
        <x:v>BMXMuseum bike 72272 is an exact cited prototype target; content remains uninspected.</x:v>
      </x:c>
      <x:c r="J6" s="26" t="str">
        <x:v>Do not infer every later Compe feature from the prototype.</x:v>
      </x:c>
      <x:c r="K6" s="26" t="str">
        <x:v>https://www.bmxmuseum.com/bikes/dyno/72272</x:v>
      </x:c>
      <x:c r="L6" s="26" t="str">
        <x:v>EXACT TARGET</x:v>
      </x:c>
    </x:row>
    <x:row r="7" ht="90" customHeight="1">
      <x:c r="A7" s="26" t="str">
        <x:v>DYNO-MOD-003</x:v>
      </x:c>
      <x:c r="B7" s="26" t="str">
        <x:v>Compe</x:v>
      </x:c>
      <x:c r="C7" s="26" t="str">
        <x:v>1985 onward</x:v>
      </x:c>
      <x:c r="D7" s="26" t="str">
        <x:v>Freestyle/value</x:v>
      </x:c>
      <x:c r="E7" s="26" t="str">
        <x:v>1987 retailer ads, 1991/1994/1996/1998/1999 catalogs show a long-running model whose material/spec changed repeatedly.</x:v>
      </x:c>
      <x:c r="F7" s="26" t="str">
        <x:v>1991 page identifies HI-TEN frame/fork; 1994 and 1998/1999 use chromoly-main/down-tube descriptions rather than a single universal frame material.</x:v>
      </x:c>
      <x:c r="G7" s="26" t="str">
        <x:v>DH, SY and other factory codes vary by period.</x:v>
      </x:c>
      <x:c r="H7" s="26" t="str">
        <x:v>First-person history + catalog reconstruction</x:v>
      </x:c>
      <x:c r="I7" s="26" t="str">
        <x:v>Many BMXMuseum submissions exist; exact IDs recovered in this project focus on later models.</x:v>
      </x:c>
      <x:c r="J7" s="26" t="str">
        <x:v>Never use one Compe year to define all Compes.</x:v>
      </x:c>
      <x:c r="K7" s="26" t="str">
        <x:v>https://www.bmx-catalogue.com/dyno/mid-school/1994/compe.html</x:v>
      </x:c>
      <x:c r="L7" s="26" t="str">
        <x:v>CORE FAMILY</x:v>
      </x:c>
    </x:row>
    <x:row r="8" ht="90" customHeight="1">
      <x:c r="A8" s="26" t="str">
        <x:v>DYNO-MOD-004</x:v>
      </x:c>
      <x:c r="B8" s="26" t="str">
        <x:v>Pro Compe</x:v>
      </x:c>
      <x:c r="C8" s="26" t="str">
        <x:v>1986–1987 period</x:v>
      </x:c>
      <x:c r="D8" s="26" t="str">
        <x:v>Freestyle/performance</x:v>
      </x:c>
      <x:c r="E8" s="26" t="str">
        <x:v>Period tests and 1987 retail ads show Pro Compe and Pro Compe Team tiers.</x:v>
      </x:c>
      <x:c r="F8" s="26" t="str">
        <x:v>Higher-tier chromoly freestyle configuration in period tests/catalog context.</x:v>
      </x:c>
      <x:c r="G8" s="26" t="str">
        <x:v>Early serial rules require exact frame evidence.</x:v>
      </x:c>
      <x:c r="H8" s="26" t="str">
        <x:v>Period tests + retailer ads</x:v>
      </x:c>
      <x:c r="I8" s="26" t="str">
        <x:v>No exact public BMXMuseum ID recovered in this pass.</x:v>
      </x:c>
      <x:c r="J8" s="26" t="str">
        <x:v>Do not merge Pro Compe, Compe 2 and later modern heritage products.</x:v>
      </x:c>
      <x:c r="K8" s="26" t="str">
        <x:v>https://oldschoolmags.com/tests_and_reviews.htm</x:v>
      </x:c>
      <x:c r="L8" s="26" t="str">
        <x:v>CORE OLD-SCHOOL</x:v>
      </x:c>
    </x:row>
    <x:row r="9" ht="90" customHeight="1">
      <x:c r="A9" s="26" t="str">
        <x:v>DYNO-MOD-005</x:v>
      </x:c>
      <x:c r="B9" s="26" t="str">
        <x:v>Pro Compe Team</x:v>
      </x:c>
      <x:c r="C9" s="26" t="str">
        <x:v>1987 period</x:v>
      </x:c>
      <x:c r="D9" s="26" t="str">
        <x:v>Freestyle team tier</x:v>
      </x:c>
      <x:c r="E9" s="26" t="str">
        <x:v>1987 retailer ad lists a distinct higher-priced Team model.</x:v>
      </x:c>
      <x:c r="F9" s="26" t="str">
        <x:v>Top-tier period complete-bike context.</x:v>
      </x:c>
      <x:c r="G9" s="26" t="str">
        <x:v>Serial/model details require catalog page.</x:v>
      </x:c>
      <x:c r="H9" s="26" t="str">
        <x:v>Period retailer evidence</x:v>
      </x:c>
      <x:c r="I9" s="26" t="str">
        <x:v>No exact public record recovered.</x:v>
      </x:c>
      <x:c r="J9" s="26" t="str">
        <x:v>'Team' is a model tier, not proof of factory-team use.</x:v>
      </x:c>
      <x:c r="K9" s="26" t="str">
        <x:v>https://previouspage.co.uk/issues/245-august-nineteen-eighty-seven</x:v>
      </x:c>
      <x:c r="L9" s="26" t="str">
        <x:v>PERIOD MODEL</x:v>
      </x:c>
    </x:row>
    <x:row r="10" ht="90" customHeight="1">
      <x:c r="A10" s="26" t="str">
        <x:v>DYNO-MOD-006</x:v>
      </x:c>
      <x:c r="B10" s="26" t="str">
        <x:v>D-Tour / Detour</x:v>
      </x:c>
      <x:c r="C10" s="26" t="str">
        <x:v>1987 and 1991/1998–1999 generations</x:v>
      </x:c>
      <x:c r="D10" s="26" t="str">
        <x:v>Freestyle</x:v>
      </x:c>
      <x:c r="E10" s="26" t="str">
        <x:v>1987 retailer ad uses D-Tour; 1991 and 1998/1999 catalogs use Detour with year-specific geometry/specification.</x:v>
      </x:c>
      <x:c r="F10" s="26" t="str">
        <x:v>1998 Detour catalog describes a full chromoly freestyle frame and GT Pac-Man/dropout/peg system.</x:v>
      </x:c>
      <x:c r="G10" s="26" t="str">
        <x:v>Later SY factory-code guidance appears on catalog reconstruction.</x:v>
      </x:c>
      <x:c r="H10" s="26" t="str">
        <x:v>Period ads + catalog reconstruction</x:v>
      </x:c>
      <x:c r="I10" s="26" t="str">
        <x:v>Exact submitted examples remain comparison targets.</x:v>
      </x:c>
      <x:c r="J10" s="26" t="str">
        <x:v>D-Tour spelling and later Detour generations should not be automatically merged without year evidence.</x:v>
      </x:c>
      <x:c r="K10" s="26" t="str">
        <x:v>https://www.bmx-catalogue.com/dyno/mid-school/1998/detour.html</x:v>
      </x:c>
      <x:c r="L10" s="26" t="str">
        <x:v>CORE FAMILY</x:v>
      </x:c>
    </x:row>
    <x:row r="11" ht="90" customHeight="1">
      <x:c r="A11" s="26" t="str">
        <x:v>DYNO-MOD-007</x:v>
      </x:c>
      <x:c r="B11" s="26" t="str">
        <x:v>VFR</x:v>
      </x:c>
      <x:c r="C11" s="26" t="str">
        <x:v>1987 onward</x:v>
      </x:c>
      <x:c r="D11" s="26" t="str">
        <x:v>All-round/BMX</x:v>
      </x:c>
      <x:c r="E11" s="26" t="str">
        <x:v>1987 retail ad and 1991/1994/1996/1998/1999 catalogs document a long-running value/all-round family.</x:v>
      </x:c>
      <x:c r="F11" s="26" t="str">
        <x:v>1998 VFR uses high-tensile frame/fork with redesigned stays/dropouts and direct-pull brake; year/color variants differ.</x:v>
      </x:c>
      <x:c r="G11" s="26" t="str">
        <x:v>DH or SY-style factory/year/month systems appear in reconstructed pages depending era.</x:v>
      </x:c>
      <x:c r="H11" s="26" t="str">
        <x:v>Catalog reconstruction + exact public backlinks</x:v>
      </x:c>
      <x:c r="I11" s="26" t="str">
        <x:v>IDs 14018, 99615 and other VFR records are recovered; 99615 is publicly identified as a 1998 VFR Afterburner.</x:v>
      </x:c>
      <x:c r="J11" s="26" t="str">
        <x:v>Afterburner is preserved as a 1998 color/finish identification unless stronger model evidence appears.</x:v>
      </x:c>
      <x:c r="K11" s="26" t="str">
        <x:v>https://www.bmx-catalogue.com/dyno/mid-school/1998/vfr.html</x:v>
      </x:c>
      <x:c r="L11" s="26" t="str">
        <x:v>CORE FAMILY</x:v>
      </x:c>
    </x:row>
    <x:row r="12" ht="90" customHeight="1">
      <x:c r="A12" s="26" t="str">
        <x:v>DYNO-MOD-008</x:v>
      </x:c>
      <x:c r="B12" s="26" t="str">
        <x:v>VFR 0.5 / VFR junior sizes</x:v>
      </x:c>
      <x:c r="C12" s="26" t="str">
        <x:v>1991 and later</x:v>
      </x:c>
      <x:c r="D12" s="26" t="str">
        <x:v>Junior/all-round</x:v>
      </x:c>
      <x:c r="E12" s="26" t="str">
        <x:v>1991 and later catalog pages distinguish small-wheel/half-size variants.</x:v>
      </x:c>
      <x:c r="F12" s="26" t="str">
        <x:v>Separate youth model sizing and components.</x:v>
      </x:c>
      <x:c r="G12" s="26" t="str">
        <x:v>Serial guidance follows the relevant factory/year.</x:v>
      </x:c>
      <x:c r="H12" s="26" t="str">
        <x:v>Catalog reconstruction</x:v>
      </x:c>
      <x:c r="I12" s="26" t="str">
        <x:v>No exact public BMXMuseum ID recovered.</x:v>
      </x:c>
      <x:c r="J12" s="26" t="str">
        <x:v>Do not infer adult VFR geometry or parts.</x:v>
      </x:c>
      <x:c r="K12" s="26" t="str">
        <x:v>https://www.bmx-catalogue.com/dyno/mid-school/1991/vfr-0.5.html</x:v>
      </x:c>
      <x:c r="L12" s="26" t="str">
        <x:v>JUNIOR FAMILY</x:v>
      </x:c>
    </x:row>
    <x:row r="13" ht="90" customHeight="1">
      <x:c r="A13" s="26" t="str">
        <x:v>DYNO-MOD-009</x:v>
      </x:c>
      <x:c r="B13" s="26" t="str">
        <x:v>Dinky</x:v>
      </x:c>
      <x:c r="C13" s="26" t="str">
        <x:v>1987–1991 period</x:v>
      </x:c>
      <x:c r="D13" s="26" t="str">
        <x:v>Junior</x:v>
      </x:c>
      <x:c r="E13" s="26" t="str">
        <x:v>1987 retailer ad lists Dinky Dyno 16; 1991 page documents a HI-TEN junior bicycle.</x:v>
      </x:c>
      <x:c r="F13" s="26" t="str">
        <x:v>Youth complete-bike category.</x:v>
      </x:c>
      <x:c r="G13" s="26" t="str">
        <x:v>1991 page presents DH factory/year/month guidance.</x:v>
      </x:c>
      <x:c r="H13" s="26" t="str">
        <x:v>Period ad + catalog reconstruction</x:v>
      </x:c>
      <x:c r="I13" s="26" t="str">
        <x:v>No exact public record recovered.</x:v>
      </x:c>
      <x:c r="J13" s="26" t="str">
        <x:v>Do not interpret as a miniature Compe without catalog evidence.</x:v>
      </x:c>
      <x:c r="K13" s="26" t="str">
        <x:v>https://www.bmx-catalogue.com/dyno/mid-school/1991/dinky.html</x:v>
      </x:c>
      <x:c r="L13" s="26" t="str">
        <x:v>JUNIOR MODEL</x:v>
      </x:c>
    </x:row>
    <x:row r="14" ht="90" customHeight="1">
      <x:c r="A14" s="26" t="str">
        <x:v>DYNO-MOD-010</x:v>
      </x:c>
      <x:c r="B14" s="26" t="str">
        <x:v>Slammer</x:v>
      </x:c>
      <x:c r="C14" s="26" t="str">
        <x:v>1991 onward</x:v>
      </x:c>
      <x:c r="D14" s="26" t="str">
        <x:v>Flatland/freestyle</x:v>
      </x:c>
      <x:c r="E14" s="26" t="str">
        <x:v>1991, 1994, 1996–1999 catalogs document Slammer variants and team relationships.</x:v>
      </x:c>
      <x:c r="F14" s="26" t="str">
        <x:v>Model purpose and frame details vary; 1998 marketing ties flatland geometry to Trevor Meyer-era team use.</x:v>
      </x:c>
      <x:c r="G14" s="26" t="str">
        <x:v>Factory code/year guidance is year specific.</x:v>
      </x:c>
      <x:c r="H14" s="26" t="str">
        <x:v>Catalog reconstruction</x:v>
      </x:c>
      <x:c r="I14" s="26" t="str">
        <x:v>Exact public submissions remain comparison objects.</x:v>
      </x:c>
      <x:c r="J14" s="26" t="str">
        <x:v>Slammer, Slammer Team and frameset are separate catalog objects.</x:v>
      </x:c>
      <x:c r="K14" s="26" t="str">
        <x:v>https://www.bmx-catalogue.com/dyno/mid-school/1991/slammer.html</x:v>
      </x:c>
      <x:c r="L14" s="26" t="str">
        <x:v>CORE FAMILY</x:v>
      </x:c>
    </x:row>
    <x:row r="15" ht="90" customHeight="1">
      <x:c r="A15" s="26" t="str">
        <x:v>DYNO-MOD-011</x:v>
      </x:c>
      <x:c r="B15" s="26" t="str">
        <x:v>Slammer Team / frameset</x:v>
      </x:c>
      <x:c r="C15" s="26" t="str">
        <x:v>1991–1994 period</x:v>
      </x:c>
      <x:c r="D15" s="26" t="str">
        <x:v>Flatland team tier</x:v>
      </x:c>
      <x:c r="E15" s="26" t="str">
        <x:v>1991 and 1994 catalogs separate complete Team and frameset variants.</x:v>
      </x:c>
      <x:c r="F15" s="26" t="str">
        <x:v>Higher-tier/frameset context within the Slammer family.</x:v>
      </x:c>
      <x:c r="G15" s="26" t="str">
        <x:v>Literal serial and model markings required.</x:v>
      </x:c>
      <x:c r="H15" s="26" t="str">
        <x:v>Catalog reconstruction</x:v>
      </x:c>
      <x:c r="I15" s="26" t="str">
        <x:v>No exact public ID recovered.</x:v>
      </x:c>
      <x:c r="J15" s="26" t="str">
        <x:v>Model tier does not prove team use or rider provenance.</x:v>
      </x:c>
      <x:c r="K15" s="26" t="str">
        <x:v>https://www.bmx-catalogue.com/dyno/mid-school/1994/slammer-team-frameset.html</x:v>
      </x:c>
      <x:c r="L15" s="26" t="str">
        <x:v>CATALOG OBJECT</x:v>
      </x:c>
    </x:row>
    <x:row r="16" ht="90" customHeight="1">
      <x:c r="A16" s="26" t="str">
        <x:v>DYNO-MOD-012</x:v>
      </x:c>
      <x:c r="B16" s="26" t="str">
        <x:v>Air</x:v>
      </x:c>
      <x:c r="C16" s="26" t="str">
        <x:v>1994 onward</x:v>
      </x:c>
      <x:c r="D16" s="26" t="str">
        <x:v>Freestyle/flatland</x:v>
      </x:c>
      <x:c r="E16" s="26" t="str">
        <x:v>1994, 1996, 1998 and 1999 catalog reconstruction pages document the Air family.</x:v>
      </x:c>
      <x:c r="F16" s="26" t="str">
        <x:v>Frame material and wheel systems vary; 1999 reconstruction says Air did not appear in the original 1999 GT/Dyno catalog.</x:v>
      </x:c>
      <x:c r="G16" s="26" t="str">
        <x:v>SY-style codes appear on later pages.</x:v>
      </x:c>
      <x:c r="H16" s="26" t="str">
        <x:v>Catalog reconstruction + exact public backlink</x:v>
      </x:c>
      <x:c r="I16" s="26" t="str">
        <x:v>BMXMuseum ID 57517 is publicly cited as a 1997 Dyno Air comparison.</x:v>
      </x:c>
      <x:c r="J16" s="26" t="str">
        <x:v>Catalog absence is not proof of nonproduction; document source conflict explicitly.</x:v>
      </x:c>
      <x:c r="K16" s="26" t="str">
        <x:v>https://www.bmx-catalogue.com/dyno/mid-school/1999/air.html</x:v>
      </x:c>
      <x:c r="L16" s="26" t="str">
        <x:v>CORE FAMILY</x:v>
      </x:c>
    </x:row>
    <x:row r="17" ht="90" customHeight="1">
      <x:c r="A17" s="26" t="str">
        <x:v>DYNO-MOD-013</x:v>
      </x:c>
      <x:c r="B17" s="26" t="str">
        <x:v>Nitro / Nitro 24</x:v>
      </x:c>
      <x:c r="C17" s="26" t="str">
        <x:v>1994 onward</x:v>
      </x:c>
      <x:c r="D17" s="26" t="str">
        <x:v>All-round/cruiser</x:v>
      </x:c>
      <x:c r="E17" s="26" t="str">
        <x:v>1994/1996/1998/1999 catalogs document 20-inch Nitro and later 24-inch versions.</x:v>
      </x:c>
      <x:c r="F17" s="26" t="str">
        <x:v>1994 Nitro uses chromoly main tubes; later years require their own pages.</x:v>
      </x:c>
      <x:c r="G17" s="26" t="str">
        <x:v>SY code common on 1994–1999 reconstructed pages.</x:v>
      </x:c>
      <x:c r="H17" s="26" t="str">
        <x:v>Catalog reconstruction</x:v>
      </x:c>
      <x:c r="I17" s="26" t="str">
        <x:v>No exact public BMXMuseum ID recovered here.</x:v>
      </x:c>
      <x:c r="J17" s="26" t="str">
        <x:v>Do not merge Nitro, Nitro 24 and suspension-fork variants.</x:v>
      </x:c>
      <x:c r="K17" s="26" t="str">
        <x:v>https://www.bmx-catalogue.com/dyno/mid-school/1994/nitro.html</x:v>
      </x:c>
      <x:c r="L17" s="26" t="str">
        <x:v>CORE FAMILY</x:v>
      </x:c>
    </x:row>
    <x:row r="18" ht="90" customHeight="1">
      <x:c r="A18" s="26" t="str">
        <x:v>DYNO-MOD-014</x:v>
      </x:c>
      <x:c r="B18" s="26" t="str">
        <x:v>NSX / NSX CB / NSX FW</x:v>
      </x:c>
      <x:c r="C18" s="26" t="str">
        <x:v>1996 onward</x:v>
      </x:c>
      <x:c r="D18" s="26" t="str">
        <x:v>All-round/value</x:v>
      </x:c>
      <x:c r="E18" s="26" t="str">
        <x:v>1996 catalog separates freewheel/hand-brake and coaster-brake variants.</x:v>
      </x:c>
      <x:c r="F18" s="26" t="str">
        <x:v>HI-TEN frame/fork with year-specific component packages.</x:v>
      </x:c>
      <x:c r="G18" s="26" t="str">
        <x:v>1996 NSX page identifies SY factory/year/month structure.</x:v>
      </x:c>
      <x:c r="H18" s="26" t="str">
        <x:v>Catalog reconstruction</x:v>
      </x:c>
      <x:c r="I18" s="26" t="str">
        <x:v>No exact record recovered in this pass.</x:v>
      </x:c>
      <x:c r="J18" s="26" t="str">
        <x:v>CB and FW are configuration variants that must remain explicit.</x:v>
      </x:c>
      <x:c r="K18" s="26" t="str">
        <x:v>https://www.bmx-catalogue.com/dyno/mid-school/1996/nsx.html</x:v>
      </x:c>
      <x:c r="L18" s="26" t="str">
        <x:v>CORE FAMILY</x:v>
      </x:c>
    </x:row>
    <x:row r="19" ht="90" customHeight="1">
      <x:c r="A19" s="26" t="str">
        <x:v>DYNO-MOD-015</x:v>
      </x:c>
      <x:c r="B19" s="26" t="str">
        <x:v>Sonic</x:v>
      </x:c>
      <x:c r="C19" s="26" t="str">
        <x:v>1996–1997</x:v>
      </x:c>
      <x:c r="D19" s="26" t="str">
        <x:v>Race</x:v>
      </x:c>
      <x:c r="E19" s="26" t="str">
        <x:v>1996/1997 catalogs identify Sonic as Dyno's race model.</x:v>
      </x:c>
      <x:c r="F19" s="26" t="str">
        <x:v>1996 catalog describes a 100% aluminum frame and GT/Dyno component mix.</x:v>
      </x:c>
      <x:c r="G19" s="26" t="str">
        <x:v>SK factory code and lettered month system appear in the reconstructed 1996 page.</x:v>
      </x:c>
      <x:c r="H19" s="26" t="str">
        <x:v>Catalog reconstruction</x:v>
      </x:c>
      <x:c r="I19" s="26" t="str">
        <x:v>No exact public BMXMuseum ID recovered.</x:v>
      </x:c>
      <x:c r="J19" s="26" t="str">
        <x:v>Do not apply SY or DH serial assumptions to Sonic without checking factory code.</x:v>
      </x:c>
      <x:c r="K19" s="26" t="str">
        <x:v>https://www.bmx-catalogue.com/dyno/mid-school/1996/sonic.html</x:v>
      </x:c>
      <x:c r="L19" s="26" t="str">
        <x:v>RACE MODEL</x:v>
      </x:c>
    </x:row>
    <x:row r="20" ht="90" customHeight="1">
      <x:c r="A20" s="26" t="str">
        <x:v>DYNO-MOD-016</x:v>
      </x:c>
      <x:c r="B20" s="26" t="str">
        <x:v>Zone</x:v>
      </x:c>
      <x:c r="C20" s="26" t="str">
        <x:v>1998–1999</x:v>
      </x:c>
      <x:c r="D20" s="26" t="str">
        <x:v>Freestyle/value</x:v>
      </x:c>
      <x:c r="E20" s="26" t="str">
        <x:v>1998/1999 catalogs describe a value freestyle model with thick dropouts, brakes and detangler.</x:v>
      </x:c>
      <x:c r="F20" s="26" t="str">
        <x:v>HI-TEN frame/fork in 1998 catalog page.</x:v>
      </x:c>
      <x:c r="G20" s="26" t="str">
        <x:v>SY year/month guidance appears on the page.</x:v>
      </x:c>
      <x:c r="H20" s="26" t="str">
        <x:v>Catalog reconstruction + exact public backlinks</x:v>
      </x:c>
      <x:c r="I20" s="26" t="str">
        <x:v>IDs 41197, 44038 and 70676 are publicly cited as 1998/1999 Zone comparisons.</x:v>
      </x:c>
      <x:c r="J20" s="26" t="str">
        <x:v>Individual originality and year must be confirmed from serial/catalog details.</x:v>
      </x:c>
      <x:c r="K20" s="26" t="str">
        <x:v>https://www.bmx-catalogue.com/dyno/mid-school/1998/zone.html</x:v>
      </x:c>
      <x:c r="L20" s="26" t="str">
        <x:v>CORE LATE MODEL</x:v>
      </x:c>
    </x:row>
    <x:row r="21" ht="90" customHeight="1">
      <x:c r="A21" s="26" t="str">
        <x:v>DYNO-MOD-017</x:v>
      </x:c>
      <x:c r="B21" s="26" t="str">
        <x:v>XR</x:v>
      </x:c>
      <x:c r="C21" s="26" t="str">
        <x:v>1999 onward</x:v>
      </x:c>
      <x:c r="D21" s="26" t="str">
        <x:v>Dirt/jump</x:v>
      </x:c>
      <x:c r="E21" s="26" t="str">
        <x:v>1999 catalog places XR in the dirt/jump category.</x:v>
      </x:c>
      <x:c r="F21" s="26" t="str">
        <x:v>Purpose and material require exact model page.</x:v>
      </x:c>
      <x:c r="G21" s="26" t="str">
        <x:v>Later factory codes are expected but must be read literally.</x:v>
      </x:c>
      <x:c r="H21" s="26" t="str">
        <x:v>Catalog reconstruction</x:v>
      </x:c>
      <x:c r="I21" s="26" t="str">
        <x:v>Public search results expose BMXMuseum XR imagery/records but no reliable exact ID was added here.</x:v>
      </x:c>
      <x:c r="J21" s="26" t="str">
        <x:v>Do not merge with GT Fueler or freestyle models.</x:v>
      </x:c>
      <x:c r="K21" s="26" t="str">
        <x:v>https://www.bmx-catalogue.com/dyno/mid-school/1999/model.html</x:v>
      </x:c>
      <x:c r="L21" s="26" t="str">
        <x:v>CATALOG FAMILY</x:v>
      </x:c>
    </x:row>
    <x:row r="22" ht="90" customHeight="1">
      <x:c r="A22" s="26" t="str">
        <x:v>DYNO-MOD-018</x:v>
      </x:c>
      <x:c r="B22" s="26" t="str">
        <x:v>Blaze</x:v>
      </x:c>
      <x:c r="C22" s="26" t="str">
        <x:v>1994 onward</x:v>
      </x:c>
      <x:c r="D22" s="26" t="str">
        <x:v>Junior</x:v>
      </x:c>
      <x:c r="E22" s="26" t="str">
        <x:v>1994/1996/1997 catalogs list Blaze in junior category.</x:v>
      </x:c>
      <x:c r="F22" s="26" t="str">
        <x:v>Youth complete-bike line.</x:v>
      </x:c>
      <x:c r="G22" s="26" t="str">
        <x:v>Factory/year code depends on model year.</x:v>
      </x:c>
      <x:c r="H22" s="26" t="str">
        <x:v>Catalog reconstruction</x:v>
      </x:c>
      <x:c r="I22" s="26" t="str">
        <x:v>No exact public record recovered.</x:v>
      </x:c>
      <x:c r="J22" s="26" t="str">
        <x:v>Separate from Dinky and VFR 12/16 families.</x:v>
      </x:c>
      <x:c r="K22" s="26" t="str">
        <x:v>https://www.bmx-catalogue.com/dyno/mid-school/1994/blaze.html</x:v>
      </x:c>
      <x:c r="L22" s="26" t="str">
        <x:v>JUNIOR FAMILY</x:v>
      </x:c>
    </x:row>
    <x:row r="23" ht="90" customHeight="1">
      <x:c r="A23" s="26" t="str">
        <x:v>DYNO-MOD-019</x:v>
      </x:c>
      <x:c r="B23" s="26" t="str">
        <x:v>Modern Dyno Pro Compe</x:v>
      </x:c>
      <x:c r="C23" s="26" t="str">
        <x:v>Current</x:v>
      </x:c>
      <x:c r="D23" s="26" t="str">
        <x:v>Big-wheel heritage</x:v>
      </x:c>
      <x:c r="E23" s="26" t="str">
        <x:v>GT currently markets an '87-inspired Dyno Pro Compe tribute.</x:v>
      </x:c>
      <x:c r="F23" s="26" t="str">
        <x:v>Modern heritage construction and sizing.</x:v>
      </x:c>
      <x:c r="G23" s="26" t="str">
        <x:v>Modern serial and parts have no historical-authentication role.</x:v>
      </x:c>
      <x:c r="H23" s="26" t="str">
        <x:v>Current official GT</x:v>
      </x:c>
      <x:c r="I23" s="26" t="str">
        <x:v>No historical BMXMuseum claim.</x:v>
      </x:c>
      <x:c r="J23" s="26" t="str">
        <x:v>Always label modern/reissue.</x:v>
      </x:c>
      <x:c r="K23" s="26" t="str">
        <x:v>https://gtbicycles.com/pages/big-wheel-bmx</x:v>
      </x:c>
      <x:c r="L23" s="26" t="str">
        <x:v>MODERN SEPARATE</x:v>
      </x:c>
    </x:row>
  </x:sheetData>
  <x:mergeCells>
    <x:mergeCell ref="A1:L1"/>
    <x:mergeCell ref="A2:L2"/>
  </x:mergeCells>
  <x:pageMargins left="0.7" right="0.7" top="0.75" bottom="0.75" header="0.3" footer="0.3"/>
  <x:tableParts count="1">
    <x:tablePart xmlns:r="http://schemas.openxmlformats.org/officeDocument/2006/relationships" r:id="Rf127f08cf21c41ca"/>
  </x:tableParts>
</x:worksheet>
</file>

<file path=xl/worksheets/sheet106.xml><?xml version="1.0" encoding="utf-8"?>
<x:worksheet xmlns:x="http://schemas.openxmlformats.org/spreadsheetml/2006/main">
  <x:sheetFormatPr defaultRowHeight="15"/>
  <x:cols>
    <x:col min="1" max="1" width="15" hidden="0" customWidth="1"/>
    <x:col min="2" max="2" width="14" hidden="0" customWidth="1"/>
    <x:col min="3" max="3" width="14" hidden="0" customWidth="1"/>
    <x:col min="4" max="4" width="38" hidden="0" customWidth="1"/>
    <x:col min="5" max="5" width="25" hidden="0" customWidth="1"/>
    <x:col min="6" max="6" width="58" hidden="0" customWidth="1"/>
    <x:col min="7" max="7" width="34" hidden="0" customWidth="1"/>
    <x:col min="8" max="8" width="40" hidden="0" customWidth="1"/>
    <x:col min="9" max="9" width="42" hidden="0" customWidth="1"/>
    <x:col min="10" max="10" width="48" hidden="0" customWidth="1"/>
    <x:col min="11" max="11" width="62" hidden="0" customWidth="1"/>
    <x:col min="12" max="12" width="24" hidden="0" customWidth="1"/>
  </x:cols>
  <x:sheetData>
    <x:row r="1" ht="31" customHeight="1">
      <x:c r="A1" s="600" t="str">
        <x:v>GT and Dyno Catalog Coverage Matrix</x:v>
      </x:c>
      <x:c r="B1" s="600"/>
      <x:c r="C1" s="600"/>
      <x:c r="D1" s="600"/>
      <x:c r="E1" s="600"/>
      <x:c r="F1" s="600"/>
      <x:c r="G1" s="600"/>
      <x:c r="H1" s="600"/>
      <x:c r="I1" s="600"/>
      <x:c r="J1" s="600"/>
      <x:c r="K1" s="600"/>
      <x:c r="L1" s="600"/>
    </x:row>
    <x:row r="2" ht="31" customHeight="1">
      <x:c r="A2" s="605" t="str">
        <x:v>Catalog-controlled means the source establishes a model-year structure. It does not mean this workbook owns the scans, proves every market edition or authenticates a surviving bicycle.</x:v>
      </x:c>
      <x:c r="B2" s="605"/>
      <x:c r="C2" s="605"/>
      <x:c r="D2" s="605"/>
      <x:c r="E2" s="605"/>
      <x:c r="F2" s="605"/>
      <x:c r="G2" s="605"/>
      <x:c r="H2" s="605"/>
      <x:c r="I2" s="605"/>
      <x:c r="J2" s="605"/>
      <x:c r="K2" s="605"/>
      <x:c r="L2" s="605"/>
    </x:row>
    <x:row r="4">
      <x:c r="A4" s="610" t="str">
        <x:v>Catalog ID</x:v>
      </x:c>
      <x:c r="B4" s="610" t="str">
        <x:v>Brand</x:v>
      </x:c>
      <x:c r="C4" s="610" t="str">
        <x:v>Model Year</x:v>
      </x:c>
      <x:c r="D4" s="610" t="str">
        <x:v>Catalog / Source Object</x:v>
      </x:c>
      <x:c r="E4" s="610" t="str">
        <x:v>Model Count / Coverage</x:v>
      </x:c>
      <x:c r="F4" s="610" t="str">
        <x:v>Recovered Model Structure</x:v>
      </x:c>
      <x:c r="G4" s="610" t="str">
        <x:v>Source Class</x:v>
      </x:c>
      <x:c r="H4" s="610" t="str">
        <x:v>BMXMuseum Status</x:v>
      </x:c>
      <x:c r="I4" s="610" t="str">
        <x:v>Rights / Use</x:v>
      </x:c>
      <x:c r="J4" s="610" t="str">
        <x:v>Key Limitation</x:v>
      </x:c>
      <x:c r="K4" s="610" t="str">
        <x:v>Source URL</x:v>
      </x:c>
      <x:c r="L4" s="610" t="str">
        <x:v>Status</x:v>
      </x:c>
    </x:row>
    <x:row r="5" ht="88" customHeight="1">
      <x:c r="A5" s="26" t="str">
        <x:v>GTD-CAT-001</x:v>
      </x:c>
      <x:c r="B5" s="26" t="str">
        <x:v>GT</x:v>
      </x:c>
      <x:c r="C5" s="26" t="str">
        <x:v>1981</x:v>
      </x:c>
      <x:c r="D5" s="26" t="str">
        <x:v>Reconstructed 1981 GT catalog</x:v>
      </x:c>
      <x:c r="E5" s="26" t="str">
        <x:v>8 models in archive index</x:v>
      </x:c>
      <x:c r="F5" s="26" t="str">
        <x:v>Early GT race/complete-bike lineup; full model list needs page-level recovery.</x:v>
      </x:c>
      <x:c r="G5" s="26" t="str">
        <x:v>Catalog reconstruction from original material</x:v>
      </x:c>
      <x:c r="H5" s="26" t="str">
        <x:v>Independent of BMXMuseum</x:v>
      </x:c>
      <x:c r="I5" s="26" t="str">
        <x:v>Index and paraphrase factual specifications; do not republish images.</x:v>
      </x:c>
      <x:c r="J5" s="26" t="str">
        <x:v>Current GT official archive does not expose this year.</x:v>
      </x:c>
      <x:c r="K5" s="26" t="str">
        <x:v>https://www.bmx-catalogue.com/gt/year.html</x:v>
      </x:c>
      <x:c r="L5" s="26" t="str">
        <x:v>PARTIAL</x:v>
      </x:c>
    </x:row>
    <x:row r="6" ht="88" customHeight="1">
      <x:c r="A6" s="26" t="str">
        <x:v>GTD-CAT-002</x:v>
      </x:c>
      <x:c r="B6" s="26" t="str">
        <x:v>GT</x:v>
      </x:c>
      <x:c r="C6" s="26" t="str">
        <x:v>1986</x:v>
      </x:c>
      <x:c r="D6" s="26" t="str">
        <x:v>Reconstructed 1986 GT catalog</x:v>
      </x:c>
      <x:c r="E6" s="26" t="str">
        <x:v>6 models</x:v>
      </x:c>
      <x:c r="F6" s="26" t="str">
        <x:v>Includes Performer/Pro Performer and Pro Series-era models.</x:v>
      </x:c>
      <x:c r="G6" s="26" t="str">
        <x:v>Catalog reconstruction from original material</x:v>
      </x:c>
      <x:c r="H6" s="26" t="str">
        <x:v>Independent</x:v>
      </x:c>
      <x:c r="I6" s="26" t="str">
        <x:v>Factual indexing only.</x:v>
      </x:c>
      <x:c r="J6" s="26" t="str">
        <x:v>Exact original catalog pagination and market edition remain open.</x:v>
      </x:c>
      <x:c r="K6" s="26" t="str">
        <x:v>https://www.bmx-catalogue.com/gt/old-school/1986/pro-series.html</x:v>
      </x:c>
      <x:c r="L6" s="26" t="str">
        <x:v>PARTIAL</x:v>
      </x:c>
    </x:row>
    <x:row r="7" ht="88" customHeight="1">
      <x:c r="A7" s="26" t="str">
        <x:v>GTD-CAT-003</x:v>
      </x:c>
      <x:c r="B7" s="26" t="str">
        <x:v>GT</x:v>
      </x:c>
      <x:c r="C7" s="26" t="str">
        <x:v>1987</x:v>
      </x:c>
      <x:c r="D7" s="26" t="str">
        <x:v>Reconstructed 1987 GT catalog</x:v>
      </x:c>
      <x:c r="E7" s="26" t="str">
        <x:v>10 models</x:v>
      </x:c>
      <x:c r="F7" s="26" t="str">
        <x:v>Freestyle: Jr Performer, Performer, Pro Freestyle Tour, Team, Pro Performer; Race: Mach One, Pro Series, Team; scooters.</x:v>
      </x:c>
      <x:c r="G7" s="26" t="str">
        <x:v>Catalog reconstruction from original material</x:v>
      </x:c>
      <x:c r="H7" s="26" t="str">
        <x:v>Independent</x:v>
      </x:c>
      <x:c r="I7" s="26" t="str">
        <x:v>Factual indexing only.</x:v>
      </x:c>
      <x:c r="J7" s="26" t="str">
        <x:v>Market/edition and every page not preserved in this workbook.</x:v>
      </x:c>
      <x:c r="K7" s="26" t="str">
        <x:v>https://www.bmx-catalogue.com/gt/old-school/1987/model.html</x:v>
      </x:c>
      <x:c r="L7" s="26" t="str">
        <x:v>STRONG STRUCTURE</x:v>
      </x:c>
    </x:row>
    <x:row r="8" ht="88" customHeight="1">
      <x:c r="A8" s="26" t="str">
        <x:v>GTD-CAT-004</x:v>
      </x:c>
      <x:c r="B8" s="26" t="str">
        <x:v>GT</x:v>
      </x:c>
      <x:c r="C8" s="26" t="str">
        <x:v>1988</x:v>
      </x:c>
      <x:c r="D8" s="26" t="str">
        <x:v>Reconstructed 1988 GT catalog</x:v>
      </x:c>
      <x:c r="E8" s="26" t="str">
        <x:v>10 models</x:v>
      </x:c>
      <x:c r="F8" s="26" t="str">
        <x:v>Continues Performer, Pro Performer, Pro Freestyle Tour/Team and race families.</x:v>
      </x:c>
      <x:c r="G8" s="26" t="str">
        <x:v>Catalog reconstruction from original material</x:v>
      </x:c>
      <x:c r="H8" s="26" t="str">
        <x:v>Independent</x:v>
      </x:c>
      <x:c r="I8" s="26" t="str">
        <x:v>Factual indexing only.</x:v>
      </x:c>
      <x:c r="J8" s="26" t="str">
        <x:v>Model features changed from 1987 despite similar names.</x:v>
      </x:c>
      <x:c r="K8" s="26" t="str">
        <x:v>https://www.bmx-catalogue.com/gt/old-school/1988/pro-performer.html</x:v>
      </x:c>
      <x:c r="L8" s="26" t="str">
        <x:v>PARTIAL</x:v>
      </x:c>
    </x:row>
    <x:row r="9" ht="88" customHeight="1">
      <x:c r="A9" s="26" t="str">
        <x:v>GTD-CAT-005</x:v>
      </x:c>
      <x:c r="B9" s="26" t="str">
        <x:v>GT</x:v>
      </x:c>
      <x:c r="C9" s="26" t="str">
        <x:v>1994</x:v>
      </x:c>
      <x:c r="D9" s="26" t="str">
        <x:v>Reconstructed 1994 GT catalog</x:v>
      </x:c>
      <x:c r="E9" s="26" t="str">
        <x:v>13 models</x:v>
      </x:c>
      <x:c r="F9" s="26" t="str">
        <x:v>Includes Performer, Pro Freestyle Tour, Team and Vertigo families.</x:v>
      </x:c>
      <x:c r="G9" s="26" t="str">
        <x:v>Catalog reconstruction from original material</x:v>
      </x:c>
      <x:c r="H9" s="26" t="str">
        <x:v>Independent</x:v>
      </x:c>
      <x:c r="I9" s="26" t="str">
        <x:v>Factual indexing only.</x:v>
      </x:c>
      <x:c r="J9" s="26" t="str">
        <x:v>Only category/model structure captured in this release.</x:v>
      </x:c>
      <x:c r="K9" s="26" t="str">
        <x:v>https://www.bmx-catalogue.com/gt/mid-school/1994/model.html</x:v>
      </x:c>
      <x:c r="L9" s="26" t="str">
        <x:v>STRUCTURE</x:v>
      </x:c>
    </x:row>
    <x:row r="10" ht="88" customHeight="1">
      <x:c r="A10" s="26" t="str">
        <x:v>GTD-CAT-006</x:v>
      </x:c>
      <x:c r="B10" s="26" t="str">
        <x:v>GT</x:v>
      </x:c>
      <x:c r="C10" s="26" t="str">
        <x:v>1996</x:v>
      </x:c>
      <x:c r="D10" s="26" t="str">
        <x:v>Reconstructed 1996 GT BMX catalog</x:v>
      </x:c>
      <x:c r="E10" s="26" t="str">
        <x:v>15 models</x:v>
      </x:c>
      <x:c r="F10" s="26" t="str">
        <x:v>Freestyle 4; Dirt/Jump 1; Race 10 including Pro Series, Speed Series and team tiers.</x:v>
      </x:c>
      <x:c r="G10" s="26" t="str">
        <x:v>Catalog reconstruction from original material</x:v>
      </x:c>
      <x:c r="H10" s="26" t="str">
        <x:v>BMXMuseum title indexed; exact reference ID unresolved; forum ID 7531 publicly cited as a GT 1996 catalog discussion.</x:v>
      </x:c>
      <x:c r="I10" s="26" t="str">
        <x:v>Index metadata/specifications; no scan copying.</x:v>
      </x:c>
      <x:c r="J10" s="26" t="str">
        <x:v>BMXMuseum reference and forum object must not be merged without proof.</x:v>
      </x:c>
      <x:c r="K10" s="26" t="str">
        <x:v>https://www.bmx-catalogue.com/gt/mid-school/1996/model.html</x:v>
      </x:c>
      <x:c r="L10" s="26" t="str">
        <x:v>STRONG STRUCTURE</x:v>
      </x:c>
    </x:row>
    <x:row r="11" ht="88" customHeight="1">
      <x:c r="A11" s="26" t="str">
        <x:v>GTD-CAT-007</x:v>
      </x:c>
      <x:c r="B11" s="26" t="str">
        <x:v>GT/Dyno</x:v>
      </x:c>
      <x:c r="C11" s="26" t="str">
        <x:v>1992</x:v>
      </x:c>
      <x:c r="D11" s="26" t="str">
        <x:v>1992 GT/Dyno Product Catalog</x:v>
      </x:c>
      <x:c r="E11" s="26" t="str">
        <x:v>Title and two price-bearing pages exposed</x:v>
      </x:c>
      <x:c r="F11" s="26" t="str">
        <x:v>At least GT Interceptor $259 and an unidentified blue bicycle $319 in indexed pages.</x:v>
      </x:c>
      <x:c r="G11" s="26" t="str">
        <x:v>BMXMuseum-indexed title + third-party image index</x:v>
      </x:c>
      <x:c r="H11" s="26" t="str">
        <x:v>Exact BMXMuseum reference ID unresolved</x:v>
      </x:c>
      <x:c r="I11" s="26" t="str">
        <x:v>Metadata and clearly labeled price fields only.</x:v>
      </x:c>
      <x:c r="J11" s="26" t="str">
        <x:v>Currency, market, page number and $319 model unresolved.</x:v>
      </x:c>
      <x:c r="K11" s="26" t="str">
        <x:v>https://in.pinterest.com/pin/1011550766308215575/</x:v>
      </x:c>
      <x:c r="L11" s="26" t="str">
        <x:v>OPEN</x:v>
      </x:c>
    </x:row>
    <x:row r="12" ht="88" customHeight="1">
      <x:c r="A12" s="26" t="str">
        <x:v>GTD-CAT-008</x:v>
      </x:c>
      <x:c r="B12" s="26" t="str">
        <x:v>GT/Dyno</x:v>
      </x:c>
      <x:c r="C12" s="26" t="str">
        <x:v>1996</x:v>
      </x:c>
      <x:c r="D12" s="26" t="str">
        <x:v>The BMX &amp; Freestyle Catalog</x:v>
      </x:c>
      <x:c r="E12" s="26" t="str">
        <x:v>Public title; resale lead describes 22 pages</x:v>
      </x:c>
      <x:c r="F12" s="26" t="str">
        <x:v>GT and Dyno model architecture for 1996.</x:v>
      </x:c>
      <x:c r="G12" s="26" t="str">
        <x:v>BMXMuseum-indexed title + independent catalog reconstruction</x:v>
      </x:c>
      <x:c r="H12" s="26" t="str">
        <x:v>Exact BMXMuseum reference unresolved; public external post cites forum 7531.</x:v>
      </x:c>
      <x:c r="I12" s="26" t="str">
        <x:v>Do not copy scans.</x:v>
      </x:c>
      <x:c r="J12" s="26" t="str">
        <x:v>Page count and edition need direct bibliographic comparison.</x:v>
      </x:c>
      <x:c r="K12" s="26" t="str">
        <x:v>https://www.pinterest.com/pin/bmxmuseumcom-reference-1996-gtdyno-the-bmx-freestyle-catalog--491877590560035755/</x:v>
      </x:c>
      <x:c r="L12" s="26" t="str">
        <x:v>OPEN</x:v>
      </x:c>
    </x:row>
    <x:row r="13" ht="88" customHeight="1">
      <x:c r="A13" s="26" t="str">
        <x:v>GTD-CAT-009</x:v>
      </x:c>
      <x:c r="B13" s="26" t="str">
        <x:v>GT/Dyno</x:v>
      </x:c>
      <x:c r="C13" s="26" t="str">
        <x:v>1999</x:v>
      </x:c>
      <x:c r="D13" s="26" t="str">
        <x:v>GT/Dyno BMX/Freestyle catalog, Part 2</x:v>
      </x:c>
      <x:c r="E13" s="26" t="str">
        <x:v>Part-title exposed; physical catalog listings corroborate existence</x:v>
      </x:c>
      <x:c r="F13" s="26" t="str">
        <x:v>Late-1990s GT/Dyno lineup including Performer/VFR-era products.</x:v>
      </x:c>
      <x:c r="G13" s="26" t="str">
        <x:v>BMXMuseum-indexed title + public physical catalog listings</x:v>
      </x:c>
      <x:c r="H13" s="26" t="str">
        <x:v>Exact reference ID and Part 1 unresolved</x:v>
      </x:c>
      <x:c r="I13" s="26" t="str">
        <x:v>Bibliographic facts only; no copied scans.</x:v>
      </x:c>
      <x:c r="J13" s="26" t="str">
        <x:v>BMX Catalogue notes at least one 1999 Dyno model may not appear in original catalog.</x:v>
      </x:c>
      <x:c r="K13" s="26" t="str">
        <x:v>https://www.pinterest.com/pin/bmxmuseumcom-reference-1999-gtdyno-bmxfreestyle-part-2-in-2025--798192733998105769/</x:v>
      </x:c>
      <x:c r="L13" s="26" t="str">
        <x:v>OPEN</x:v>
      </x:c>
    </x:row>
    <x:row r="14" ht="88" customHeight="1">
      <x:c r="A14" s="26" t="str">
        <x:v>GTD-CAT-010</x:v>
      </x:c>
      <x:c r="B14" s="26" t="str">
        <x:v>Dyno</x:v>
      </x:c>
      <x:c r="C14" s="26" t="str">
        <x:v>1991</x:v>
      </x:c>
      <x:c r="D14" s="26" t="str">
        <x:v>Reconstructed 1991 Dyno catalog</x:v>
      </x:c>
      <x:c r="E14" s="26" t="str">
        <x:v>7 models in archive index</x:v>
      </x:c>
      <x:c r="F14" s="26" t="str">
        <x:v>Known pages include Dinky, Compe, Detour, Slammer, Slammer Team, VFR and VFR 0.5.</x:v>
      </x:c>
      <x:c r="G14" s="26" t="str">
        <x:v>Catalog reconstruction from original material</x:v>
      </x:c>
      <x:c r="H14" s="26" t="str">
        <x:v>Independent</x:v>
      </x:c>
      <x:c r="I14" s="26" t="str">
        <x:v>Factual indexing only.</x:v>
      </x:c>
      <x:c r="J14" s="26" t="str">
        <x:v>Full page/edition audit remains open.</x:v>
      </x:c>
      <x:c r="K14" s="26" t="str">
        <x:v>https://www.bmx-catalogue.com/dyno/mid-school/1991/model.html</x:v>
      </x:c>
      <x:c r="L14" s="26" t="str">
        <x:v>STRONG STRUCTURE</x:v>
      </x:c>
    </x:row>
    <x:row r="15" ht="88" customHeight="1">
      <x:c r="A15" s="26" t="str">
        <x:v>GTD-CAT-011</x:v>
      </x:c>
      <x:c r="B15" s="26" t="str">
        <x:v>Dyno</x:v>
      </x:c>
      <x:c r="C15" s="26" t="str">
        <x:v>1994</x:v>
      </x:c>
      <x:c r="D15" s="26" t="str">
        <x:v>Reconstructed 1994 Dyno catalog</x:v>
      </x:c>
      <x:c r="E15" s="26" t="str">
        <x:v>11 models</x:v>
      </x:c>
      <x:c r="F15" s="26" t="str">
        <x:v>Freestyle: Air, Compe, Slammer, Team/frameset; All-round: Blast, Nitro variants, VFR variants; Junior: Blaze.</x:v>
      </x:c>
      <x:c r="G15" s="26" t="str">
        <x:v>Catalog reconstruction from original material</x:v>
      </x:c>
      <x:c r="H15" s="26" t="str">
        <x:v>Independent</x:v>
      </x:c>
      <x:c r="I15" s="26" t="str">
        <x:v>Factual indexing only.</x:v>
      </x:c>
      <x:c r="J15" s="26" t="str">
        <x:v>Country/market edition remains open.</x:v>
      </x:c>
      <x:c r="K15" s="26" t="str">
        <x:v>https://www.bmx-catalogue.com/dyno/mid-school/1994/model.html</x:v>
      </x:c>
      <x:c r="L15" s="26" t="str">
        <x:v>STRONG STRUCTURE</x:v>
      </x:c>
    </x:row>
    <x:row r="16" ht="88" customHeight="1">
      <x:c r="A16" s="26" t="str">
        <x:v>GTD-CAT-012</x:v>
      </x:c>
      <x:c r="B16" s="26" t="str">
        <x:v>Dyno</x:v>
      </x:c>
      <x:c r="C16" s="26" t="str">
        <x:v>1996</x:v>
      </x:c>
      <x:c r="D16" s="26" t="str">
        <x:v>Reconstructed 1996 Dyno catalog</x:v>
      </x:c>
      <x:c r="E16" s="26" t="str">
        <x:v>10 models</x:v>
      </x:c>
      <x:c r="F16" s="26" t="str">
        <x:v>Freestyle 3; Race Sonic; All-round Nitro/Nitro 24/NSX variants/VFR; Junior Blaze.</x:v>
      </x:c>
      <x:c r="G16" s="26" t="str">
        <x:v>Catalog reconstruction from original material</x:v>
      </x:c>
      <x:c r="H16" s="26" t="str">
        <x:v>Part of unresolved BMXMuseum GT/Dyno catalog ecosystem</x:v>
      </x:c>
      <x:c r="I16" s="26" t="str">
        <x:v>Factual indexing only.</x:v>
      </x:c>
      <x:c r="J16" s="26" t="str">
        <x:v>Factory codes differ by model; no universal serial rule.</x:v>
      </x:c>
      <x:c r="K16" s="26" t="str">
        <x:v>https://www.bmx-catalogue.com/dyno/mid-school/1996/model.html</x:v>
      </x:c>
      <x:c r="L16" s="26" t="str">
        <x:v>STRONG STRUCTURE</x:v>
      </x:c>
    </x:row>
    <x:row r="17" ht="88" customHeight="1">
      <x:c r="A17" s="26" t="str">
        <x:v>GTD-CAT-013</x:v>
      </x:c>
      <x:c r="B17" s="26" t="str">
        <x:v>Dyno</x:v>
      </x:c>
      <x:c r="C17" s="26" t="str">
        <x:v>1997</x:v>
      </x:c>
      <x:c r="D17" s="26" t="str">
        <x:v>Reconstructed 1997 Dyno catalog</x:v>
      </x:c>
      <x:c r="E17" s="26" t="str">
        <x:v>12 models</x:v>
      </x:c>
      <x:c r="F17" s="26" t="str">
        <x:v>Adds VFR 12 and VFR 16 to the 1996-style range.</x:v>
      </x:c>
      <x:c r="G17" s="26" t="str">
        <x:v>Catalog reconstruction from original material</x:v>
      </x:c>
      <x:c r="H17" s="26" t="str">
        <x:v>Independent</x:v>
      </x:c>
      <x:c r="I17" s="26" t="str">
        <x:v>Factual indexing only.</x:v>
      </x:c>
      <x:c r="J17" s="26" t="str">
        <x:v>Exact original catalog pagination open.</x:v>
      </x:c>
      <x:c r="K17" s="26" t="str">
        <x:v>https://bmx-catalogue.com/dyno/mid-school/1997/model.html</x:v>
      </x:c>
      <x:c r="L17" s="26" t="str">
        <x:v>STRUCTURE</x:v>
      </x:c>
    </x:row>
    <x:row r="18" ht="88" customHeight="1">
      <x:c r="A18" s="26" t="str">
        <x:v>GTD-CAT-014</x:v>
      </x:c>
      <x:c r="B18" s="26" t="str">
        <x:v>Dyno</x:v>
      </x:c>
      <x:c r="C18" s="26" t="str">
        <x:v>1998</x:v>
      </x:c>
      <x:c r="D18" s="26" t="str">
        <x:v>Reconstructed 1998 Dyno catalog</x:v>
      </x:c>
      <x:c r="E18" s="26" t="str">
        <x:v>13 models in archive index</x:v>
      </x:c>
      <x:c r="F18" s="26" t="str">
        <x:v>Team presentation plus redesigned VFR/NSX/Nitro family and Zone/Detour era.</x:v>
      </x:c>
      <x:c r="G18" s="26" t="str">
        <x:v>Catalog reconstruction from original material</x:v>
      </x:c>
      <x:c r="H18" s="26" t="str">
        <x:v>Independent</x:v>
      </x:c>
      <x:c r="I18" s="26" t="str">
        <x:v>Factual indexing only.</x:v>
      </x:c>
      <x:c r="J18" s="26" t="str">
        <x:v>Archive index excerpt does not expose complete categorized list in one page.</x:v>
      </x:c>
      <x:c r="K18" s="26" t="str">
        <x:v>https://www.bmx-catalogue.com/dyno/mid-school/1998/model.html</x:v>
      </x:c>
      <x:c r="L18" s="26" t="str">
        <x:v>STRONG CONTEXT</x:v>
      </x:c>
    </x:row>
    <x:row r="19" ht="88" customHeight="1">
      <x:c r="A19" s="26" t="str">
        <x:v>GTD-CAT-015</x:v>
      </x:c>
      <x:c r="B19" s="26" t="str">
        <x:v>Dyno</x:v>
      </x:c>
      <x:c r="C19" s="26" t="str">
        <x:v>1999</x:v>
      </x:c>
      <x:c r="D19" s="26" t="str">
        <x:v>Reconstructed 1999 Dyno catalog</x:v>
      </x:c>
      <x:c r="E19" s="26" t="str">
        <x:v>12 models</x:v>
      </x:c>
      <x:c r="F19" s="26" t="str">
        <x:v>Freestyle Air/Compe/Detour/Slammer/Zone; Dirt XR; all-round Nitro/NSX/VFR; junior Blaze.</x:v>
      </x:c>
      <x:c r="G19" s="26" t="str">
        <x:v>Catalog reconstruction from original material</x:v>
      </x:c>
      <x:c r="H19" s="26" t="str">
        <x:v>BMXMuseum Part 2 title unresolved</x:v>
      </x:c>
      <x:c r="I19" s="26" t="str">
        <x:v>Factual indexing only.</x:v>
      </x:c>
      <x:c r="J19" s="26" t="str">
        <x:v>The reconstruction states Air was not in the original catalog, creating a controlled conflict.</x:v>
      </x:c>
      <x:c r="K19" s="26" t="str">
        <x:v>https://www.bmx-catalogue.com/dyno/mid-school/1999/model.html</x:v>
      </x:c>
      <x:c r="L19" s="26" t="str">
        <x:v>STRONG STRUCTURE / CONFLICT</x:v>
      </x:c>
    </x:row>
    <x:row r="20" ht="88" customHeight="1">
      <x:c r="A20" s="26" t="str">
        <x:v>GTD-CAT-016</x:v>
      </x:c>
      <x:c r="B20" s="26" t="str">
        <x:v>GT</x:v>
      </x:c>
      <x:c r="C20" s="26" t="str">
        <x:v>2016–2021</x:v>
      </x:c>
      <x:c r="D20" s="26" t="str">
        <x:v>Current official GT catalog archive</x:v>
      </x:c>
      <x:c r="E20" s="26" t="str">
        <x:v>Modern catalogs only</x:v>
      </x:c>
      <x:c r="F20" s="26" t="str">
        <x:v>Official support page includes a 2016 BMX catalog and later global catalogs.</x:v>
      </x:c>
      <x:c r="G20" s="26" t="str">
        <x:v>Current first-party official</x:v>
      </x:c>
      <x:c r="H20" s="26" t="str">
        <x:v>Not a BMXMuseum object</x:v>
      </x:c>
      <x:c r="I20" s="26" t="str">
        <x:v>Use official documents under normal citation; no historical extrapolation.</x:v>
      </x:c>
      <x:c r="J20" s="26" t="str">
        <x:v>Does not solve 1980s–1990s historical catalog coverage.</x:v>
      </x:c>
      <x:c r="K20" s="26" t="str">
        <x:v>https://gtbicycles.com/pages/catalogs</x:v>
      </x:c>
      <x:c r="L20" s="26" t="str">
        <x:v>OFFICIAL MODERN</x:v>
      </x:c>
    </x:row>
  </x:sheetData>
  <x:mergeCells>
    <x:mergeCell ref="A1:L1"/>
    <x:mergeCell ref="A2:L2"/>
  </x:mergeCells>
  <x:pageMargins left="0.7" right="0.7" top="0.75" bottom="0.75" header="0.3" footer="0.3"/>
  <x:tableParts count="1">
    <x:tablePart xmlns:r="http://schemas.openxmlformats.org/officeDocument/2006/relationships" r:id="Rcca737ca7a884281"/>
  </x:tableParts>
</x:worksheet>
</file>

<file path=xl/worksheets/sheet107.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0" hidden="0" customWidth="1"/>
    <x:col min="5" max="5" width="48" hidden="0" customWidth="1"/>
    <x:col min="6" max="6" width="31" hidden="0" customWidth="1"/>
    <x:col min="7" max="7" width="22" hidden="0" customWidth="1"/>
    <x:col min="8" max="8" width="52" hidden="0" customWidth="1"/>
    <x:col min="9" max="9" width="52" hidden="0" customWidth="1"/>
    <x:col min="10" max="10" width="60" hidden="0" customWidth="1"/>
  </x:cols>
  <x:sheetData>
    <x:row r="1" ht="31" customHeight="1">
      <x:c r="A1" s="600" t="str">
        <x:v>GT and Dyno Serial, Factory and Model-Year Rules</x:v>
      </x:c>
      <x:c r="B1" s="600"/>
      <x:c r="C1" s="600"/>
      <x:c r="D1" s="600"/>
      <x:c r="E1" s="600"/>
      <x:c r="F1" s="600"/>
      <x:c r="G1" s="600"/>
      <x:c r="H1" s="600"/>
      <x:c r="I1" s="600"/>
      <x:c r="J1" s="600"/>
    </x:row>
    <x:row r="2" ht="31" customHeight="1">
      <x:c r="A2" s="605" t="str">
        <x:v>Factory code and year-page matching control interpretation. No single GT or Dyno serial formula applies across all decades, factories and models.</x:v>
      </x:c>
      <x:c r="B2" s="605"/>
      <x:c r="C2" s="605"/>
      <x:c r="D2" s="605"/>
      <x:c r="E2" s="605"/>
      <x:c r="F2" s="605"/>
      <x:c r="G2" s="605"/>
      <x:c r="H2" s="605"/>
      <x:c r="I2" s="605"/>
      <x:c r="J2" s="605"/>
    </x:row>
    <x:row r="4">
      <x:c r="A4" s="610" t="str">
        <x:v>Rule ID</x:v>
      </x:c>
      <x:c r="B4" s="610" t="str">
        <x:v>Brand / Factory</x:v>
      </x:c>
      <x:c r="C4" s="610" t="str">
        <x:v>Period</x:v>
      </x:c>
      <x:c r="D4" s="610" t="str">
        <x:v>Observed Pattern</x:v>
      </x:c>
      <x:c r="E4" s="610" t="str">
        <x:v>Interpretation</x:v>
      </x:c>
      <x:c r="F4" s="610" t="str">
        <x:v>Evidence Class</x:v>
      </x:c>
      <x:c r="G4" s="610" t="str">
        <x:v>Confidence</x:v>
      </x:c>
      <x:c r="H4" s="610" t="str">
        <x:v>Critical Limitation</x:v>
      </x:c>
      <x:c r="I4" s="610" t="str">
        <x:v>Authentication Use</x:v>
      </x:c>
      <x:c r="J4" s="610" t="str">
        <x:v>Source URL</x:v>
      </x:c>
    </x:row>
    <x:row r="5" ht="86" customHeight="1">
      <x:c r="A5" s="26" t="str">
        <x:v>GTD-SER-001</x:v>
      </x:c>
      <x:c r="B5" s="26" t="str">
        <x:v>GT USA</x:v>
      </x:c>
      <x:c r="C5" s="26" t="str">
        <x:v>1987–1988 catalog examples</x:v>
      </x:c>
      <x:c r="D5" s="26" t="str">
        <x:v>First character month; next two digits production year; model abbreviation may be stamped nearby.</x:v>
      </x:c>
      <x:c r="E5" s="26" t="str">
        <x:v>Potential month/year and model clue for USA-made frames of the applicable period.</x:v>
      </x:c>
      <x:c r="F5" s="26" t="str">
        <x:v>Catalog reconstruction based on original catalog</x:v>
      </x:c>
      <x:c r="G5" s="26" t="str">
        <x:v>MEDIUM-HIGH</x:v>
      </x:c>
      <x:c r="H5" s="26" t="str">
        <x:v>The rule is not universal across GT factories, years or complete bikes.</x:v>
      </x:c>
      <x:c r="I5" s="26" t="str">
        <x:v>Use only after confirming USA manufacture, model family and construction.</x:v>
      </x:c>
      <x:c r="J5" s="26" t="str">
        <x:v>https://www.bmx-catalogue.com/gt/old-school/1987/pro-series.html</x:v>
      </x:c>
    </x:row>
    <x:row r="6" ht="86" customHeight="1">
      <x:c r="A6" s="26" t="str">
        <x:v>GTD-SER-002</x:v>
      </x:c>
      <x:c r="B6" s="26" t="str">
        <x:v>GT USA</x:v>
      </x:c>
      <x:c r="C6" s="26" t="str">
        <x:v>1996 Pro Series example</x:v>
      </x:c>
      <x:c r="D6" s="26" t="str">
        <x:v>Month character + two-digit year; model abbreviation often nearby.</x:v>
      </x:c>
      <x:c r="E6" s="26" t="str">
        <x:v>Potential build month/year for USA-built 1996 race frames.</x:v>
      </x:c>
      <x:c r="F6" s="26" t="str">
        <x:v>Catalog reconstruction based on original catalog</x:v>
      </x:c>
      <x:c r="G6" s="26" t="str">
        <x:v>MEDIUM-HIGH</x:v>
      </x:c>
      <x:c r="H6" s="26" t="str">
        <x:v>Production lead means build year/month may precede retail model year.</x:v>
      </x:c>
      <x:c r="I6" s="26" t="str">
        <x:v>Record exact stamp and model abbreviation before interpreting.</x:v>
      </x:c>
      <x:c r="J6" s="26" t="str">
        <x:v>https://www.bmx-catalogue.com/gt/mid-school/1996/pro-series.html</x:v>
      </x:c>
    </x:row>
    <x:row r="7" ht="86" customHeight="1">
      <x:c r="A7" s="26" t="str">
        <x:v>GTD-SER-003</x:v>
      </x:c>
      <x:c r="B7" s="26" t="str">
        <x:v>GT Taiwan YC</x:v>
      </x:c>
      <x:c r="C7" s="26" t="str">
        <x:v>1999–2000 examples</x:v>
      </x:c>
      <x:c r="D7" s="26" t="str">
        <x:v>YC factory code + two-digit year + lettered month.</x:v>
      </x:c>
      <x:c r="E7" s="26" t="str">
        <x:v>Potential factory/year/month for specified Taiwan-built GT models.</x:v>
      </x:c>
      <x:c r="F7" s="26" t="str">
        <x:v>Catalog reconstruction</x:v>
      </x:c>
      <x:c r="G7" s="26" t="str">
        <x:v>MEDIUM-HIGH</x:v>
      </x:c>
      <x:c r="H7" s="26" t="str">
        <x:v>YC is one factory code, not all Taiwan production.</x:v>
      </x:c>
      <x:c r="I7" s="26" t="str">
        <x:v>Use only when literal YC prefix is present and the model-year page agrees.</x:v>
      </x:c>
      <x:c r="J7" s="26" t="str">
        <x:v>https://www.bmx-catalogue.com/gt/mid-school/1999/performer.html</x:v>
      </x:c>
    </x:row>
    <x:row r="8" ht="86" customHeight="1">
      <x:c r="A8" s="26" t="str">
        <x:v>GTD-SER-004</x:v>
      </x:c>
      <x:c r="B8" s="26" t="str">
        <x:v>GT all factories</x:v>
      </x:c>
      <x:c r="C8" s="26" t="str">
        <x:v>All periods</x:v>
      </x:c>
      <x:c r="D8" s="26" t="str">
        <x:v>Multiple serial sequences exist depending on factory and production era.</x:v>
      </x:c>
      <x:c r="E8" s="26" t="str">
        <x:v>A single universal GT serial decoder is unsafe.</x:v>
      </x:c>
      <x:c r="F8" s="26" t="str">
        <x:v>Catalog reconstruction + community conflicts</x:v>
      </x:c>
      <x:c r="G8" s="26" t="str">
        <x:v>HIGH boundary</x:v>
      </x:c>
      <x:c r="H8" s="26" t="str">
        <x:v>Online forum rules often generalize from one factory/model.</x:v>
      </x:c>
      <x:c r="I8" s="26" t="str">
        <x:v>Require factory code, full serial, serial location, model stamp, weld/dropout/headtube details and catalog match.</x:v>
      </x:c>
      <x:c r="J8" s="26" t="str">
        <x:v>https://www.bmx-catalogue.com/gt/year.html</x:v>
      </x:c>
    </x:row>
    <x:row r="9" ht="86" customHeight="1">
      <x:c r="A9" s="26" t="str">
        <x:v>GTD-SER-005</x:v>
      </x:c>
      <x:c r="B9" s="26" t="str">
        <x:v>Dyno DH</x:v>
      </x:c>
      <x:c r="C9" s="26" t="str">
        <x:v>1991 examples</x:v>
      </x:c>
      <x:c r="D9" s="26" t="str">
        <x:v>DH factory code + two-digit year + two-digit month.</x:v>
      </x:c>
      <x:c r="E9" s="26" t="str">
        <x:v>Potential factory/year/month for relevant 1991-era Taiwan models.</x:v>
      </x:c>
      <x:c r="F9" s="26" t="str">
        <x:v>Catalog reconstruction</x:v>
      </x:c>
      <x:c r="G9" s="26" t="str">
        <x:v>MEDIUM-HIGH</x:v>
      </x:c>
      <x:c r="H9" s="26" t="str">
        <x:v>Do not apply DH rules to SY or SK models.</x:v>
      </x:c>
      <x:c r="I9" s="26" t="str">
        <x:v>Use only with the matching model-year/factory page.</x:v>
      </x:c>
      <x:c r="J9" s="26" t="str">
        <x:v>https://www.bmx-catalogue.com/dyno/mid-school/1991/compe.html</x:v>
      </x:c>
    </x:row>
    <x:row r="10" ht="86" customHeight="1">
      <x:c r="A10" s="26" t="str">
        <x:v>GTD-SER-006</x:v>
      </x:c>
      <x:c r="B10" s="26" t="str">
        <x:v>Dyno SY</x:v>
      </x:c>
      <x:c r="C10" s="26" t="str">
        <x:v>1994–1999 examples</x:v>
      </x:c>
      <x:c r="D10" s="26" t="str">
        <x:v>SY factory code + one-digit year + lettered month.</x:v>
      </x:c>
      <x:c r="E10" s="26" t="str">
        <x:v>Potential factory/year/month for relevant Taiwan-built models.</x:v>
      </x:c>
      <x:c r="F10" s="26" t="str">
        <x:v>Catalog reconstruction</x:v>
      </x:c>
      <x:c r="G10" s="26" t="str">
        <x:v>MEDIUM-HIGH</x:v>
      </x:c>
      <x:c r="H10" s="26" t="str">
        <x:v>A one-digit year repeats by decade and must be controlled by model/features.</x:v>
      </x:c>
      <x:c r="I10" s="26" t="str">
        <x:v>Use full model-year catalog, frame construction and provenance together.</x:v>
      </x:c>
      <x:c r="J10" s="26" t="str">
        <x:v>https://www.bmx-catalogue.com/dyno/mid-school/1998/vfr.html</x:v>
      </x:c>
    </x:row>
    <x:row r="11" ht="86" customHeight="1">
      <x:c r="A11" s="26" t="str">
        <x:v>GTD-SER-007</x:v>
      </x:c>
      <x:c r="B11" s="26" t="str">
        <x:v>Dyno SK</x:v>
      </x:c>
      <x:c r="C11" s="26" t="str">
        <x:v>1996 Sonic example</x:v>
      </x:c>
      <x:c r="D11" s="26" t="str">
        <x:v>SK factory code + one-digit year + lettered month.</x:v>
      </x:c>
      <x:c r="E11" s="26" t="str">
        <x:v>Potential factory/year/month for the aluminum Sonic example.</x:v>
      </x:c>
      <x:c r="F11" s="26" t="str">
        <x:v>Catalog reconstruction</x:v>
      </x:c>
      <x:c r="G11" s="26" t="str">
        <x:v>MEDIUM-HIGH</x:v>
      </x:c>
      <x:c r="H11" s="26" t="str">
        <x:v>SK illustrates why Dyno serial rules are factory/model-specific.</x:v>
      </x:c>
      <x:c r="I11" s="26" t="str">
        <x:v>Do not decode Sonic using SY guidance.</x:v>
      </x:c>
      <x:c r="J11" s="26" t="str">
        <x:v>https://www.bmx-catalogue.com/dyno/mid-school/1996/sonic.html</x:v>
      </x:c>
    </x:row>
    <x:row r="12" ht="86" customHeight="1">
      <x:c r="A12" s="26" t="str">
        <x:v>GTD-SER-008</x:v>
      </x:c>
      <x:c r="B12" s="26" t="str">
        <x:v>Model-year lead time</x:v>
      </x:c>
      <x:c r="C12" s="26" t="str">
        <x:v>Taiwan catalog examples</x:v>
      </x:c>
      <x:c r="D12" s="26" t="str">
        <x:v>Production may begin months before retail model year; archive guidance often estimates around an eight-month lead.</x:v>
      </x:c>
      <x:c r="E12" s="26" t="str">
        <x:v>Build date may precede the printed model year.</x:v>
      </x:c>
      <x:c r="F12" s="26" t="str">
        <x:v>Catalog reconstruction</x:v>
      </x:c>
      <x:c r="G12" s="26" t="str">
        <x:v>MEDIUM</x:v>
      </x:c>
      <x:c r="H12" s="26" t="str">
        <x:v>Lead time is a general rule, not an exact shipment date for every frame.</x:v>
      </x:c>
      <x:c r="I12" s="26" t="str">
        <x:v>Do not call a frame misdated solely because serial year precedes catalog year.</x:v>
      </x:c>
      <x:c r="J12" s="26" t="str">
        <x:v>https://www.bmx-catalogue.com/dyno/mid-school/1998/compe.html</x:v>
      </x:c>
    </x:row>
    <x:row r="13" ht="86" customHeight="1">
      <x:c r="A13" s="26" t="str">
        <x:v>GTD-SER-009</x:v>
      </x:c>
      <x:c r="B13" s="26" t="str">
        <x:v>Colorway</x:v>
      </x:c>
      <x:c r="C13" s="26" t="str">
        <x:v>1998 Dyno VFR</x:v>
      </x:c>
      <x:c r="D13" s="26" t="str">
        <x:v>Afterburner appears in the catalog's color list.</x:v>
      </x:c>
      <x:c r="E13" s="26" t="str">
        <x:v>Afterburner can be treated as a documented 1998 VFR finish/colorway.</x:v>
      </x:c>
      <x:c r="F13" s="26" t="str">
        <x:v>Catalog reconstruction based on original catalog</x:v>
      </x:c>
      <x:c r="G13" s="26" t="str">
        <x:v>MEDIUM-HIGH</x:v>
      </x:c>
      <x:c r="H13" s="26" t="str">
        <x:v>A colorway label is not automatically a separate model.</x:v>
      </x:c>
      <x:c r="I13" s="26" t="str">
        <x:v>Use title 'VFR — Afterburner colorway' unless the original record/catalog states a distinct model.</x:v>
      </x:c>
      <x:c r="J13" s="26" t="str">
        <x:v>https://www.bmx-catalogue.com/dyno/mid-school/1998/vfr.html</x:v>
      </x:c>
    </x:row>
    <x:row r="14" ht="86" customHeight="1">
      <x:c r="A14" s="26" t="str">
        <x:v>GTD-SER-010</x:v>
      </x:c>
      <x:c r="B14" s="26" t="str">
        <x:v>Serial location</x:v>
      </x:c>
      <x:c r="C14" s="26" t="str">
        <x:v>All GT/Dyno candidates</x:v>
      </x:c>
      <x:c r="D14" s="26" t="str">
        <x:v>Serial location, factory code, model abbreviation and surrounding frame features must be photographed together.</x:v>
      </x:c>
      <x:c r="E14" s="26" t="str">
        <x:v>Context prevents detached-number misidentification.</x:v>
      </x:c>
      <x:c r="F14" s="26" t="str">
        <x:v>Authentication methodology</x:v>
      </x:c>
      <x:c r="G14" s="26" t="str">
        <x:v>HIGH</x:v>
      </x:c>
      <x:c r="H14" s="26" t="str">
        <x:v>A serial transcription without context is insufficient.</x:v>
      </x:c>
      <x:c r="I14" s="26" t="str">
        <x:v>Require macro, raking-light and contextual photographs plus whole-frame views.</x:v>
      </x:c>
      <x:c r="J14" s="26" t="str"/>
    </x:row>
    <x:row r="15" ht="86" customHeight="1">
      <x:c r="A15" s="26" t="str">
        <x:v>GTD-SER-011</x:v>
      </x:c>
      <x:c r="B15" s="26" t="str">
        <x:v>Catalog-year control</x:v>
      </x:c>
      <x:c r="C15" s="26" t="str">
        <x:v>All models</x:v>
      </x:c>
      <x:c r="D15" s="26" t="str">
        <x:v>The same model name may have different materials, geometry, brakes and parts in different years.</x:v>
      </x:c>
      <x:c r="E15" s="26" t="str">
        <x:v>Model name cannot substitute for model year.</x:v>
      </x:c>
      <x:c r="F15" s="26" t="str">
        <x:v>Cross-year catalog comparison</x:v>
      </x:c>
      <x:c r="G15" s="26" t="str">
        <x:v>HIGH</x:v>
      </x:c>
      <x:c r="H15" s="26" t="str">
        <x:v>Examples: Dyno Compe and GT Performer families.</x:v>
      </x:c>
      <x:c r="I15" s="26" t="str">
        <x:v>Identify exact year range before using specifications.</x:v>
      </x:c>
      <x:c r="J15" s="26" t="str">
        <x:v>https://www.bmx-catalogue.com/</x:v>
      </x:c>
    </x:row>
    <x:row r="16" ht="86" customHeight="1">
      <x:c r="A16" s="26" t="str">
        <x:v>GTD-SER-012</x:v>
      </x:c>
      <x:c r="B16" s="26" t="str">
        <x:v>BMXMuseum submission title</x:v>
      </x:c>
      <x:c r="C16" s="26" t="str">
        <x:v>All exact public IDs</x:v>
      </x:c>
      <x:c r="D16" s="26" t="str">
        <x:v>Submitted year/model is a source claim, not serial authentication.</x:v>
      </x:c>
      <x:c r="E16" s="26" t="str">
        <x:v>Useful for discovery and comparison.</x:v>
      </x:c>
      <x:c r="F16" s="26" t="str">
        <x:v>Register methodology</x:v>
      </x:c>
      <x:c r="G16" s="26" t="str">
        <x:v>HIGH</x:v>
      </x:c>
      <x:c r="H16" s="26" t="str">
        <x:v>Record may be restored, customized, misdated or incompletely described.</x:v>
      </x:c>
      <x:c r="I16" s="26" t="str">
        <x:v>Retain exact title/year and verify independently.</x:v>
      </x:c>
      <x:c r="J16" s="26" t="str"/>
    </x:row>
  </x:sheetData>
  <x:mergeCells>
    <x:mergeCell ref="A1:J1"/>
    <x:mergeCell ref="A2:J2"/>
  </x:mergeCells>
  <x:pageMargins left="0.7" right="0.7" top="0.75" bottom="0.75" header="0.3" footer="0.3"/>
  <x:tableParts count="1">
    <x:tablePart xmlns:r="http://schemas.openxmlformats.org/officeDocument/2006/relationships" r:id="Rf61118d131464d63"/>
  </x:tableParts>
</x:worksheet>
</file>

<file path=xl/worksheets/sheet108.xml><?xml version="1.0" encoding="utf-8"?>
<x:worksheet xmlns:x="http://schemas.openxmlformats.org/spreadsheetml/2006/main">
  <x:sheetFormatPr defaultRowHeight="15"/>
  <x:cols>
    <x:col min="1" max="1" width="15" hidden="0" customWidth="1"/>
    <x:col min="2" max="2" width="28" hidden="0" customWidth="1"/>
    <x:col min="3" max="3" width="28" hidden="0" customWidth="1"/>
    <x:col min="4" max="4" width="24" hidden="0" customWidth="1"/>
    <x:col min="5" max="5" width="52" hidden="0" customWidth="1"/>
    <x:col min="6" max="6" width="31" hidden="0" customWidth="1"/>
    <x:col min="7" max="7" width="50" hidden="0" customWidth="1"/>
    <x:col min="8" max="8" width="42" hidden="0" customWidth="1"/>
    <x:col min="9" max="9" width="60" hidden="0" customWidth="1"/>
    <x:col min="10" max="10" width="24" hidden="0" customWidth="1"/>
  </x:cols>
  <x:sheetData>
    <x:row r="1" ht="31" customHeight="1">
      <x:c r="A1" s="600" t="str">
        <x:v>GT and Dyno People, Teams and Artifact Relationships</x:v>
      </x:c>
      <x:c r="B1" s="600"/>
      <x:c r="C1" s="600"/>
      <x:c r="D1" s="600"/>
      <x:c r="E1" s="600"/>
      <x:c r="F1" s="600"/>
      <x:c r="G1" s="600"/>
      <x:c r="H1" s="600"/>
      <x:c r="I1" s="600"/>
      <x:c r="J1" s="600"/>
    </x:row>
    <x:row r="2" ht="31" customHeight="1">
      <x:c r="A2" s="605" t="str">
        <x:v>Founder, designer, rider, team, promotional program, collection attribution and exact physical use are separate relationship types.</x:v>
      </x:c>
      <x:c r="B2" s="605"/>
      <x:c r="C2" s="605"/>
      <x:c r="D2" s="605"/>
      <x:c r="E2" s="605"/>
      <x:c r="F2" s="605"/>
      <x:c r="G2" s="605"/>
      <x:c r="H2" s="605"/>
      <x:c r="I2" s="605"/>
      <x:c r="J2" s="605"/>
    </x:row>
    <x:row r="4">
      <x:c r="A4" s="610" t="str">
        <x:v>Person / Team ID</x:v>
      </x:c>
      <x:c r="B4" s="610" t="str">
        <x:v>Person / Team</x:v>
      </x:c>
      <x:c r="C4" s="610" t="str">
        <x:v>Role</x:v>
      </x:c>
      <x:c r="D4" s="610" t="str">
        <x:v>Period</x:v>
      </x:c>
      <x:c r="E4" s="610" t="str">
        <x:v>GT/Dyno Relationship</x:v>
      </x:c>
      <x:c r="F4" s="610" t="str">
        <x:v>Evidence Class</x:v>
      </x:c>
      <x:c r="G4" s="610" t="str">
        <x:v>Qualification</x:v>
      </x:c>
      <x:c r="H4" s="610" t="str">
        <x:v>Related Models / Artifacts</x:v>
      </x:c>
      <x:c r="I4" s="610" t="str">
        <x:v>Source URL</x:v>
      </x:c>
      <x:c r="J4" s="610" t="str">
        <x:v>Status</x:v>
      </x:c>
    </x:row>
    <x:row r="5" ht="86" customHeight="1">
      <x:c r="A5" s="26" t="str">
        <x:v>GTD-PER-001</x:v>
      </x:c>
      <x:c r="B5" s="26" t="str">
        <x:v>Gary Turner</x:v>
      </x:c>
      <x:c r="C5" s="26" t="str">
        <x:v>Frame builder / GT co-founder</x:v>
      </x:c>
      <x:c r="D5" s="26" t="str">
        <x:v>1972 onward</x:v>
      </x:c>
      <x:c r="E5" s="26" t="str">
        <x:v>Built the first GT frame; engineering identity behind GT.</x:v>
      </x:c>
      <x:c r="F5" s="26" t="str">
        <x:v>Current official GT history</x:v>
      </x:c>
      <x:c r="G5" s="26" t="str">
        <x:v>Official timeline is high-level and does not supply every corporate milestone.</x:v>
      </x:c>
      <x:c r="H5" s="26" t="str">
        <x:v>Early GT frames; GT brand</x:v>
      </x:c>
      <x:c r="I5" s="26" t="str">
        <x:v>https://gtbicycles.com/pages/about-us</x:v>
      </x:c>
      <x:c r="J5" s="26" t="str">
        <x:v>OFFICIAL</x:v>
      </x:c>
    </x:row>
    <x:row r="6" ht="86" customHeight="1">
      <x:c r="A6" s="26" t="str">
        <x:v>GTD-PER-002</x:v>
      </x:c>
      <x:c r="B6" s="26" t="str">
        <x:v>Richard Long</x:v>
      </x:c>
      <x:c r="C6" s="26" t="str">
        <x:v>GT co-founder / business executive</x:v>
      </x:c>
      <x:c r="D6" s="26" t="str">
        <x:v>Late 1970s–1996</x:v>
      </x:c>
      <x:c r="E6" s="26" t="str">
        <x:v>Associated with GT's business/marketing growth.</x:v>
      </x:c>
      <x:c r="F6" s="26" t="str">
        <x:v>Exact BMXMuseum reference 7360 cited by outside histories; secondary corporate sources</x:v>
      </x:c>
      <x:c r="G6" s="26" t="str">
        <x:v>Direct BMXMuseum content remains uninspected; corporate dates require primary records.</x:v>
      </x:c>
      <x:c r="H6" s="26" t="str">
        <x:v>GT corporate chronology</x:v>
      </x:c>
      <x:c r="I6" s="26" t="str">
        <x:v>https://www.bmxmuseum.com/reference/7360</x:v>
      </x:c>
      <x:c r="J6" s="26" t="str">
        <x:v>EXACT REFERENCE TARGET</x:v>
      </x:c>
    </x:row>
    <x:row r="7" ht="86" customHeight="1">
      <x:c r="A7" s="26" t="str">
        <x:v>GTD-PER-003</x:v>
      </x:c>
      <x:c r="B7" s="26" t="str">
        <x:v>Bob Morales</x:v>
      </x:c>
      <x:c r="C7" s="26" t="str">
        <x:v>Dyno founder / designer / promoter</x:v>
      </x:c>
      <x:c r="D7" s="26" t="str">
        <x:v>1982–1986 full-time; later consulting</x:v>
      </x:c>
      <x:c r="E7" s="26" t="str">
        <x:v>Created Dyno Design, sold it to GT and designed first Dyno frame/fork plus GT/Dyno products.</x:v>
      </x:c>
      <x:c r="F7" s="26" t="str">
        <x:v>First-person history + official USA BMX Hall of Fame</x:v>
      </x:c>
      <x:c r="G7" s="26" t="str">
        <x:v>Do not credit all later GT/Dyno models automatically to Morales.</x:v>
      </x:c>
      <x:c r="H7" s="26" t="str">
        <x:v>Dyno origin; GT Performer; Compe prototype; reference 7336; bike 72272</x:v>
      </x:c>
      <x:c r="I7" s="26" t="str">
        <x:v>https://www.melonpeel.com/morales/history.htm</x:v>
      </x:c>
      <x:c r="J7" s="26" t="str">
        <x:v>CORE VERIFIED</x:v>
      </x:c>
    </x:row>
    <x:row r="8" ht="86" customHeight="1">
      <x:c r="A8" s="26" t="str">
        <x:v>GTD-PER-004</x:v>
      </x:c>
      <x:c r="B8" s="26" t="str">
        <x:v>Eddie Fiola</x:v>
      </x:c>
      <x:c r="C8" s="26" t="str">
        <x:v>Freestyle rider / co-designer</x:v>
      </x:c>
      <x:c r="D8" s="26" t="str">
        <x:v>1982–1980s</x:v>
      </x:c>
      <x:c r="E8" s="26" t="str">
        <x:v>Morales says they co-designed GT's first Performer frame and rode/promoted GT/Dyno.</x:v>
      </x:c>
      <x:c r="F8" s="26" t="str">
        <x:v>First-person history + period team history</x:v>
      </x:c>
      <x:c r="G8" s="26" t="str">
        <x:v>Exact design division and patent claims should be tied to period patent/ad records.</x:v>
      </x:c>
      <x:c r="H8" s="26" t="str">
        <x:v>GT Performer; GT/Dyno promotion</x:v>
      </x:c>
      <x:c r="I8" s="26" t="str">
        <x:v>https://www.melonpeel.com/morales/history.htm</x:v>
      </x:c>
      <x:c r="J8" s="26" t="str">
        <x:v>CORE VERIFIED</x:v>
      </x:c>
    </x:row>
    <x:row r="9" ht="86" customHeight="1">
      <x:c r="A9" s="26" t="str">
        <x:v>GTD-PER-005</x:v>
      </x:c>
      <x:c r="B9" s="26" t="str">
        <x:v>Dave Voelker</x:v>
      </x:c>
      <x:c r="C9" s="26" t="str">
        <x:v>GT/Dyno freestyle rider</x:v>
      </x:c>
      <x:c r="D9" s="26" t="str">
        <x:v>Late 1980s–1990s</x:v>
      </x:c>
      <x:c r="E9" s="26" t="str">
        <x:v>1991 Dyno catalog names him King of the Street; current heritage product honors him.</x:v>
      </x:c>
      <x:c r="F9" s="26" t="str">
        <x:v>Catalog reconstruction + current official GT</x:v>
      </x:c>
      <x:c r="G9" s="26" t="str">
        <x:v>Rider tenure and each signature/product relationship need period sources.</x:v>
      </x:c>
      <x:c r="H9" s="26" t="str">
        <x:v>Dyno/GT team; modern Dyno Pro Compe tribute</x:v>
      </x:c>
      <x:c r="I9" s="26" t="str">
        <x:v>https://www.bmx-catalogue.com/dyno/mid-school/1991/model.html</x:v>
      </x:c>
      <x:c r="J9" s="26" t="str">
        <x:v>CATALOG VERIFIED</x:v>
      </x:c>
    </x:row>
    <x:row r="10" ht="86" customHeight="1">
      <x:c r="A10" s="26" t="str">
        <x:v>GTD-PER-006</x:v>
      </x:c>
      <x:c r="B10" s="26" t="str">
        <x:v>Dino DeLuca</x:v>
      </x:c>
      <x:c r="C10" s="26" t="str">
        <x:v>Dyno ramp rider</x:v>
      </x:c>
      <x:c r="D10" s="26" t="str">
        <x:v>1991 catalog period</x:v>
      </x:c>
      <x:c r="E10" s="26" t="str">
        <x:v>1991 Dyno catalog identifies him as a championship ramp rider.</x:v>
      </x:c>
      <x:c r="F10" s="26" t="str">
        <x:v>Catalog reconstruction based on original catalog</x:v>
      </x:c>
      <x:c r="G10" s="26" t="str">
        <x:v>Full roster/tenure needs period corroboration.</x:v>
      </x:c>
      <x:c r="H10" s="26" t="str">
        <x:v>1991 Dyno models</x:v>
      </x:c>
      <x:c r="I10" s="26" t="str">
        <x:v>https://www.bmx-catalogue.com/dyno/mid-school/1991/model.html</x:v>
      </x:c>
      <x:c r="J10" s="26" t="str">
        <x:v>CATALOG VERIFIED</x:v>
      </x:c>
    </x:row>
    <x:row r="11" ht="86" customHeight="1">
      <x:c r="A11" s="26" t="str">
        <x:v>GTD-PER-007</x:v>
      </x:c>
      <x:c r="B11" s="26" t="str">
        <x:v>Trevor Meyer</x:v>
      </x:c>
      <x:c r="C11" s="26" t="str">
        <x:v>Dyno flatland / Air Show rider</x:v>
      </x:c>
      <x:c r="D11" s="26" t="str">
        <x:v>1998 catalog period</x:v>
      </x:c>
      <x:c r="E11" s="26" t="str">
        <x:v>1998 Dyno catalog connects Meyer with the Slammer and GT Bicycle Air Show performances.</x:v>
      </x:c>
      <x:c r="F11" s="26" t="str">
        <x:v>Catalog reconstruction based on original catalog</x:v>
      </x:c>
      <x:c r="G11" s="26" t="str">
        <x:v>Does not authenticate Lititz jacket or establish Todd Huffman wore it during a specific event.</x:v>
      </x:c>
      <x:c r="H11" s="26" t="str">
        <x:v>Dyno Slammer; GT Bicycle Air Show</x:v>
      </x:c>
      <x:c r="I11" s="26" t="str">
        <x:v>https://www.bmx-catalogue.com/dyno/mid-school/1998/model.html</x:v>
      </x:c>
      <x:c r="J11" s="26" t="str">
        <x:v>CATALOG VERIFIED</x:v>
      </x:c>
    </x:row>
    <x:row r="12" ht="86" customHeight="1">
      <x:c r="A12" s="26" t="str">
        <x:v>GTD-PER-008</x:v>
      </x:c>
      <x:c r="B12" s="26" t="str">
        <x:v>Gabe Weed</x:v>
      </x:c>
      <x:c r="C12" s="26" t="str">
        <x:v>Dyno/Air Show rider</x:v>
      </x:c>
      <x:c r="D12" s="26" t="str">
        <x:v>1998 catalog period</x:v>
      </x:c>
      <x:c r="E12" s="26" t="str">
        <x:v>Named as a teammate in 1998 Dyno catalog context.</x:v>
      </x:c>
      <x:c r="F12" s="26" t="str">
        <x:v>Catalog reconstruction</x:v>
      </x:c>
      <x:c r="G12" s="26" t="str">
        <x:v>Specific event and model use require period photographs/results.</x:v>
      </x:c>
      <x:c r="H12" s="26" t="str">
        <x:v>Dyno flatland team</x:v>
      </x:c>
      <x:c r="I12" s="26" t="str">
        <x:v>https://www.bmx-catalogue.com/dyno/mid-school/1998/model.html</x:v>
      </x:c>
      <x:c r="J12" s="26" t="str">
        <x:v>CATALOG VERIFIED</x:v>
      </x:c>
    </x:row>
    <x:row r="13" ht="86" customHeight="1">
      <x:c r="A13" s="26" t="str">
        <x:v>GTD-PER-009</x:v>
      </x:c>
      <x:c r="B13" s="26" t="str">
        <x:v>Aaron Benke</x:v>
      </x:c>
      <x:c r="C13" s="26" t="str">
        <x:v>Dyno/Air Show rider</x:v>
      </x:c>
      <x:c r="D13" s="26" t="str">
        <x:v>1998 catalog period</x:v>
      </x:c>
      <x:c r="E13" s="26" t="str">
        <x:v>Named as a teammate in 1998 Dyno catalog context.</x:v>
      </x:c>
      <x:c r="F13" s="26" t="str">
        <x:v>Catalog reconstruction</x:v>
      </x:c>
      <x:c r="G13" s="26" t="str">
        <x:v>Specific event and model use require period evidence.</x:v>
      </x:c>
      <x:c r="H13" s="26" t="str">
        <x:v>Dyno flatland team</x:v>
      </x:c>
      <x:c r="I13" s="26" t="str">
        <x:v>https://www.bmx-catalogue.com/dyno/mid-school/1998/model.html</x:v>
      </x:c>
      <x:c r="J13" s="26" t="str">
        <x:v>CATALOG VERIFIED</x:v>
      </x:c>
    </x:row>
    <x:row r="14" ht="86" customHeight="1">
      <x:c r="A14" s="26" t="str">
        <x:v>GTD-PER-010</x:v>
      </x:c>
      <x:c r="B14" s="26" t="str">
        <x:v>Felicia Stancil</x:v>
      </x:c>
      <x:c r="C14" s="26" t="str">
        <x:v>Factory GT BMX racer</x:v>
      </x:c>
      <x:c r="D14" s="26" t="str">
        <x:v>2012–2016 GT period</x:v>
      </x:c>
      <x:c r="E14" s="26" t="str">
        <x:v>Official USA BMX verifies her two 2012 Junior Women world titles for Factory GT.</x:v>
      </x:c>
      <x:c r="F14" s="26" t="str">
        <x:v>Official event report + USA Cycling profile</x:v>
      </x:c>
      <x:c r="G14" s="26" t="str">
        <x:v>Achievement proof is separate from physical-bike authentication.</x:v>
      </x:c>
      <x:c r="H14" s="26" t="str">
        <x:v>Lititz 26.0054 GT Speed Series / W1 plate</x:v>
      </x:c>
      <x:c r="I14" s="26" t="str">
        <x:v>https://www.usabmx.com/news-and-media/6/2012-05-27/UCI-Worlds-Update?id=586</x:v>
      </x:c>
      <x:c r="J14" s="26" t="str">
        <x:v>OFFICIAL RESULT</x:v>
      </x:c>
    </x:row>
    <x:row r="15" ht="86" customHeight="1">
      <x:c r="A15" s="26" t="str">
        <x:v>GTD-PER-011</x:v>
      </x:c>
      <x:c r="B15" s="26" t="str">
        <x:v>Todd Huffman</x:v>
      </x:c>
      <x:c r="C15" s="26" t="str">
        <x:v>GT marketing / Air Show artifact association</x:v>
      </x:c>
      <x:c r="D15" s="26" t="str">
        <x:v>Collection-specific period open</x:v>
      </x:c>
      <x:c r="E15" s="26" t="str">
        <x:v>Lititz inventory associates artifact 26.0020 with Todd Huffman and GT Air Show branding.</x:v>
      </x:c>
      <x:c r="F15" s="26" t="str">
        <x:v>Lititz collection record</x:v>
      </x:c>
      <x:c r="G15" s="26" t="str">
        <x:v>Exact role, dates, issue status and wearer/use need documentary and physical evidence.</x:v>
      </x:c>
      <x:c r="H15" s="26" t="str">
        <x:v>26.0020 GT Air Show jacket</x:v>
      </x:c>
      <x:c r="I15" s="26" t="str">
        <x:v>https://sites.google.com/view/lititzbmxinventorylist/home/26-0020</x:v>
      </x:c>
      <x:c r="J15" s="26" t="str">
        <x:v>COLLECTION ATTRIBUTION</x:v>
      </x:c>
    </x:row>
    <x:row r="16" ht="86" customHeight="1">
      <x:c r="A16" s="26" t="str">
        <x:v>GTD-PER-012</x:v>
      </x:c>
      <x:c r="B16" s="26" t="str">
        <x:v>Harry Leary</x:v>
      </x:c>
      <x:c r="C16" s="26" t="str">
        <x:v>GT-branded personal artifact relationship</x:v>
      </x:c>
      <x:c r="D16" s="26" t="str">
        <x:v>Period open</x:v>
      </x:c>
      <x:c r="E16" s="26" t="str">
        <x:v>Lititz inventory associates a GT lanyard with Harry Leary.</x:v>
      </x:c>
      <x:c r="F16" s="26" t="str">
        <x:v>Lititz collection record</x:v>
      </x:c>
      <x:c r="G16" s="26" t="str">
        <x:v>A lanyard does not establish employment, sponsorship or a specific GT team role.</x:v>
      </x:c>
      <x:c r="H16" s="26" t="str">
        <x:v>26.0040 Harry Leary GT lanyard</x:v>
      </x:c>
      <x:c r="I16" s="26" t="str">
        <x:v>https://sites.google.com/view/lititzbmxinventorylist/home/26-0040</x:v>
      </x:c>
      <x:c r="J16" s="26" t="str">
        <x:v>COLLECTION ATTRIBUTION</x:v>
      </x:c>
    </x:row>
    <x:row r="17" ht="86" customHeight="1">
      <x:c r="A17" s="26" t="str">
        <x:v>GTD-PER-013</x:v>
      </x:c>
      <x:c r="B17" s="26" t="str">
        <x:v>GT Bicycle Air Show</x:v>
      </x:c>
      <x:c r="C17" s="26" t="str">
        <x:v>Promotional demonstration team/program</x:v>
      </x:c>
      <x:c r="D17" s="26" t="str">
        <x:v>1990s; 1998 catalog evidence</x:v>
      </x:c>
      <x:c r="E17" s="26" t="str">
        <x:v>1998 Dyno catalog references Air Show performances involving Dyno riders.</x:v>
      </x:c>
      <x:c r="F17" s="26" t="str">
        <x:v>Period catalog reconstruction</x:v>
      </x:c>
      <x:c r="G17" s="26" t="str">
        <x:v>Full program chronology, management and jacket issue system remain open.</x:v>
      </x:c>
      <x:c r="H17" s="26" t="str">
        <x:v>26.0020 jacket; Dyno team relationships</x:v>
      </x:c>
      <x:c r="I17" s="26" t="str">
        <x:v>https://www.bmx-catalogue.com/dyno/mid-school/1998/model.html</x:v>
      </x:c>
      <x:c r="J17" s="26" t="str">
        <x:v>PROGRAM OPEN</x:v>
      </x:c>
    </x:row>
  </x:sheetData>
  <x:mergeCells>
    <x:mergeCell ref="A1:J1"/>
    <x:mergeCell ref="A2:J2"/>
  </x:mergeCells>
  <x:pageMargins left="0.7" right="0.7" top="0.75" bottom="0.75" header="0.3" footer="0.3"/>
  <x:tableParts count="1">
    <x:tablePart xmlns:r="http://schemas.openxmlformats.org/officeDocument/2006/relationships" r:id="R2578ed3e721d4578"/>
  </x:tableParts>
</x:worksheet>
</file>

<file path=xl/worksheets/sheet109.xml><?xml version="1.0" encoding="utf-8"?>
<x:worksheet xmlns:x="http://schemas.openxmlformats.org/spreadsheetml/2006/main">
  <x:sheetFormatPr defaultRowHeight="15"/>
  <x:cols>
    <x:col min="1" max="1" width="15" hidden="0" customWidth="1"/>
    <x:col min="2" max="2" width="24" hidden="0" customWidth="1"/>
    <x:col min="3" max="3" width="38" hidden="0" customWidth="1"/>
    <x:col min="4" max="4" width="20" hidden="0" customWidth="1"/>
    <x:col min="5" max="5" width="35" hidden="0" customWidth="1"/>
    <x:col min="6" max="6" width="52" hidden="0" customWidth="1"/>
    <x:col min="7" max="7" width="50" hidden="0" customWidth="1"/>
    <x:col min="8" max="8" width="42" hidden="0" customWidth="1"/>
    <x:col min="9" max="9" width="60" hidden="0" customWidth="1"/>
    <x:col min="10" max="10" width="24" hidden="0" customWidth="1"/>
  </x:cols>
  <x:sheetData>
    <x:row r="1" ht="31" customHeight="1">
      <x:c r="A1" s="600" t="str">
        <x:v>GT and Dyno Period Tests, Promotions and Price Evidence</x:v>
      </x:c>
      <x:c r="B1" s="600"/>
      <x:c r="C1" s="600"/>
      <x:c r="D1" s="600"/>
      <x:c r="E1" s="600"/>
      <x:c r="F1" s="600"/>
      <x:c r="G1" s="600"/>
      <x:c r="H1" s="600"/>
      <x:c r="I1" s="600"/>
      <x:c r="J1" s="600"/>
    </x:row>
    <x:row r="2" ht="31" customHeight="1">
      <x:c r="A2" s="605" t="str">
        <x:v>Retail prices are not MSRP; period tests describe their tested objects; promotional team material does not authenticate an individual artifact.</x:v>
      </x:c>
      <x:c r="B2" s="605"/>
      <x:c r="C2" s="605"/>
      <x:c r="D2" s="605"/>
      <x:c r="E2" s="605"/>
      <x:c r="F2" s="605"/>
      <x:c r="G2" s="605"/>
      <x:c r="H2" s="605"/>
      <x:c r="I2" s="605"/>
      <x:c r="J2" s="605"/>
    </x:row>
    <x:row r="4">
      <x:c r="A4" s="610" t="str">
        <x:v>Period ID</x:v>
      </x:c>
      <x:c r="B4" s="610" t="str">
        <x:v>Object Type</x:v>
      </x:c>
      <x:c r="C4" s="610" t="str">
        <x:v>Title / Subject</x:v>
      </x:c>
      <x:c r="D4" s="610" t="str">
        <x:v>Date</x:v>
      </x:c>
      <x:c r="E4" s="610" t="str">
        <x:v>Brand / Models</x:v>
      </x:c>
      <x:c r="F4" s="610" t="str">
        <x:v>What It Verifies</x:v>
      </x:c>
      <x:c r="G4" s="610" t="str">
        <x:v>Evidence / Limitation</x:v>
      </x:c>
      <x:c r="H4" s="610" t="str">
        <x:v>Rights / Use</x:v>
      </x:c>
      <x:c r="I4" s="610" t="str">
        <x:v>Source URL</x:v>
      </x:c>
      <x:c r="J4" s="610" t="str">
        <x:v>Status</x:v>
      </x:c>
    </x:row>
    <x:row r="5" ht="84" customHeight="1">
      <x:c r="A5" s="26" t="str">
        <x:v>GTD-PERIOD-001</x:v>
      </x:c>
      <x:c r="B5" s="26" t="str">
        <x:v>Period product test</x:v>
      </x:c>
      <x:c r="C5" s="26" t="str">
        <x:v>Dyno Compe 2</x:v>
      </x:c>
      <x:c r="D5" s="26" t="str">
        <x:v>1986</x:v>
      </x:c>
      <x:c r="E5" s="26" t="str">
        <x:v>Dyno Compe 2</x:v>
      </x:c>
      <x:c r="F5" s="26" t="str">
        <x:v>Independent period test existence and future geometry/component source.</x:v>
      </x:c>
      <x:c r="G5" s="26" t="str">
        <x:v>Detailed factual transcription remains open.</x:v>
      </x:c>
      <x:c r="H5" s="26" t="str">
        <x:v>Index and paraphrase facts only; no page republication.</x:v>
      </x:c>
      <x:c r="I5" s="26" t="str">
        <x:v>https://oldschoolmags.com/tests_and_reviews.htm</x:v>
      </x:c>
      <x:c r="J5" s="26" t="str">
        <x:v>INDEXED</x:v>
      </x:c>
    </x:row>
    <x:row r="6" ht="84" customHeight="1">
      <x:c r="A6" s="26" t="str">
        <x:v>GTD-PERIOD-002</x:v>
      </x:c>
      <x:c r="B6" s="26" t="str">
        <x:v>Period product test</x:v>
      </x:c>
      <x:c r="C6" s="26" t="str">
        <x:v>Dyno Pro Compe</x:v>
      </x:c>
      <x:c r="D6" s="26" t="str">
        <x:v>1986</x:v>
      </x:c>
      <x:c r="E6" s="26" t="str">
        <x:v>Dyno Pro Compe</x:v>
      </x:c>
      <x:c r="F6" s="26" t="str">
        <x:v>Independent period product test source.</x:v>
      </x:c>
      <x:c r="G6" s="26" t="str">
        <x:v>Measurements/specifications require controlled page transcription.</x:v>
      </x:c>
      <x:c r="H6" s="26" t="str">
        <x:v>Index and paraphrase facts only.</x:v>
      </x:c>
      <x:c r="I6" s="26" t="str">
        <x:v>https://oldschoolmags.com/tests_and_reviews.htm</x:v>
      </x:c>
      <x:c r="J6" s="26" t="str">
        <x:v>INDEXED</x:v>
      </x:c>
    </x:row>
    <x:row r="7" ht="84" customHeight="1">
      <x:c r="A7" s="26" t="str">
        <x:v>GTD-PERIOD-003</x:v>
      </x:c>
      <x:c r="B7" s="26" t="str">
        <x:v>Period product test</x:v>
      </x:c>
      <x:c r="C7" s="26" t="str">
        <x:v>Dyno Pro Compe / Pro Compe Team</x:v>
      </x:c>
      <x:c r="D7" s="26" t="str">
        <x:v>1987</x:v>
      </x:c>
      <x:c r="E7" s="26" t="str">
        <x:v>Dyno</x:v>
      </x:c>
      <x:c r="F7" s="26" t="str">
        <x:v>Confirms separate Pro Compe and Team test objects.</x:v>
      </x:c>
      <x:c r="G7" s="26" t="str">
        <x:v>Exact test build and year-specific differences need page-level capture.</x:v>
      </x:c>
      <x:c r="H7" s="26" t="str">
        <x:v>Index and paraphrase facts only.</x:v>
      </x:c>
      <x:c r="I7" s="26" t="str">
        <x:v>https://oldschoolmags.com/tests_and_reviews.htm</x:v>
      </x:c>
      <x:c r="J7" s="26" t="str">
        <x:v>INDEXED</x:v>
      </x:c>
    </x:row>
    <x:row r="8" ht="84" customHeight="1">
      <x:c r="A8" s="26" t="str">
        <x:v>GTD-PERIOD-004</x:v>
      </x:c>
      <x:c r="B8" s="26" t="str">
        <x:v>Period product test</x:v>
      </x:c>
      <x:c r="C8" s="26" t="str">
        <x:v>GT Pro Performer</x:v>
      </x:c>
      <x:c r="D8" s="26" t="str">
        <x:v>1984 / 1987</x:v>
      </x:c>
      <x:c r="E8" s="26" t="str">
        <x:v>GT</x:v>
      </x:c>
      <x:c r="F8" s="26" t="str">
        <x:v>Confirms year-specific test objects for Pro Performer.</x:v>
      </x:c>
      <x:c r="G8" s="26" t="str">
        <x:v>One tested build cannot define every model year.</x:v>
      </x:c>
      <x:c r="H8" s="26" t="str">
        <x:v>Index and paraphrase facts only.</x:v>
      </x:c>
      <x:c r="I8" s="26" t="str">
        <x:v>https://oldschoolmags.com/tests_and_reviews.htm</x:v>
      </x:c>
      <x:c r="J8" s="26" t="str">
        <x:v>INDEXED</x:v>
      </x:c>
    </x:row>
    <x:row r="9" ht="84" customHeight="1">
      <x:c r="A9" s="26" t="str">
        <x:v>GTD-PERIOD-005</x:v>
      </x:c>
      <x:c r="B9" s="26" t="str">
        <x:v>Period product test</x:v>
      </x:c>
      <x:c r="C9" s="26" t="str">
        <x:v>GT Pro Freestyle Tour / Team</x:v>
      </x:c>
      <x:c r="D9" s="26" t="str">
        <x:v>1986–1988</x:v>
      </x:c>
      <x:c r="E9" s="26" t="str">
        <x:v>GT</x:v>
      </x:c>
      <x:c r="F9" s="26" t="str">
        <x:v>Confirms period tests for multiple Tour/Team generations.</x:v>
      </x:c>
      <x:c r="G9" s="26" t="str">
        <x:v>Test specs must remain year and object specific.</x:v>
      </x:c>
      <x:c r="H9" s="26" t="str">
        <x:v>Index and paraphrase facts only.</x:v>
      </x:c>
      <x:c r="I9" s="26" t="str">
        <x:v>https://oldschoolmags.com/tests_and_reviews.htm</x:v>
      </x:c>
      <x:c r="J9" s="26" t="str">
        <x:v>INDEXED</x:v>
      </x:c>
    </x:row>
    <x:row r="10" ht="84" customHeight="1">
      <x:c r="A10" s="26" t="str">
        <x:v>GTD-PERIOD-006</x:v>
      </x:c>
      <x:c r="B10" s="26" t="str">
        <x:v>Period product test</x:v>
      </x:c>
      <x:c r="C10" s="26" t="str">
        <x:v>GT Pro Series</x:v>
      </x:c>
      <x:c r="D10" s="26" t="str">
        <x:v>1984–1989</x:v>
      </x:c>
      <x:c r="E10" s="26" t="str">
        <x:v>GT</x:v>
      </x:c>
      <x:c r="F10" s="26" t="str">
        <x:v>Multiple period test objects establish a long-running race family.</x:v>
      </x:c>
      <x:c r="G10" s="26" t="str">
        <x:v>Model tier and test configuration vary.</x:v>
      </x:c>
      <x:c r="H10" s="26" t="str">
        <x:v>Index and paraphrase facts only.</x:v>
      </x:c>
      <x:c r="I10" s="26" t="str">
        <x:v>https://oldschoolmags.com/tests_and_reviews.htm</x:v>
      </x:c>
      <x:c r="J10" s="26" t="str">
        <x:v>INDEXED</x:v>
      </x:c>
    </x:row>
    <x:row r="11" ht="84" customHeight="1">
      <x:c r="A11" s="26" t="str">
        <x:v>GTD-PERIOD-007</x:v>
      </x:c>
      <x:c r="B11" s="26" t="str">
        <x:v>Retail advertisement</x:v>
      </x:c>
      <x:c r="C11" s="26" t="str">
        <x:v>Dynamic BMX complete-bike prices</x:v>
      </x:c>
      <x:c r="D11" s="26" t="str">
        <x:v>August 1987</x:v>
      </x:c>
      <x:c r="E11" s="26" t="str">
        <x:v>GT and Dyno</x:v>
      </x:c>
      <x:c r="F11" s="26" t="str">
        <x:v>Direct retailer price observations across both brands.</x:v>
      </x:c>
      <x:c r="G11" s="26" t="str">
        <x:v>Retailer/mail-order prices, not MSRP; OCR and seller identification require care.</x:v>
      </x:c>
      <x:c r="H11" s="26" t="str">
        <x:v>Preserve clear model/price pairs only.</x:v>
      </x:c>
      <x:c r="I11" s="26" t="str">
        <x:v>https://previouspage.co.uk/issues/245-august-nineteen-eighty-seven</x:v>
      </x:c>
      <x:c r="J11" s="26" t="str">
        <x:v>PERIOD VERIFIED</x:v>
      </x:c>
    </x:row>
    <x:row r="12" ht="84" customHeight="1">
      <x:c r="A12" s="26" t="str">
        <x:v>GTD-PERIOD-008</x:v>
      </x:c>
      <x:c r="B12" s="26" t="str">
        <x:v>Retail advertisement</x:v>
      </x:c>
      <x:c r="C12" s="26" t="str">
        <x:v>Complete-bike mail-order prices</x:v>
      </x:c>
      <x:c r="D12" s="26" t="str">
        <x:v>July 1987</x:v>
      </x:c>
      <x:c r="E12" s="26" t="str">
        <x:v>GT Performer, Pro Performer, Pro World Tour, Mach One</x:v>
      </x:c>
      <x:c r="F12" s="26" t="str">
        <x:v>Independent cross-seller price observations.</x:v>
      </x:c>
      <x:c r="G12" s="26" t="str">
        <x:v>Do not deduplicate or average without seller/context controls.</x:v>
      </x:c>
      <x:c r="H12" s="26" t="str">
        <x:v>Preserve clear factual pairs only.</x:v>
      </x:c>
      <x:c r="I12" s="26" t="str">
        <x:v>https://previouspage.co.uk/magazines/BMX%20Plus/issues/244-july-nineteen-eighty-seven</x:v>
      </x:c>
      <x:c r="J12" s="26" t="str">
        <x:v>PERIOD VERIFIED</x:v>
      </x:c>
    </x:row>
    <x:row r="13" ht="84" customHeight="1">
      <x:c r="A13" s="26" t="str">
        <x:v>GTD-PERIOD-009</x:v>
      </x:c>
      <x:c r="B13" s="26" t="str">
        <x:v>Promotion</x:v>
      </x:c>
      <x:c r="C13" s="26" t="str">
        <x:v>BMX Plus!/GT Hide-A-Contest</x:v>
      </x:c>
      <x:c r="D13" s="26" t="str">
        <x:v>1987 deadline/drawing</x:v>
      </x:c>
      <x:c r="E13" s="26" t="str">
        <x:v>GT</x:v>
      </x:c>
      <x:c r="F13" s="26" t="str">
        <x:v>GT promotional partnership and dated entry mechanism.</x:v>
      </x:c>
      <x:c r="G13" s="26" t="str">
        <x:v>Prize details require page-image inspection.</x:v>
      </x:c>
      <x:c r="H13" s="26" t="str">
        <x:v>Bibliographic facts only.</x:v>
      </x:c>
      <x:c r="I13" s="26" t="str">
        <x:v>https://previouspage.co.uk/issues/245-august-nineteen-eighty-seven</x:v>
      </x:c>
      <x:c r="J13" s="26" t="str">
        <x:v>PERIOD VERIFIED</x:v>
      </x:c>
    </x:row>
    <x:row r="14" ht="84" customHeight="1">
      <x:c r="A14" s="26" t="str">
        <x:v>GTD-PERIOD-010</x:v>
      </x:c>
      <x:c r="B14" s="26" t="str">
        <x:v>Catalog/team promotion</x:v>
      </x:c>
      <x:c r="C14" s="26" t="str">
        <x:v>1998 Dyno / GT Bicycle Air Show</x:v>
      </x:c>
      <x:c r="D14" s="26" t="str">
        <x:v>1998</x:v>
      </x:c>
      <x:c r="E14" s="26" t="str">
        <x:v>Dyno Slammer and team riders</x:v>
      </x:c>
      <x:c r="F14" s="26" t="str">
        <x:v>Documents the promotional-program relationship and named riders.</x:v>
      </x:c>
      <x:c r="G14" s="26" t="str">
        <x:v>Does not identify a jacket owner, manager or every Air Show member.</x:v>
      </x:c>
      <x:c r="H14" s="26" t="str">
        <x:v>Factual paraphrase only.</x:v>
      </x:c>
      <x:c r="I14" s="26" t="str">
        <x:v>https://www.bmx-catalogue.com/dyno/mid-school/1998/model.html</x:v>
      </x:c>
      <x:c r="J14" s="26" t="str">
        <x:v>CATALOG VERIFIED</x:v>
      </x:c>
    </x:row>
    <x:row r="15" ht="84" customHeight="1">
      <x:c r="A15" s="26" t="str">
        <x:v>GTD-PERIOD-011</x:v>
      </x:c>
      <x:c r="B15" s="26" t="str">
        <x:v>Award history</x:v>
      </x:c>
      <x:c r="C15" s="26" t="str">
        <x:v>1997 revived NORA Cup results</x:v>
      </x:c>
      <x:c r="D15" s="26" t="str">
        <x:v>1997–1998</x:v>
      </x:c>
      <x:c r="E15" s="26" t="str">
        <x:v>GT/WD-40; Gary Ellis</x:v>
      </x:c>
      <x:c r="F15" s="26" t="str">
        <x:v>Oldschoolmags records GT/WD-40 as No.1 Team and GT as No.1 Bicycle in the revived award.</x:v>
      </x:c>
      <x:c r="G15" s="26" t="str">
        <x:v>Secondary preservation summary; original issue should be added.</x:v>
      </x:c>
      <x:c r="H15" s="26" t="str">
        <x:v>Paraphrase results with source.</x:v>
      </x:c>
      <x:c r="I15" s="26" t="str">
        <x:v>https://oldschoolmags.com/nora_cup.htm</x:v>
      </x:c>
      <x:c r="J15" s="26" t="str">
        <x:v>SECONDARY VERIFIED</x:v>
      </x:c>
    </x:row>
  </x:sheetData>
  <x:mergeCells>
    <x:mergeCell ref="A1:J1"/>
    <x:mergeCell ref="A2:J2"/>
  </x:mergeCells>
  <x:pageMargins left="0.7" right="0.7" top="0.75" bottom="0.75" header="0.3" footer="0.3"/>
  <x:tableParts count="1">
    <x:tablePart xmlns:r="http://schemas.openxmlformats.org/officeDocument/2006/relationships" r:id="Raede0346e7bc40fa"/>
  </x:tableParts>
</x:worksheet>
</file>

<file path=xl/worksheets/sheet110.xml><?xml version="1.0" encoding="utf-8"?>
<x:worksheet xmlns:x="http://schemas.openxmlformats.org/spreadsheetml/2006/main">
  <x:sheetFormatPr defaultRowHeight="15"/>
  <x:cols>
    <x:col min="1" max="1" width="15" hidden="0" customWidth="1"/>
    <x:col min="2" max="2" width="14" hidden="0" customWidth="1"/>
    <x:col min="3" max="3" width="24" hidden="0" customWidth="1"/>
    <x:col min="4" max="4" width="20" hidden="0" customWidth="1"/>
    <x:col min="5" max="5" width="38" hidden="0" customWidth="1"/>
    <x:col min="6" max="6" width="50" hidden="0" customWidth="1"/>
    <x:col min="7" max="7" width="20" hidden="0" customWidth="1"/>
    <x:col min="8" max="8" width="50" hidden="0" customWidth="1"/>
    <x:col min="9" max="9" width="52" hidden="0" customWidth="1"/>
    <x:col min="10" max="10" width="60" hidden="0" customWidth="1"/>
    <x:col min="11" max="11" width="25" hidden="0" customWidth="1"/>
  </x:cols>
  <x:sheetData>
    <x:row r="1" ht="31" customHeight="1">
      <x:c r="A1" s="600" t="str">
        <x:v>GT and Dyno BMXMuseum Objects — Permission-Free Exact Recovery</x:v>
      </x:c>
      <x:c r="B1" s="600"/>
      <x:c r="C1" s="600"/>
      <x:c r="D1" s="600"/>
      <x:c r="E1" s="600"/>
      <x:c r="F1" s="600"/>
      <x:c r="G1" s="600"/>
      <x:c r="H1" s="600"/>
      <x:c r="I1" s="600"/>
      <x:c r="J1" s="600"/>
      <x:c r="K1" s="600"/>
    </x:row>
    <x:row r="2" ht="31" customHeight="1">
      <x:c r="A2" s="605" t="str">
        <x:v>Exact IDs are preserved from public first-party posts and public backlinks. The register does not crawl the pages, mirror forum bodies or claim submitted-bike originality.</x:v>
      </x:c>
      <x:c r="B2" s="605"/>
      <x:c r="C2" s="605"/>
      <x:c r="D2" s="605"/>
      <x:c r="E2" s="605"/>
      <x:c r="F2" s="605"/>
      <x:c r="G2" s="605"/>
      <x:c r="H2" s="605"/>
      <x:c r="I2" s="605"/>
      <x:c r="J2" s="605"/>
      <x:c r="K2" s="605"/>
    </x:row>
    <x:row r="4">
      <x:c r="A4" s="610" t="str">
        <x:v>Object ID</x:v>
      </x:c>
      <x:c r="B4" s="610" t="str">
        <x:v>Brand</x:v>
      </x:c>
      <x:c r="C4" s="610" t="str">
        <x:v>BMXMuseum ID / Path</x:v>
      </x:c>
      <x:c r="D4" s="610" t="str">
        <x:v>Object Type</x:v>
      </x:c>
      <x:c r="E4" s="610" t="str">
        <x:v>Public Identification</x:v>
      </x:c>
      <x:c r="F4" s="610" t="str">
        <x:v>Discovery Evidence</x:v>
      </x:c>
      <x:c r="G4" s="610" t="str">
        <x:v>Confidence</x:v>
      </x:c>
      <x:c r="H4" s="610" t="str">
        <x:v>Independent Catalog / History Context</x:v>
      </x:c>
      <x:c r="I4" s="610" t="str">
        <x:v>Critical Limitation</x:v>
      </x:c>
      <x:c r="J4" s="610" t="str">
        <x:v>Canonical URL</x:v>
      </x:c>
      <x:c r="K4" s="610" t="str">
        <x:v>Status</x:v>
      </x:c>
    </x:row>
    <x:row r="5" ht="86" customHeight="1">
      <x:c r="A5" s="26" t="str">
        <x:v>GTD-BMXM-001</x:v>
      </x:c>
      <x:c r="B5" s="26" t="str">
        <x:v>Dyno</x:v>
      </x:c>
      <x:c r="C5" s="26" t="str">
        <x:v>7336</x:v>
      </x:c>
      <x:c r="D5" s="26" t="str">
        <x:v>Reference</x:v>
      </x:c>
      <x:c r="E5" s="26" t="str">
        <x:v>Bob Morales / Dyno history reference</x:v>
      </x:c>
      <x:c r="F5" s="26" t="str">
        <x:v>Exact reference ID cited by outside researched histories.</x:v>
      </x:c>
      <x:c r="G5" s="26" t="str">
        <x:v>MEDIUM-HIGH exact target</x:v>
      </x:c>
      <x:c r="H5" s="26" t="str">
        <x:v>Bob Morales first-person history independently establishes Dyno chronology.</x:v>
      </x:c>
      <x:c r="I5" s="26" t="str">
        <x:v>Direct reference content remains uninspected.</x:v>
      </x:c>
      <x:c r="J5" s="26" t="str">
        <x:v>https://www.bmxmuseum.com/reference/7336</x:v>
      </x:c>
      <x:c r="K5" s="26" t="str">
        <x:v>EXACT TARGET</x:v>
      </x:c>
    </x:row>
    <x:row r="6" ht="86" customHeight="1">
      <x:c r="A6" s="26" t="str">
        <x:v>GTD-BMXM-002</x:v>
      </x:c>
      <x:c r="B6" s="26" t="str">
        <x:v>Dyno</x:v>
      </x:c>
      <x:c r="C6" s="26" t="str">
        <x:v>72272</x:v>
      </x:c>
      <x:c r="D6" s="26" t="str">
        <x:v>Bike</x:v>
      </x:c>
      <x:c r="E6" s="26" t="str">
        <x:v>Dyno Compe prototype posted by Bob Morales</x:v>
      </x:c>
      <x:c r="F6" s="26" t="str">
        <x:v>Exact bike ID cited by researched histories.</x:v>
      </x:c>
      <x:c r="G6" s="26" t="str">
        <x:v>MEDIUM-HIGH exact target</x:v>
      </x:c>
      <x:c r="H6" s="26" t="str">
        <x:v>Morales independently states he designed the first Dyno frame/fork after 1985 sale.</x:v>
      </x:c>
      <x:c r="I6" s="26" t="str">
        <x:v>Exact year, serial, prototype sequence and text remain uninspected.</x:v>
      </x:c>
      <x:c r="J6" s="26" t="str">
        <x:v>https://www.bmxmuseum.com/bikes/dyno/72272</x:v>
      </x:c>
      <x:c r="K6" s="26" t="str">
        <x:v>EXACT TARGET</x:v>
      </x:c>
    </x:row>
    <x:row r="7" ht="86" customHeight="1">
      <x:c r="A7" s="26" t="str">
        <x:v>GTD-BMXM-003</x:v>
      </x:c>
      <x:c r="B7" s="26" t="str">
        <x:v>Dyno</x:v>
      </x:c>
      <x:c r="C7" s="26" t="str">
        <x:v>57517</x:v>
      </x:c>
      <x:c r="D7" s="26" t="str">
        <x:v>Bike</x:v>
      </x:c>
      <x:c r="E7" s="26" t="str">
        <x:v>1997 Dyno Air comparison</x:v>
      </x:c>
      <x:c r="F7" s="26" t="str">
        <x:v>Exact public backlink.</x:v>
      </x:c>
      <x:c r="G7" s="26" t="str">
        <x:v>A2</x:v>
      </x:c>
      <x:c r="H7" s="26" t="str">
        <x:v>1997 catalog confirms Air model family.</x:v>
      </x:c>
      <x:c r="I7" s="26" t="str">
        <x:v>Originality and exact submitted metadata not independently inspected.</x:v>
      </x:c>
      <x:c r="J7" s="26" t="str">
        <x:v>https://www.bmxmuseum.com/bikes/dyno/57517</x:v>
      </x:c>
      <x:c r="K7" s="26" t="str">
        <x:v>EXACT ID / CONTEXT PARTIAL</x:v>
      </x:c>
    </x:row>
    <x:row r="8" ht="86" customHeight="1">
      <x:c r="A8" s="26" t="str">
        <x:v>GTD-BMXM-004</x:v>
      </x:c>
      <x:c r="B8" s="26" t="str">
        <x:v>Dyno</x:v>
      </x:c>
      <x:c r="C8" s="26" t="str">
        <x:v>14018</x:v>
      </x:c>
      <x:c r="D8" s="26" t="str">
        <x:v>Bike</x:v>
      </x:c>
      <x:c r="E8" s="26" t="str">
        <x:v>1999 Dyno VFR comparison</x:v>
      </x:c>
      <x:c r="F8" s="26" t="str">
        <x:v>Exact public backlink.</x:v>
      </x:c>
      <x:c r="G8" s="26" t="str">
        <x:v>A2</x:v>
      </x:c>
      <x:c r="H8" s="26" t="str">
        <x:v>1999 catalog confirms VFR family.</x:v>
      </x:c>
      <x:c r="I8" s="26" t="str">
        <x:v>Originality and exact title need direct public metadata.</x:v>
      </x:c>
      <x:c r="J8" s="26" t="str">
        <x:v>https://www.bmxmuseum.com/bikes/dyno/14018</x:v>
      </x:c>
      <x:c r="K8" s="26" t="str">
        <x:v>EXACT ID / CONTEXT PARTIAL</x:v>
      </x:c>
    </x:row>
    <x:row r="9" ht="86" customHeight="1">
      <x:c r="A9" s="26" t="str">
        <x:v>GTD-BMXM-005</x:v>
      </x:c>
      <x:c r="B9" s="26" t="str">
        <x:v>Dyno</x:v>
      </x:c>
      <x:c r="C9" s="26" t="str">
        <x:v>99615</x:v>
      </x:c>
      <x:c r="D9" s="26" t="str">
        <x:v>Bike</x:v>
      </x:c>
      <x:c r="E9" s="26" t="str">
        <x:v>1998 Dyno VFR Afterburner</x:v>
      </x:c>
      <x:c r="F9" s="26" t="str">
        <x:v>Exact ID/title quoted in public identification answer.</x:v>
      </x:c>
      <x:c r="G9" s="26" t="str">
        <x:v>A2</x:v>
      </x:c>
      <x:c r="H9" s="26" t="str">
        <x:v>1998 catalog lists Afterburner as a VFR color.</x:v>
      </x:c>
      <x:c r="I9" s="26" t="str">
        <x:v>Treat as VFR colorway unless canonical record states separate model.</x:v>
      </x:c>
      <x:c r="J9" s="26" t="str">
        <x:v>https://www.bmxmuseum.com/bikes/dyno/99615</x:v>
      </x:c>
      <x:c r="K9" s="26" t="str">
        <x:v>EXACT PUBLIC IDENTIFICATION</x:v>
      </x:c>
    </x:row>
    <x:row r="10" ht="86" customHeight="1">
      <x:c r="A10" s="26" t="str">
        <x:v>GTD-BMXM-006</x:v>
      </x:c>
      <x:c r="B10" s="26" t="str">
        <x:v>Dyno</x:v>
      </x:c>
      <x:c r="C10" s="26" t="str">
        <x:v>41197</x:v>
      </x:c>
      <x:c r="D10" s="26" t="str">
        <x:v>Bike</x:v>
      </x:c>
      <x:c r="E10" s="26" t="str">
        <x:v>1998 Dyno Zone comparison</x:v>
      </x:c>
      <x:c r="F10" s="26" t="str">
        <x:v>Exact public backlink.</x:v>
      </x:c>
      <x:c r="G10" s="26" t="str">
        <x:v>A2</x:v>
      </x:c>
      <x:c r="H10" s="26" t="str">
        <x:v>1998 catalog confirms Zone model.</x:v>
      </x:c>
      <x:c r="I10" s="26" t="str">
        <x:v>Originality and exact serial remain open.</x:v>
      </x:c>
      <x:c r="J10" s="26" t="str">
        <x:v>https://www.bmxmuseum.com/bikes/dyno/41197</x:v>
      </x:c>
      <x:c r="K10" s="26" t="str">
        <x:v>EXACT ID / CONTEXT PARTIAL</x:v>
      </x:c>
    </x:row>
    <x:row r="11" ht="86" customHeight="1">
      <x:c r="A11" s="26" t="str">
        <x:v>GTD-BMXM-007</x:v>
      </x:c>
      <x:c r="B11" s="26" t="str">
        <x:v>Dyno</x:v>
      </x:c>
      <x:c r="C11" s="26" t="str">
        <x:v>44038</x:v>
      </x:c>
      <x:c r="D11" s="26" t="str">
        <x:v>Bike</x:v>
      </x:c>
      <x:c r="E11" s="26" t="str">
        <x:v>1998 Dyno Zone comparison</x:v>
      </x:c>
      <x:c r="F11" s="26" t="str">
        <x:v>Exact public backlink.</x:v>
      </x:c>
      <x:c r="G11" s="26" t="str">
        <x:v>A2</x:v>
      </x:c>
      <x:c r="H11" s="26" t="str">
        <x:v>1998 catalog confirms Zone model.</x:v>
      </x:c>
      <x:c r="I11" s="26" t="str">
        <x:v>May be useful as second comparison, not universal specification.</x:v>
      </x:c>
      <x:c r="J11" s="26" t="str">
        <x:v>https://www.bmxmuseum.com/bikes/dyno/44038</x:v>
      </x:c>
      <x:c r="K11" s="26" t="str">
        <x:v>EXACT ID / CONTEXT PARTIAL</x:v>
      </x:c>
    </x:row>
    <x:row r="12" ht="86" customHeight="1">
      <x:c r="A12" s="26" t="str">
        <x:v>GTD-BMXM-008</x:v>
      </x:c>
      <x:c r="B12" s="26" t="str">
        <x:v>Dyno</x:v>
      </x:c>
      <x:c r="C12" s="26" t="str">
        <x:v>70676</x:v>
      </x:c>
      <x:c r="D12" s="26" t="str">
        <x:v>Bike</x:v>
      </x:c>
      <x:c r="E12" s="26" t="str">
        <x:v>1999 Dyno Zone comparison</x:v>
      </x:c>
      <x:c r="F12" s="26" t="str">
        <x:v>Exact public backlink from serial discussion.</x:v>
      </x:c>
      <x:c r="G12" s="26" t="str">
        <x:v>A2</x:v>
      </x:c>
      <x:c r="H12" s="26" t="str">
        <x:v>1999 catalog confirms Zone model.</x:v>
      </x:c>
      <x:c r="I12" s="26" t="str">
        <x:v>Community serial interpretation may be uncertain.</x:v>
      </x:c>
      <x:c r="J12" s="26" t="str">
        <x:v>https://www.bmxmuseum.com/bikes/dyno/70676</x:v>
      </x:c>
      <x:c r="K12" s="26" t="str">
        <x:v>EXACT ID / CONTEXT PARTIAL</x:v>
      </x:c>
    </x:row>
    <x:row r="13" ht="86" customHeight="1">
      <x:c r="A13" s="26" t="str">
        <x:v>GTD-BMXM-009</x:v>
      </x:c>
      <x:c r="B13" s="26" t="str">
        <x:v>Dyno</x:v>
      </x:c>
      <x:c r="C13" s="26" t="str">
        <x:v>429280</x:v>
      </x:c>
      <x:c r="D13" s="26" t="str">
        <x:v>Forum</x:v>
      </x:c>
      <x:c r="E13" s="26" t="str">
        <x:v>Talk Dyno discussion</x:v>
      </x:c>
      <x:c r="F13" s="26" t="str">
        <x:v>Exact forum ID exposed externally.</x:v>
      </x:c>
      <x:c r="G13" s="26" t="str">
        <x:v>A2</x:v>
      </x:c>
      <x:c r="H13" s="26" t="str">
        <x:v>Potential general brand/model discussion.</x:v>
      </x:c>
      <x:c r="I13" s="26" t="str">
        <x:v>Forum body is not mirrored or treated as verified fact.</x:v>
      </x:c>
      <x:c r="J13" s="26" t="str">
        <x:v>https://www.bmxmuseum.com/forums/viewtopic.php?id=429280</x:v>
      </x:c>
      <x:c r="K13" s="26" t="str">
        <x:v>EXACT TOPIC ID</x:v>
      </x:c>
    </x:row>
    <x:row r="14" ht="86" customHeight="1">
      <x:c r="A14" s="26" t="str">
        <x:v>GTD-BMXM-010</x:v>
      </x:c>
      <x:c r="B14" s="26" t="str">
        <x:v>Dyno</x:v>
      </x:c>
      <x:c r="C14" s="26" t="str">
        <x:v>528632</x:v>
      </x:c>
      <x:c r="D14" s="26" t="str">
        <x:v>Forum</x:v>
      </x:c>
      <x:c r="E14" s="26" t="str">
        <x:v>GT/Dyno serial-number guidance discussion</x:v>
      </x:c>
      <x:c r="F14" s="26" t="str">
        <x:v>Exact forum ID exposed externally.</x:v>
      </x:c>
      <x:c r="G14" s="26" t="str">
        <x:v>A2</x:v>
      </x:c>
      <x:c r="H14" s="26" t="str">
        <x:v>Potential serial-research lead.</x:v>
      </x:c>
      <x:c r="I14" s="26" t="str">
        <x:v>Community guidance cannot replace factory/model-year evidence.</x:v>
      </x:c>
      <x:c r="J14" s="26" t="str">
        <x:v>https://www.bmxmuseum.com/forums/viewtopic.php?id=528632</x:v>
      </x:c>
      <x:c r="K14" s="26" t="str">
        <x:v>EXACT TOPIC ID</x:v>
      </x:c>
    </x:row>
    <x:row r="15" ht="86" customHeight="1">
      <x:c r="A15" s="26" t="str">
        <x:v>GTD-BMXM-011</x:v>
      </x:c>
      <x:c r="B15" s="26" t="str">
        <x:v>Dyno</x:v>
      </x:c>
      <x:c r="C15" s="26" t="str">
        <x:v>538921</x:v>
      </x:c>
      <x:c r="D15" s="26" t="str">
        <x:v>Forum</x:v>
      </x:c>
      <x:c r="E15" s="26" t="str">
        <x:v>Dyno reference discussion</x:v>
      </x:c>
      <x:c r="F15" s="26" t="str">
        <x:v>Exact forum ID exposed externally.</x:v>
      </x:c>
      <x:c r="G15" s="26" t="str">
        <x:v>A2</x:v>
      </x:c>
      <x:c r="H15" s="26" t="str">
        <x:v>Potential reference hub.</x:v>
      </x:c>
      <x:c r="I15" s="26" t="str">
        <x:v>Title/topic only; content uninspected.</x:v>
      </x:c>
      <x:c r="J15" s="26" t="str">
        <x:v>https://www.bmxmuseum.com/forums/viewtopic.php?id=538921</x:v>
      </x:c>
      <x:c r="K15" s="26" t="str">
        <x:v>EXACT TOPIC ID</x:v>
      </x:c>
    </x:row>
    <x:row r="16" ht="86" customHeight="1">
      <x:c r="A16" s="26" t="str">
        <x:v>GTD-BMXM-012</x:v>
      </x:c>
      <x:c r="B16" s="26" t="str">
        <x:v>GT</x:v>
      </x:c>
      <x:c r="C16" s="26" t="str">
        <x:v>7358</x:v>
      </x:c>
      <x:c r="D16" s="26" t="str">
        <x:v>Reference</x:v>
      </x:c>
      <x:c r="E16" s="26" t="str">
        <x:v>Craig Turner / Gary Turner early GT reference</x:v>
      </x:c>
      <x:c r="F16" s="26" t="str">
        <x:v>Exact reference ID cited by outside history.</x:v>
      </x:c>
      <x:c r="G16" s="26" t="str">
        <x:v>MEDIUM-HIGH exact target</x:v>
      </x:c>
      <x:c r="H16" s="26" t="str">
        <x:v>Official GT independently confirms 1972 first-frame history.</x:v>
      </x:c>
      <x:c r="I16" s="26" t="str">
        <x:v>Direct reference content remains uninspected.</x:v>
      </x:c>
      <x:c r="J16" s="26" t="str">
        <x:v>https://www.bmxmuseum.com/reference/7358</x:v>
      </x:c>
      <x:c r="K16" s="26" t="str">
        <x:v>EXACT TARGET</x:v>
      </x:c>
    </x:row>
    <x:row r="17" ht="86" customHeight="1">
      <x:c r="A17" s="26" t="str">
        <x:v>GTD-BMXM-013</x:v>
      </x:c>
      <x:c r="B17" s="26" t="str">
        <x:v>GT</x:v>
      </x:c>
      <x:c r="C17" s="26" t="str">
        <x:v>7360</x:v>
      </x:c>
      <x:c r="D17" s="26" t="str">
        <x:v>Reference</x:v>
      </x:c>
      <x:c r="E17" s="26" t="str">
        <x:v>Richard Long memorial/profile source</x:v>
      </x:c>
      <x:c r="F17" s="26" t="str">
        <x:v>Exact reference ID cited by outside history.</x:v>
      </x:c>
      <x:c r="G17" s="26" t="str">
        <x:v>MEDIUM-HIGH exact target</x:v>
      </x:c>
      <x:c r="H17" s="26" t="str">
        <x:v>Corporate histories independently support Long's GT role.</x:v>
      </x:c>
      <x:c r="I17" s="26" t="str">
        <x:v>Direct reference content remains uninspected.</x:v>
      </x:c>
      <x:c r="J17" s="26" t="str">
        <x:v>https://www.bmxmuseum.com/reference/7360</x:v>
      </x:c>
      <x:c r="K17" s="26" t="str">
        <x:v>EXACT TARGET</x:v>
      </x:c>
    </x:row>
    <x:row r="18" ht="86" customHeight="1">
      <x:c r="A18" s="26" t="str">
        <x:v>GTD-BMXM-014</x:v>
      </x:c>
      <x:c r="B18" s="26" t="str">
        <x:v>GT</x:v>
      </x:c>
      <x:c r="C18" s="26" t="str">
        <x:v>119277</x:v>
      </x:c>
      <x:c r="D18" s="26" t="str">
        <x:v>Bike</x:v>
      </x:c>
      <x:c r="E18" s="26" t="str">
        <x:v>1990 GT Pro Series XL</x:v>
      </x:c>
      <x:c r="F18" s="26" t="str">
        <x:v>Official BMXMuseum public social post exposed exact title/year.</x:v>
      </x:c>
      <x:c r="G18" s="26" t="str">
        <x:v>A1 exact identity</x:v>
      </x:c>
      <x:c r="H18" s="26" t="str">
        <x:v>GT Pro Series family is independently cataloged across the era.</x:v>
      </x:c>
      <x:c r="I18" s="26" t="str">
        <x:v>Serial, originality and exact configuration remain open.</x:v>
      </x:c>
      <x:c r="J18" s="26" t="str">
        <x:v>https://www.bmxmuseum.com/bikes/gt_bicycles/119277</x:v>
      </x:c>
      <x:c r="K18" s="26" t="str">
        <x:v>EXACT PUBLIC RECORD</x:v>
      </x:c>
    </x:row>
    <x:row r="19" ht="86" customHeight="1">
      <x:c r="A19" s="26" t="str">
        <x:v>GTD-BMXM-015</x:v>
      </x:c>
      <x:c r="B19" s="26" t="str">
        <x:v>GT</x:v>
      </x:c>
      <x:c r="C19" s="26" t="str">
        <x:v>53260</x:v>
      </x:c>
      <x:c r="D19" s="26" t="str">
        <x:v>Bike</x:v>
      </x:c>
      <x:c r="E19" s="26" t="str">
        <x:v>2003 GT Pro Series 24 comparison</x:v>
      </x:c>
      <x:c r="F19" s="26" t="str">
        <x:v>Exact public backlink in identification discussion.</x:v>
      </x:c>
      <x:c r="G19" s="26" t="str">
        <x:v>A2</x:v>
      </x:c>
      <x:c r="H19" s="26" t="str">
        <x:v>Later Pro Series 24 family independently documented.</x:v>
      </x:c>
      <x:c r="I19" s="26" t="str">
        <x:v>External poster used it as a comparison; exact metadata should remain qualified.</x:v>
      </x:c>
      <x:c r="J19" s="26" t="str">
        <x:v>https://www.bmxmuseum.com/bikes/gt_bicycles/53260</x:v>
      </x:c>
      <x:c r="K19" s="26" t="str">
        <x:v>EXACT ID / CONTEXT PARTIAL</x:v>
      </x:c>
    </x:row>
    <x:row r="20" ht="86" customHeight="1">
      <x:c r="A20" s="26" t="str">
        <x:v>GTD-BMXM-016</x:v>
      </x:c>
      <x:c r="B20" s="26" t="str">
        <x:v>GT</x:v>
      </x:c>
      <x:c r="C20" s="26" t="str">
        <x:v>44864</x:v>
      </x:c>
      <x:c r="D20" s="26" t="str">
        <x:v>Bike</x:v>
      </x:c>
      <x:c r="E20" s="26" t="str">
        <x:v>2001 GT Mach One comparison</x:v>
      </x:c>
      <x:c r="F20" s="26" t="str">
        <x:v>Exact public backlink.</x:v>
      </x:c>
      <x:c r="G20" s="26" t="str">
        <x:v>A2</x:v>
      </x:c>
      <x:c r="H20" s="26" t="str">
        <x:v>Mach One family independently documented.</x:v>
      </x:c>
      <x:c r="I20" s="26" t="str">
        <x:v>Originality and exact title not directly inspected.</x:v>
      </x:c>
      <x:c r="J20" s="26" t="str">
        <x:v>https://www.bmxmuseum.com/bikes/gt_bicycles/44864</x:v>
      </x:c>
      <x:c r="K20" s="26" t="str">
        <x:v>EXACT ID / CONTEXT PARTIAL</x:v>
      </x:c>
    </x:row>
    <x:row r="21" ht="86" customHeight="1">
      <x:c r="A21" s="26" t="str">
        <x:v>GTD-BMXM-017</x:v>
      </x:c>
      <x:c r="B21" s="26" t="str">
        <x:v>GT</x:v>
      </x:c>
      <x:c r="C21" s="26" t="str">
        <x:v>106522</x:v>
      </x:c>
      <x:c r="D21" s="26" t="str">
        <x:v>Bike</x:v>
      </x:c>
      <x:c r="E21" s="26" t="str">
        <x:v>1999 GT Performer comparison</x:v>
      </x:c>
      <x:c r="F21" s="26" t="str">
        <x:v>Exact public backlink.</x:v>
      </x:c>
      <x:c r="G21" s="26" t="str">
        <x:v>A2</x:v>
      </x:c>
      <x:c r="H21" s="26" t="str">
        <x:v>1999 catalog confirms Performer and YC serial guidance.</x:v>
      </x:c>
      <x:c r="I21" s="26" t="str">
        <x:v>Comparison identification does not authenticate the linked bike.</x:v>
      </x:c>
      <x:c r="J21" s="26" t="str">
        <x:v>https://www.bmxmuseum.com/bikes/gt_bicycles/106522</x:v>
      </x:c>
      <x:c r="K21" s="26" t="str">
        <x:v>EXACT ID / CONTEXT PARTIAL</x:v>
      </x:c>
    </x:row>
    <x:row r="22" ht="86" customHeight="1">
      <x:c r="A22" s="26" t="str">
        <x:v>GTD-BMXM-018</x:v>
      </x:c>
      <x:c r="B22" s="26" t="str">
        <x:v>GT</x:v>
      </x:c>
      <x:c r="C22" s="26" t="str">
        <x:v>606</x:v>
      </x:c>
      <x:c r="D22" s="26" t="str">
        <x:v>Bike</x:v>
      </x:c>
      <x:c r="E22" s="26" t="str">
        <x:v>Early GT Mini/Midi comparison</x:v>
      </x:c>
      <x:c r="F22" s="26" t="str">
        <x:v>Exact public backlink.</x:v>
      </x:c>
      <x:c r="G22" s="26" t="str">
        <x:v>A2</x:v>
      </x:c>
      <x:c r="H22" s="26" t="str">
        <x:v>Early GT catalog/model chronology remains incomplete.</x:v>
      </x:c>
      <x:c r="I22" s="26" t="str">
        <x:v>The public discussion itself expresses dating uncertainty.</x:v>
      </x:c>
      <x:c r="J22" s="26" t="str">
        <x:v>https://www.bmxmuseum.com/bikes/gt_bicycles/606</x:v>
      </x:c>
      <x:c r="K22" s="26" t="str">
        <x:v>EXACT ID / CONTEXT PARTIAL</x:v>
      </x:c>
    </x:row>
    <x:row r="23" ht="86" customHeight="1">
      <x:c r="A23" s="26" t="str">
        <x:v>GTD-BMXM-019</x:v>
      </x:c>
      <x:c r="B23" s="26" t="str">
        <x:v>GT</x:v>
      </x:c>
      <x:c r="C23" s="26" t="str">
        <x:v>23017</x:v>
      </x:c>
      <x:c r="D23" s="26" t="str">
        <x:v>Bike</x:v>
      </x:c>
      <x:c r="E23" s="26" t="str">
        <x:v>1992 GT Vertigo comparison</x:v>
      </x:c>
      <x:c r="F23" s="26" t="str">
        <x:v>Exact public backlink.</x:v>
      </x:c>
      <x:c r="G23" s="26" t="str">
        <x:v>A2</x:v>
      </x:c>
      <x:c r="H23" s="26" t="str">
        <x:v>Vertigo family is cataloged.</x:v>
      </x:c>
      <x:c r="I23" s="26" t="str">
        <x:v>The comparison discussion includes disagreement; not factory proof.</x:v>
      </x:c>
      <x:c r="J23" s="26" t="str">
        <x:v>https://www.bmxmuseum.com/bikes/gt_bicycles/23017</x:v>
      </x:c>
      <x:c r="K23" s="26" t="str">
        <x:v>EXACT ID / CONFLICT CONTEXT</x:v>
      </x:c>
    </x:row>
    <x:row r="24" ht="86" customHeight="1">
      <x:c r="A24" s="26" t="str">
        <x:v>GTD-BMXM-020</x:v>
      </x:c>
      <x:c r="B24" s="26" t="str">
        <x:v>GT</x:v>
      </x:c>
      <x:c r="C24" s="26" t="str">
        <x:v>42507</x:v>
      </x:c>
      <x:c r="D24" s="26" t="str">
        <x:v>Bike</x:v>
      </x:c>
      <x:c r="E24" s="26" t="str">
        <x:v>GT Vertigo comparison</x:v>
      </x:c>
      <x:c r="F24" s="26" t="str">
        <x:v>Exact public backlink.</x:v>
      </x:c>
      <x:c r="G24" s="26" t="str">
        <x:v>A2</x:v>
      </x:c>
      <x:c r="H24" s="26" t="str">
        <x:v>Vertigo family independently exists.</x:v>
      </x:c>
      <x:c r="I24" s="26" t="str">
        <x:v>Year/title context remains incomplete.</x:v>
      </x:c>
      <x:c r="J24" s="26" t="str">
        <x:v>https://www.bmxmuseum.com/bikes/gt_bicycles/42507</x:v>
      </x:c>
      <x:c r="K24" s="26" t="str">
        <x:v>EXACT ID / CONTEXT PARTIAL</x:v>
      </x:c>
    </x:row>
    <x:row r="25" ht="86" customHeight="1">
      <x:c r="A25" s="26" t="str">
        <x:v>GTD-BMXM-021</x:v>
      </x:c>
      <x:c r="B25" s="26" t="str">
        <x:v>GT</x:v>
      </x:c>
      <x:c r="C25" s="26" t="str">
        <x:v>2803</x:v>
      </x:c>
      <x:c r="D25" s="26" t="str">
        <x:v>Bike</x:v>
      </x:c>
      <x:c r="E25" s="26" t="str">
        <x:v>GT Showtime signature-model comparison</x:v>
      </x:c>
      <x:c r="F25" s="26" t="str">
        <x:v>Exact public backlink from collector search.</x:v>
      </x:c>
      <x:c r="G25" s="26" t="str">
        <x:v>A2</x:v>
      </x:c>
      <x:c r="H25" s="26" t="str">
        <x:v>Public collector source ties Showtime to Jeremy McGrath-era marketing.</x:v>
      </x:c>
      <x:c r="I25" s="26" t="str">
        <x:v>Exact submitted title/year and originality remain open.</x:v>
      </x:c>
      <x:c r="J25" s="26" t="str">
        <x:v>https://www.bmxmuseum.com/bikes/gt_bicycles/2803</x:v>
      </x:c>
      <x:c r="K25" s="26" t="str">
        <x:v>EXACT ID / CONTEXT PARTIAL</x:v>
      </x:c>
    </x:row>
    <x:row r="26" ht="86" customHeight="1">
      <x:c r="A26" s="26" t="str">
        <x:v>GTD-BMXM-022</x:v>
      </x:c>
      <x:c r="B26" s="26" t="str">
        <x:v>GT</x:v>
      </x:c>
      <x:c r="C26" s="26" t="str">
        <x:v>48067</x:v>
      </x:c>
      <x:c r="D26" s="26" t="str">
        <x:v>Bike</x:v>
      </x:c>
      <x:c r="E26" s="26" t="str">
        <x:v>1999 GT Show frame comparison</x:v>
      </x:c>
      <x:c r="F26" s="26" t="str">
        <x:v>Exact public backlink from owner discussion.</x:v>
      </x:c>
      <x:c r="G26" s="26" t="str">
        <x:v>A2</x:v>
      </x:c>
      <x:c r="H26" s="26" t="str">
        <x:v>1998–1999 GT Show catalog metadata independently exists.</x:v>
      </x:c>
      <x:c r="I26" s="26" t="str">
        <x:v>Frame may be custom/restored; exact canonical metadata not inspected.</x:v>
      </x:c>
      <x:c r="J26" s="26" t="str">
        <x:v>https://www.bmxmuseum.com/bikes/gt_bicycles/48067</x:v>
      </x:c>
      <x:c r="K26" s="26" t="str">
        <x:v>EXACT ID / CONTEXT PARTIAL</x:v>
      </x:c>
    </x:row>
    <x:row r="27" ht="86" customHeight="1">
      <x:c r="A27" s="26" t="str">
        <x:v>GTD-BMXM-023</x:v>
      </x:c>
      <x:c r="B27" s="26" t="str">
        <x:v>GT</x:v>
      </x:c>
      <x:c r="C27" s="26" t="str">
        <x:v>7425</x:v>
      </x:c>
      <x:c r="D27" s="26" t="str">
        <x:v>Bike</x:v>
      </x:c>
      <x:c r="E27" s="26" t="str">
        <x:v>1989 GT Aggressor comparison</x:v>
      </x:c>
      <x:c r="F27" s="26" t="str">
        <x:v>Exact public backlink.</x:v>
      </x:c>
      <x:c r="G27" s="26" t="str">
        <x:v>A2</x:v>
      </x:c>
      <x:c r="H27" s="26" t="str">
        <x:v>Model-family verification remains independent work.</x:v>
      </x:c>
      <x:c r="I27" s="26" t="str">
        <x:v>Unrelated to GT Air Show despite similar 'show' language.</x:v>
      </x:c>
      <x:c r="J27" s="26" t="str">
        <x:v>https://www.bmxmuseum.com/bikes/gt_bicycles/7425</x:v>
      </x:c>
      <x:c r="K27" s="26" t="str">
        <x:v>EXACT ID / CONTEXT PARTIAL</x:v>
      </x:c>
    </x:row>
    <x:row r="28" ht="86" customHeight="1">
      <x:c r="A28" s="26" t="str">
        <x:v>GTD-BMXM-024</x:v>
      </x:c>
      <x:c r="B28" s="26" t="str">
        <x:v>GT</x:v>
      </x:c>
      <x:c r="C28" s="26" t="str">
        <x:v>23222</x:v>
      </x:c>
      <x:c r="D28" s="26" t="str">
        <x:v>Bike</x:v>
      </x:c>
      <x:c r="E28" s="26" t="str">
        <x:v>1989 GT Mach One comparison</x:v>
      </x:c>
      <x:c r="F28" s="26" t="str">
        <x:v>Exact public backlink.</x:v>
      </x:c>
      <x:c r="G28" s="26" t="str">
        <x:v>A2</x:v>
      </x:c>
      <x:c r="H28" s="26" t="str">
        <x:v>Mach One family cataloged independently.</x:v>
      </x:c>
      <x:c r="I28" s="26" t="str">
        <x:v>External discussion corrected an earlier misdate, demonstrating uncertainty.</x:v>
      </x:c>
      <x:c r="J28" s="26" t="str">
        <x:v>https://www.bmxmuseum.com/bikes/gt_bicycles/23222</x:v>
      </x:c>
      <x:c r="K28" s="26" t="str">
        <x:v>EXACT ID / CONFLICT CONTEXT</x:v>
      </x:c>
    </x:row>
    <x:row r="29" ht="86" customHeight="1">
      <x:c r="A29" s="26" t="str">
        <x:v>GTD-BMXM-025</x:v>
      </x:c>
      <x:c r="B29" s="26" t="str">
        <x:v>GT</x:v>
      </x:c>
      <x:c r="C29" s="26" t="str">
        <x:v>302</x:v>
      </x:c>
      <x:c r="D29" s="26" t="str">
        <x:v>Bike</x:v>
      </x:c>
      <x:c r="E29" s="26" t="str">
        <x:v>GT Pro Freestyle comparison</x:v>
      </x:c>
      <x:c r="F29" s="26" t="str">
        <x:v>Exact public backlink.</x:v>
      </x:c>
      <x:c r="G29" s="26" t="str">
        <x:v>A2</x:v>
      </x:c>
      <x:c r="H29" s="26" t="str">
        <x:v>Pro Freestyle Tour family independently cataloged.</x:v>
      </x:c>
      <x:c r="I29" s="26" t="str">
        <x:v>Exact model title/year and build originality remain open.</x:v>
      </x:c>
      <x:c r="J29" s="26" t="str">
        <x:v>https://www.bmxmuseum.com/bikes/gt_bicycles/302</x:v>
      </x:c>
      <x:c r="K29" s="26" t="str">
        <x:v>EXACT ID / CONTEXT PARTIAL</x:v>
      </x:c>
    </x:row>
    <x:row r="30" ht="86" customHeight="1">
      <x:c r="A30" s="26" t="str">
        <x:v>GTD-BMXM-026</x:v>
      </x:c>
      <x:c r="B30" s="26" t="str">
        <x:v>GT</x:v>
      </x:c>
      <x:c r="C30" s="26" t="str">
        <x:v>7531</x:v>
      </x:c>
      <x:c r="D30" s="26" t="str">
        <x:v>Forum</x:v>
      </x:c>
      <x:c r="E30" s="26" t="str">
        <x:v>1996 GT catalog discussion</x:v>
      </x:c>
      <x:c r="F30" s="26" t="str">
        <x:v>Exact forum ID exposed in an outside catalog discussion.</x:v>
      </x:c>
      <x:c r="G30" s="26" t="str">
        <x:v>A2</x:v>
      </x:c>
      <x:c r="H30" s="26" t="str">
        <x:v>1996 catalog structure independently recovered.</x:v>
      </x:c>
      <x:c r="I30" s="26" t="str">
        <x:v>Forum content is not mirrored; may or may not be identical to the indexed BMXMuseum reference object.</x:v>
      </x:c>
      <x:c r="J30" s="26" t="str">
        <x:v>https://www.bmxmuseum.com/forums/viewtopic.php?id=7531</x:v>
      </x:c>
      <x:c r="K30" s="26" t="str">
        <x:v>EXACT TOPIC ID</x:v>
      </x:c>
    </x:row>
    <x:row r="31" ht="86" customHeight="1">
      <x:c r="A31" s="26" t="str">
        <x:v>GTD-BMXM-027</x:v>
      </x:c>
      <x:c r="B31" s="26" t="str">
        <x:v>GT</x:v>
      </x:c>
      <x:c r="C31" s="26" t="str">
        <x:v>/bikes/gt_bicycles/</x:v>
      </x:c>
      <x:c r="D31" s="26" t="str">
        <x:v>Brand gallery</x:v>
      </x:c>
      <x:c r="E31" s="26" t="str">
        <x:v>GT Bicycles gallery endpoint</x:v>
      </x:c>
      <x:c r="F31" s="26" t="str">
        <x:v>Public canonical path.</x:v>
      </x:c>
      <x:c r="G31" s="26" t="str">
        <x:v>HIGH endpoint</x:v>
      </x:c>
      <x:c r="H31" s="26" t="str">
        <x:v>Useful for canonical linking.</x:v>
      </x:c>
      <x:c r="I31" s="26" t="str">
        <x:v>No completeness claim or direct crawl.</x:v>
      </x:c>
      <x:c r="J31" s="26" t="str">
        <x:v>https://www.bmxmuseum.com/bikes/gt_bicycles/</x:v>
      </x:c>
      <x:c r="K31" s="26" t="str">
        <x:v>PUBLIC ENDPOINT</x:v>
      </x:c>
    </x:row>
    <x:row r="32" ht="86" customHeight="1">
      <x:c r="A32" s="26" t="str">
        <x:v>GTD-BMXM-028</x:v>
      </x:c>
      <x:c r="B32" s="26" t="str">
        <x:v>Dyno</x:v>
      </x:c>
      <x:c r="C32" s="26" t="str">
        <x:v>/bikes/dyno/</x:v>
      </x:c>
      <x:c r="D32" s="26" t="str">
        <x:v>Brand gallery</x:v>
      </x:c>
      <x:c r="E32" s="26" t="str">
        <x:v>Dyno gallery endpoint</x:v>
      </x:c>
      <x:c r="F32" s="26" t="str">
        <x:v>Public canonical path.</x:v>
      </x:c>
      <x:c r="G32" s="26" t="str">
        <x:v>HIGH endpoint</x:v>
      </x:c>
      <x:c r="H32" s="26" t="str">
        <x:v>Useful for canonical linking.</x:v>
      </x:c>
      <x:c r="I32" s="26" t="str">
        <x:v>No completeness claim or direct crawl.</x:v>
      </x:c>
      <x:c r="J32" s="26" t="str">
        <x:v>https://www.bmxmuseum.com/bikes/dyno/</x:v>
      </x:c>
      <x:c r="K32" s="26" t="str">
        <x:v>PUBLIC ENDPOINT</x:v>
      </x:c>
    </x:row>
  </x:sheetData>
  <x:mergeCells>
    <x:mergeCell ref="A1:K1"/>
    <x:mergeCell ref="A2:K2"/>
  </x:mergeCells>
  <x:pageMargins left="0.7" right="0.7" top="0.75" bottom="0.75" header="0.3" footer="0.3"/>
  <x:tableParts count="1">
    <x:tablePart xmlns:r="http://schemas.openxmlformats.org/officeDocument/2006/relationships" r:id="R114bbe58f84d444b"/>
  </x:tableParts>
</x:worksheet>
</file>

<file path=xl/worksheets/sheet111.xml><?xml version="1.0" encoding="utf-8"?>
<x:worksheet xmlns:x="http://schemas.openxmlformats.org/spreadsheetml/2006/main">
  <x:sheetFormatPr defaultRowHeight="15"/>
  <x:cols>
    <x:col min="1" max="1" width="15" hidden="0" customWidth="1"/>
    <x:col min="2" max="2" width="34" hidden="0" customWidth="1"/>
    <x:col min="3" max="3" width="18" hidden="0" customWidth="1"/>
    <x:col min="4" max="4" width="48" hidden="0" customWidth="1"/>
    <x:col min="5" max="5" width="54" hidden="0" customWidth="1"/>
    <x:col min="6" max="6" width="62" hidden="0" customWidth="1"/>
    <x:col min="7" max="7" width="54" hidden="0" customWidth="1"/>
    <x:col min="8" max="8" width="44" hidden="0" customWidth="1"/>
    <x:col min="9" max="9" width="30" hidden="0" customWidth="1"/>
    <x:col min="10" max="10" width="24" hidden="0" customWidth="1"/>
  </x:cols>
  <x:sheetData>
    <x:row r="1" ht="31" customHeight="1">
      <x:c r="A1" s="600" t="str">
        <x:v>GT and Dyno–Lititz BMX Artifact Crosswalk</x:v>
      </x:c>
      <x:c r="B1" s="600"/>
      <x:c r="C1" s="600"/>
      <x:c r="D1" s="600"/>
      <x:c r="E1" s="600"/>
      <x:c r="F1" s="600"/>
      <x:c r="G1" s="600"/>
      <x:c r="H1" s="600"/>
      <x:c r="I1" s="600"/>
      <x:c r="J1" s="600"/>
    </x:row>
    <x:row r="2" ht="31" customHeight="1">
      <x:c r="A2" s="605" t="str">
        <x:v>The crosswalk separates brand context, official achievements, collection provenance and exact physical-object authentication.</x:v>
      </x:c>
      <x:c r="B2" s="605"/>
      <x:c r="C2" s="605"/>
      <x:c r="D2" s="605"/>
      <x:c r="E2" s="605"/>
      <x:c r="F2" s="605"/>
      <x:c r="G2" s="605"/>
      <x:c r="H2" s="605"/>
      <x:c r="I2" s="605"/>
      <x:c r="J2" s="605"/>
    </x:row>
    <x:row r="4">
      <x:c r="A4" s="610" t="str">
        <x:v>Crosswalk ID</x:v>
      </x:c>
      <x:c r="B4" s="610" t="str">
        <x:v>Artifact / Archive Object</x:v>
      </x:c>
      <x:c r="C4" s="610" t="str">
        <x:v>Artifact ID</x:v>
      </x:c>
      <x:c r="D4" s="610" t="str">
        <x:v>Relationship</x:v>
      </x:c>
      <x:c r="E4" s="610" t="str">
        <x:v>Current Evidence</x:v>
      </x:c>
      <x:c r="F4" s="610" t="str">
        <x:v>Safe Public Wording</x:v>
      </x:c>
      <x:c r="G4" s="610" t="str">
        <x:v>What It Does Not Prove</x:v>
      </x:c>
      <x:c r="H4" s="610" t="str">
        <x:v>Catalog / Research Link</x:v>
      </x:c>
      <x:c r="I4" s="610" t="str">
        <x:v>Physical Roadmap</x:v>
      </x:c>
      <x:c r="J4" s="610" t="str">
        <x:v>Status</x:v>
      </x:c>
    </x:row>
    <x:row r="5" ht="92" customHeight="1">
      <x:c r="A5" s="26" t="str">
        <x:v>GTD-XW-001</x:v>
      </x:c>
      <x:c r="B5" s="26" t="str">
        <x:v>Todd Huffman GT Air Show jacket</x:v>
      </x:c>
      <x:c r="C5" s="26" t="str">
        <x:v>26.0020</x:v>
      </x:c>
      <x:c r="D5" s="26" t="str">
        <x:v>GT promotional-program apparel / collection provenance</x:v>
      </x:c>
      <x:c r="E5" s="26" t="str">
        <x:v>Lititz inventory attributes the jacket to Todd Huffman; 1998 Dyno catalog confirms a GT Bicycle Air Show promotional context involving Dyno riders.</x:v>
      </x:c>
      <x:c r="F5" s="26" t="str">
        <x:v>Artifact 26.0020 is a GT Bicycle Air Show-branded jacket attributed in the collection to Todd Huffman. Exact issue date, role, wearer history and event use remain under authentication.</x:v>
      </x:c>
      <x:c r="G5" s="26" t="str">
        <x:v>It does not by itself prove that Huffman performed as a rider, that the jacket was team-issued, or that it dates specifically to 1998.</x:v>
      </x:c>
      <x:c r="H5" s="26" t="str">
        <x:v>1998 Dyno catalog/team evidence</x:v>
      </x:c>
      <x:c r="I5" s="26" t="str">
        <x:v>New PHYS-GT-ASHOW tasks added</x:v>
      </x:c>
      <x:c r="J5" s="26" t="str">
        <x:v>QUALIFIED</x:v>
      </x:c>
    </x:row>
    <x:row r="6" ht="92" customHeight="1">
      <x:c r="A6" s="26" t="str">
        <x:v>GTD-XW-002</x:v>
      </x:c>
      <x:c r="B6" s="26" t="str">
        <x:v>Harry Leary GT lanyard</x:v>
      </x:c>
      <x:c r="C6" s="26" t="str">
        <x:v>26.0040</x:v>
      </x:c>
      <x:c r="D6" s="26" t="str">
        <x:v>GT-branded personal/collection object</x:v>
      </x:c>
      <x:c r="E6" s="26" t="str">
        <x:v>Lititz inventory associates the lanyard with Harry Leary.</x:v>
      </x:c>
      <x:c r="F6" s="26" t="str">
        <x:v>Artifact 26.0040 is a GT-branded lanyard attributed through collection provenance to Harry Leary; date, event and exact use remain open.</x:v>
      </x:c>
      <x:c r="G6" s="26" t="str">
        <x:v>It does not establish GT employment, sponsorship, rider status or a particular event.</x:v>
      </x:c>
      <x:c r="H6" s="26" t="str">
        <x:v>GT corporate/rider chronology</x:v>
      </x:c>
      <x:c r="I6" s="26" t="str">
        <x:v>New PHYS-GT-LANYARD tasks added</x:v>
      </x:c>
      <x:c r="J6" s="26" t="str">
        <x:v>QUALIFIED</x:v>
      </x:c>
    </x:row>
    <x:row r="7" ht="92" customHeight="1">
      <x:c r="A7" s="26" t="str">
        <x:v>GTD-XW-003</x:v>
      </x:c>
      <x:c r="B7" s="26" t="str">
        <x:v>Felicia Stancil 2012 Worlds GT</x:v>
      </x:c>
      <x:c r="C7" s="26" t="str">
        <x:v>26.0054</x:v>
      </x:c>
      <x:c r="D7" s="26" t="str">
        <x:v>Factory GT race bicycle attribution</x:v>
      </x:c>
      <x:c r="E7" s="26" t="str">
        <x:v>Official results verify both 2012 Junior Women world titles; the physical bike/plate package remains graded B− pending serial/provenance comparison.</x:v>
      </x:c>
      <x:c r="F7" s="26" t="str">
        <x:v>Artifact 26.0054 is strongly attributed as Felicia Stancil's 2012 Worlds GT Speed Series and retains a named W1 plate; exact frame and race-day configuration authentication remain open.</x:v>
      </x:c>
      <x:c r="G7" s="26" t="str">
        <x:v>Results do not automatically authenticate the surviving frame or every current component.</x:v>
      </x:c>
      <x:c r="H7" s="26" t="str">
        <x:v>GT Speed Series model family; official 2012 results</x:v>
      </x:c>
      <x:c r="I7" s="26" t="str">
        <x:v>Existing PHYS-FEL tasks</x:v>
      </x:c>
      <x:c r="J7" s="26" t="str">
        <x:v>PUBLISH QUALIFIED</x:v>
      </x:c>
    </x:row>
    <x:row r="8" ht="92" customHeight="1">
      <x:c r="A8" s="26" t="str">
        <x:v>GTD-XW-004</x:v>
      </x:c>
      <x:c r="B8" s="26" t="str">
        <x:v>GT/Dyno catalog research objects</x:v>
      </x:c>
      <x:c r="C8" s="26" t="str">
        <x:v>Archive source category</x:v>
      </x:c>
      <x:c r="D8" s="26" t="str">
        <x:v>Archive relationship</x:v>
      </x:c>
      <x:c r="E8" s="26" t="str">
        <x:v>1992, 1996 and 1999 catalog titles are indexed; independent year/model reconstruction now controls the working model register.</x:v>
      </x:c>
      <x:c r="F8" s="26" t="str">
        <x:v>Lititz BMX maintains a catalog-controlled GT/Dyno research layer that records model-year structures and source limitations without reproducing scans.</x:v>
      </x:c>
      <x:c r="G8" s="26" t="str">
        <x:v>It does not establish possession of every catalog or completeness of BMXMuseum's reference collection.</x:v>
      </x:c>
      <x:c r="H8" s="26" t="str">
        <x:v>GT-Dyno Catalog Matrix</x:v>
      </x:c>
      <x:c r="I8" s="26" t="str">
        <x:v>None</x:v>
      </x:c>
      <x:c r="J8" s="26" t="str">
        <x:v>ACTIVE</x:v>
      </x:c>
    </x:row>
    <x:row r="9" ht="92" customHeight="1">
      <x:c r="A9" s="26" t="str">
        <x:v>GTD-XW-005</x:v>
      </x:c>
      <x:c r="B9" s="26" t="str">
        <x:v>GT Air Show / Dyno rider relationship</x:v>
      </x:c>
      <x:c r="C9" s="26" t="str">
        <x:v>Archive relationship</x:v>
      </x:c>
      <x:c r="D9" s="26" t="str">
        <x:v>Research object</x:v>
      </x:c>
      <x:c r="E9" s="26" t="str">
        <x:v>1998 Dyno catalog connects Trevor Meyer, Gabe Weed and Aaron Benke with Dyno and GT Bicycle Air Show context.</x:v>
      </x:c>
      <x:c r="F9" s="26" t="str">
        <x:v>The 1998 Dyno catalog provides a dated interpretive context for GT Bicycle Air Show branding and Dyno team activity.</x:v>
      </x:c>
      <x:c r="G9" s="26" t="str">
        <x:v>It does not identify artifact 26.0020's exact owner, issue date or event.</x:v>
      </x:c>
      <x:c r="H9" s="26" t="str">
        <x:v>GT-Dyno People &amp; Teams</x:v>
      </x:c>
      <x:c r="I9" s="26" t="str">
        <x:v>PHYS-GT-ASHOW</x:v>
      </x:c>
      <x:c r="J9" s="26" t="str">
        <x:v>ACTIVE</x:v>
      </x:c>
    </x:row>
  </x:sheetData>
  <x:mergeCells>
    <x:mergeCell ref="A1:J1"/>
    <x:mergeCell ref="A2:J2"/>
  </x:mergeCells>
  <x:pageMargins left="0.7" right="0.7" top="0.75" bottom="0.75" header="0.3" footer="0.3"/>
  <x:tableParts count="1">
    <x:tablePart xmlns:r="http://schemas.openxmlformats.org/officeDocument/2006/relationships" r:id="Ra0d3a02635d04c4a"/>
  </x:tableParts>
</x:worksheet>
</file>

<file path=xl/worksheets/sheet112.xml><?xml version="1.0" encoding="utf-8"?>
<x:worksheet xmlns:x="http://schemas.openxmlformats.org/spreadsheetml/2006/main">
  <x:sheetFormatPr defaultRowHeight="15"/>
  <x:cols>
    <x:col min="1" max="1" width="15" hidden="0" customWidth="1"/>
    <x:col min="2" max="2" width="25" hidden="0" customWidth="1"/>
    <x:col min="3" max="3" width="55" hidden="0" customWidth="1"/>
    <x:col min="4" max="4" width="27" hidden="0" customWidth="1"/>
    <x:col min="5" max="5" width="29" hidden="0" customWidth="1"/>
    <x:col min="6" max="6" width="50" hidden="0" customWidth="1"/>
    <x:col min="7" max="7" width="50" hidden="0" customWidth="1"/>
    <x:col min="8" max="8" width="62" hidden="0" customWidth="1"/>
    <x:col min="9" max="9" width="44" hidden="0" customWidth="1"/>
    <x:col min="10" max="10" width="22" hidden="0" customWidth="1"/>
  </x:cols>
  <x:sheetData>
    <x:row r="1" ht="31" customHeight="1">
      <x:c r="A1" s="600" t="str">
        <x:v>GT and Dyno Claim-Level Determinations</x:v>
      </x:c>
      <x:c r="B1" s="600"/>
      <x:c r="C1" s="600"/>
      <x:c r="D1" s="600"/>
      <x:c r="E1" s="600"/>
      <x:c r="F1" s="600"/>
      <x:c r="G1" s="600"/>
      <x:c r="H1" s="600"/>
      <x:c r="I1" s="600"/>
      <x:c r="J1" s="600"/>
    </x:row>
    <x:row r="2" ht="31" customHeight="1">
      <x:c r="A2" s="605" t="str">
        <x:v>The ledger prevents acquisition history, design credit, model names, serial formulas, catalog absence, retail prices and collection artifacts from being overstated.</x:v>
      </x:c>
      <x:c r="B2" s="605"/>
      <x:c r="C2" s="605"/>
      <x:c r="D2" s="605"/>
      <x:c r="E2" s="605"/>
      <x:c r="F2" s="605"/>
      <x:c r="G2" s="605"/>
      <x:c r="H2" s="605"/>
      <x:c r="I2" s="605"/>
      <x:c r="J2" s="605"/>
    </x:row>
    <x:row r="4">
      <x:c r="A4" s="610" t="str">
        <x:v>Claim ID</x:v>
      </x:c>
      <x:c r="B4" s="610" t="str">
        <x:v>Subject</x:v>
      </x:c>
      <x:c r="C4" s="610" t="str">
        <x:v>Claim</x:v>
      </x:c>
      <x:c r="D4" s="610" t="str">
        <x:v>Evidence Level</x:v>
      </x:c>
      <x:c r="E4" s="610" t="str">
        <x:v>Determination</x:v>
      </x:c>
      <x:c r="F4" s="610" t="str">
        <x:v>Supporting Evidence</x:v>
      </x:c>
      <x:c r="G4" s="610" t="str">
        <x:v>Conflict / Limitation</x:v>
      </x:c>
      <x:c r="H4" s="610" t="str">
        <x:v>Safe Public Wording</x:v>
      </x:c>
      <x:c r="I4" s="610" t="str">
        <x:v>Next Verification</x:v>
      </x:c>
      <x:c r="J4" s="610" t="str">
        <x:v>Status</x:v>
      </x:c>
    </x:row>
    <x:row r="5" ht="90" customHeight="1">
      <x:c r="A5" s="26" t="str">
        <x:v>GTD-CLM-001</x:v>
      </x:c>
      <x:c r="B5" s="26" t="str">
        <x:v>GT origin</x:v>
      </x:c>
      <x:c r="C5" s="26" t="str">
        <x:v>GT Bicycles began in 1972 as a fully formed bicycle company.</x:v>
      </x:c>
      <x:c r="D5" s="26" t="str">
        <x:v>V4 official history</x:v>
      </x:c>
      <x:c r="E5" s="26" t="str">
        <x:v>QUALIFY</x:v>
      </x:c>
      <x:c r="F5" s="26" t="str">
        <x:v>GT officially dates Gary Turner's first frame to 1972.</x:v>
      </x:c>
      <x:c r="G5" s="26" t="str">
        <x:v>Formal company/partnership history came later.</x:v>
      </x:c>
      <x:c r="H5" s="26" t="str">
        <x:v>GT traces its engineering origin to Gary Turner's first frame in 1972; the company developed during the later 1970s.</x:v>
      </x:c>
      <x:c r="I5" s="26" t="str">
        <x:v>Corporate records and period ads.</x:v>
      </x:c>
      <x:c r="J5" s="26" t="str">
        <x:v>LOCKED</x:v>
      </x:c>
    </x:row>
    <x:row r="6" ht="90" customHeight="1">
      <x:c r="A6" s="26" t="str">
        <x:v>GTD-CLM-002</x:v>
      </x:c>
      <x:c r="B6" s="26" t="str">
        <x:v>Dyno origin</x:v>
      </x:c>
      <x:c r="C6" s="26" t="str">
        <x:v>Dyno began selling bicycles in 1982.</x:v>
      </x:c>
      <x:c r="D6" s="26" t="str">
        <x:v>V3 first-person history</x:v>
      </x:c>
      <x:c r="E6" s="26" t="str">
        <x:v>REJECT / CORRECT</x:v>
      </x:c>
      <x:c r="F6" s="26" t="str">
        <x:v>Morales identifies 1982 products as apparel and accessories; first Dyno frame/fork followed the 1985 GT sale.</x:v>
      </x:c>
      <x:c r="G6" s="26" t="str">
        <x:v>No 1982 Dyno bicycle is supported.</x:v>
      </x:c>
      <x:c r="H6" s="26" t="str">
        <x:v>Dyno began in 1982 as a soft-goods/accessory brand and entered bicycles after GT acquired it in 1985.</x:v>
      </x:c>
      <x:c r="I6" s="26" t="str">
        <x:v>Period 1982/1985 catalogs and ads.</x:v>
      </x:c>
      <x:c r="J6" s="26" t="str">
        <x:v>LOCKED</x:v>
      </x:c>
    </x:row>
    <x:row r="7" ht="90" customHeight="1">
      <x:c r="A7" s="26" t="str">
        <x:v>GTD-CLM-003</x:v>
      </x:c>
      <x:c r="B7" s="26" t="str">
        <x:v>Performer</x:v>
      </x:c>
      <x:c r="C7" s="26" t="str">
        <x:v>The 1983 GT Performer was a Dyno bicycle.</x:v>
      </x:c>
      <x:c r="D7" s="26" t="str">
        <x:v>V3 first-person history</x:v>
      </x:c>
      <x:c r="E7" s="26" t="str">
        <x:v>REJECT</x:v>
      </x:c>
      <x:c r="F7" s="26" t="str">
        <x:v>Morales and Fiola designed it for GT before GT bought Dyno.</x:v>
      </x:c>
      <x:c r="G7" s="26" t="str">
        <x:v>Dyno sponsorship and Morales ownership can create confusion.</x:v>
      </x:c>
      <x:c r="H7" s="26" t="str">
        <x:v>The first GT Performer was a GT freestyle design developed by Bob Morales and Eddie Fiola in 1983, before GT acquired Dyno.</x:v>
      </x:c>
      <x:c r="I7" s="26" t="str">
        <x:v>Period GT ad/patent records.</x:v>
      </x:c>
      <x:c r="J7" s="26" t="str">
        <x:v>LOCKED</x:v>
      </x:c>
    </x:row>
    <x:row r="8" ht="90" customHeight="1">
      <x:c r="A8" s="26" t="str">
        <x:v>GTD-CLM-004</x:v>
      </x:c>
      <x:c r="B8" s="26" t="str">
        <x:v>Morales design credit</x:v>
      </x:c>
      <x:c r="C8" s="26" t="str">
        <x:v>Bob Morales designed every GT and Dyno BMX model after 1985.</x:v>
      </x:c>
      <x:c r="D8" s="26" t="str">
        <x:v>V3 first-person history</x:v>
      </x:c>
      <x:c r="E8" s="26" t="str">
        <x:v>REJECT</x:v>
      </x:c>
      <x:c r="F8" s="26" t="str">
        <x:v>Morales says he designed the first Dyno frame/fork and many products, then left full-time GT work in 1986.</x:v>
      </x:c>
      <x:c r="G8" s="26" t="str">
        <x:v>Later design teams and model-specific credits remain open.</x:v>
      </x:c>
      <x:c r="H8" s="26" t="str">
        <x:v>Bob Morales designed the first Dyno frame/fork and multiple GT/Dyno products during the acquisition period; later design credit is model-specific.</x:v>
      </x:c>
      <x:c r="I8" s="26" t="str">
        <x:v>Catalog credits, patents and interviews.</x:v>
      </x:c>
      <x:c r="J8" s="26" t="str">
        <x:v>LOCKED</x:v>
      </x:c>
    </x:row>
    <x:row r="9" ht="90" customHeight="1">
      <x:c r="A9" s="26" t="str">
        <x:v>GTD-CLM-005</x:v>
      </x:c>
      <x:c r="B9" s="26" t="str">
        <x:v>Brand identity</x:v>
      </x:c>
      <x:c r="C9" s="26" t="str">
        <x:v>GT and Dyno are interchangeable brand names after 1985.</x:v>
      </x:c>
      <x:c r="D9" s="26" t="str">
        <x:v>Catalog evidence</x:v>
      </x:c>
      <x:c r="E9" s="26" t="str">
        <x:v>REJECT</x:v>
      </x:c>
      <x:c r="F9" s="26" t="str">
        <x:v>Shared ownership and components coexist with separate catalogs, model names and market positions.</x:v>
      </x:c>
      <x:c r="G9" s="26" t="str">
        <x:v>Some bicycles/parts use both brand names informally.</x:v>
      </x:c>
      <x:c r="H9" s="26" t="str">
        <x:v>GT and Dyno remained distinct product brands under shared corporate ownership.</x:v>
      </x:c>
      <x:c r="I9" s="26" t="str">
        <x:v>Year-specific catalogs and decals.</x:v>
      </x:c>
      <x:c r="J9" s="26" t="str">
        <x:v>LOCKED</x:v>
      </x:c>
    </x:row>
    <x:row r="10" ht="90" customHeight="1">
      <x:c r="A10" s="26" t="str">
        <x:v>GTD-CLM-006</x:v>
      </x:c>
      <x:c r="B10" s="26" t="str">
        <x:v>Model name</x:v>
      </x:c>
      <x:c r="C10" s="26" t="str">
        <x:v>A GT Performer or Dyno Compe title is enough to determine specification.</x:v>
      </x:c>
      <x:c r="D10" s="26" t="str">
        <x:v>Cross-year catalog comparison</x:v>
      </x:c>
      <x:c r="E10" s="26" t="str">
        <x:v>REJECT</x:v>
      </x:c>
      <x:c r="F10" s="26" t="str">
        <x:v>Specifications and materials changed substantially by year.</x:v>
      </x:c>
      <x:c r="G10" s="26" t="str">
        <x:v>Same model names persisted for many years.</x:v>
      </x:c>
      <x:c r="H10" s="26" t="str">
        <x:v>Record model year, market, factory, material and catalog page before using specifications.</x:v>
      </x:c>
      <x:c r="I10" s="26" t="str">
        <x:v>Exact year/catalog comparison.</x:v>
      </x:c>
      <x:c r="J10" s="26" t="str">
        <x:v>LOCKED</x:v>
      </x:c>
    </x:row>
    <x:row r="11" ht="90" customHeight="1">
      <x:c r="A11" s="26" t="str">
        <x:v>GTD-CLM-007</x:v>
      </x:c>
      <x:c r="B11" s="26" t="str">
        <x:v>Compe material</x:v>
      </x:c>
      <x:c r="C11" s="26" t="str">
        <x:v>All Dyno Compes are full chromoly.</x:v>
      </x:c>
      <x:c r="D11" s="26" t="str">
        <x:v>Catalog comparison</x:v>
      </x:c>
      <x:c r="E11" s="26" t="str">
        <x:v>REJECT</x:v>
      </x:c>
      <x:c r="F11" s="26" t="str">
        <x:v>1991 page identifies HI-TEN; later pages describe chromoly main/down tube or year-specific structures.</x:v>
      </x:c>
      <x:c r="G11" s="26" t="str">
        <x:v>Catalog wording varies and may not mean full chromoly.</x:v>
      </x:c>
      <x:c r="H11" s="26" t="str">
        <x:v>Dyno Compe frame material must be stated from the exact model-year catalog.</x:v>
      </x:c>
      <x:c r="I11" s="26" t="str">
        <x:v>Original catalog page and frame markings.</x:v>
      </x:c>
      <x:c r="J11" s="26" t="str">
        <x:v>LOCKED</x:v>
      </x:c>
    </x:row>
    <x:row r="12" ht="90" customHeight="1">
      <x:c r="A12" s="26" t="str">
        <x:v>GTD-CLM-008</x:v>
      </x:c>
      <x:c r="B12" s="26" t="str">
        <x:v>Afterburner</x:v>
      </x:c>
      <x:c r="C12" s="26" t="str">
        <x:v>Dyno VFR Afterburner is necessarily a separate model.</x:v>
      </x:c>
      <x:c r="D12" s="26" t="str">
        <x:v>1998 catalog evidence</x:v>
      </x:c>
      <x:c r="E12" s="26" t="str">
        <x:v>QUALIFY</x:v>
      </x:c>
      <x:c r="F12" s="26" t="str">
        <x:v>1998 VFR page lists Afterburner among colors.</x:v>
      </x:c>
      <x:c r="G12" s="26" t="str">
        <x:v>BMXMuseum submission title may style it as a model.</x:v>
      </x:c>
      <x:c r="H12" s="26" t="str">
        <x:v>The 1998 catalog documents Afterburner as a VFR finish/colorway; a separate-model claim requires additional evidence.</x:v>
      </x:c>
      <x:c r="I12" s="26" t="str">
        <x:v>Canonical record and catalog page.</x:v>
      </x:c>
      <x:c r="J12" s="26" t="str">
        <x:v>LOCKED</x:v>
      </x:c>
    </x:row>
    <x:row r="13" ht="90" customHeight="1">
      <x:c r="A13" s="26" t="str">
        <x:v>GTD-CLM-009</x:v>
      </x:c>
      <x:c r="B13" s="26" t="str">
        <x:v>1999 Air</x:v>
      </x:c>
      <x:c r="C13" s="26" t="str">
        <x:v>The 1999 Dyno Air did not exist because it was absent from the original catalog.</x:v>
      </x:c>
      <x:c r="D13" s="26" t="str">
        <x:v>Catalog reconstruction conflict</x:v>
      </x:c>
      <x:c r="E13" s="26" t="str">
        <x:v>REJECT AS ABSENCE CLAIM</x:v>
      </x:c>
      <x:c r="F13" s="26" t="str">
        <x:v>Reconstruction says the model did not appear in the original 1999 catalog but documents the product separately.</x:v>
      </x:c>
      <x:c r="G13" s="26" t="str">
        <x:v>Supplemental, regional or uncataloged production remains possible.</x:v>
      </x:c>
      <x:c r="H13" s="26" t="str">
        <x:v>The 1999 Dyno Air is documented by the reconstruction, but its absence from the original catalog requires source qualification rather than a nonexistence conclusion.</x:v>
      </x:c>
      <x:c r="I13" s="26" t="str">
        <x:v>Physical catalogs and dealer sheets.</x:v>
      </x:c>
      <x:c r="J13" s="26" t="str">
        <x:v>LOCKED</x:v>
      </x:c>
    </x:row>
    <x:row r="14" ht="90" customHeight="1">
      <x:c r="A14" s="26" t="str">
        <x:v>GTD-CLM-010</x:v>
      </x:c>
      <x:c r="B14" s="26" t="str">
        <x:v>Serial dating</x:v>
      </x:c>
      <x:c r="C14" s="26" t="str">
        <x:v>All GT serials use month + two-digit year.</x:v>
      </x:c>
      <x:c r="D14" s="26" t="str">
        <x:v>Catalog/serial evidence</x:v>
      </x:c>
      <x:c r="E14" s="26" t="str">
        <x:v>REJECT</x:v>
      </x:c>
      <x:c r="F14" s="26" t="str">
        <x:v>GT used multiple factories and sequences; YC, USA and other patterns differ.</x:v>
      </x:c>
      <x:c r="G14" s="26" t="str">
        <x:v>Forum rules often overgeneralize.</x:v>
      </x:c>
      <x:c r="H14" s="26" t="str">
        <x:v>GT serial interpretation is factory-, period- and model-specific.</x:v>
      </x:c>
      <x:c r="I14" s="26" t="str">
        <x:v>Full serial/marking package and catalog page.</x:v>
      </x:c>
      <x:c r="J14" s="26" t="str">
        <x:v>LOCKED</x:v>
      </x:c>
    </x:row>
    <x:row r="15" ht="90" customHeight="1">
      <x:c r="A15" s="26" t="str">
        <x:v>GTD-CLM-011</x:v>
      </x:c>
      <x:c r="B15" s="26" t="str">
        <x:v>Dyno serial dating</x:v>
      </x:c>
      <x:c r="C15" s="26" t="str">
        <x:v>All Dyno serials begin SY.</x:v>
      </x:c>
      <x:c r="D15" s="26" t="str">
        <x:v>Catalog/serial evidence</x:v>
      </x:c>
      <x:c r="E15" s="26" t="str">
        <x:v>REJECT</x:v>
      </x:c>
      <x:c r="F15" s="26" t="str">
        <x:v>DH and SK appear in model-year pages in addition to SY.</x:v>
      </x:c>
      <x:c r="G15" s="26" t="str">
        <x:v>Factory code can vary by model/year.</x:v>
      </x:c>
      <x:c r="H15" s="26" t="str">
        <x:v>Record the literal factory prefix and use the matching year/model source.</x:v>
      </x:c>
      <x:c r="I15" s="26" t="str">
        <x:v>Full serial and model identification.</x:v>
      </x:c>
      <x:c r="J15" s="26" t="str">
        <x:v>LOCKED</x:v>
      </x:c>
    </x:row>
    <x:row r="16" ht="90" customHeight="1">
      <x:c r="A16" s="26" t="str">
        <x:v>GTD-CLM-012</x:v>
      </x:c>
      <x:c r="B16" s="26" t="str">
        <x:v>Production year</x:v>
      </x:c>
      <x:c r="C16" s="26" t="str">
        <x:v>A bicycle built in the prior calendar year cannot be the next catalog model year.</x:v>
      </x:c>
      <x:c r="D16" s="26" t="str">
        <x:v>Catalog production guidance</x:v>
      </x:c>
      <x:c r="E16" s="26" t="str">
        <x:v>REJECT</x:v>
      </x:c>
      <x:c r="F16" s="26" t="str">
        <x:v>Taiwan production could lead retail model year by months.</x:v>
      </x:c>
      <x:c r="G16" s="26" t="str">
        <x:v>Lead-time guidance is approximate.</x:v>
      </x:c>
      <x:c r="H16" s="26" t="str">
        <x:v>A build date may precede the retail model year; catalog, serial, features and distribution timing must be considered together.</x:v>
      </x:c>
      <x:c r="I16" s="26" t="str">
        <x:v>Factory records and original invoice.</x:v>
      </x:c>
      <x:c r="J16" s="26" t="str">
        <x:v>LOCKED</x:v>
      </x:c>
    </x:row>
    <x:row r="17" ht="90" customHeight="1">
      <x:c r="A17" s="26" t="str">
        <x:v>GTD-CLM-013</x:v>
      </x:c>
      <x:c r="B17" s="26" t="str">
        <x:v>Air Show jacket</x:v>
      </x:c>
      <x:c r="C17" s="26" t="str">
        <x:v>26.0020 is definitely a 1998 rider-issued jacket.</x:v>
      </x:c>
      <x:c r="D17" s="26" t="str">
        <x:v>Catalog + collection evidence</x:v>
      </x:c>
      <x:c r="E17" s="26" t="str">
        <x:v>OPEN</x:v>
      </x:c>
      <x:c r="F17" s="26" t="str">
        <x:v>1998 catalog proves program context; collection provenance links it to Todd Huffman.</x:v>
      </x:c>
      <x:c r="G17" s="26" t="str">
        <x:v>No label, issue record or event photo has been captured.</x:v>
      </x:c>
      <x:c r="H17" s="26" t="str">
        <x:v>Artifact 26.0020 is a GT Bicycle Air Show-branded jacket attributed to Todd Huffman; exact date and use remain open.</x:v>
      </x:c>
      <x:c r="I17" s="26" t="str">
        <x:v>Labels, interior, provenance and period photos.</x:v>
      </x:c>
      <x:c r="J17" s="26" t="str">
        <x:v>ACTIVE</x:v>
      </x:c>
    </x:row>
    <x:row r="18" ht="90" customHeight="1">
      <x:c r="A18" s="26" t="str">
        <x:v>GTD-CLM-014</x:v>
      </x:c>
      <x:c r="B18" s="26" t="str">
        <x:v>GT lanyard</x:v>
      </x:c>
      <x:c r="C18" s="26" t="str">
        <x:v>26.0040 proves Harry Leary was a GT employee or sponsored rider.</x:v>
      </x:c>
      <x:c r="D18" s="26" t="str">
        <x:v>Collection evidence</x:v>
      </x:c>
      <x:c r="E18" s="26" t="str">
        <x:v>REJECT</x:v>
      </x:c>
      <x:c r="F18" s="26" t="str">
        <x:v>The object establishes a GT-branded personal association only.</x:v>
      </x:c>
      <x:c r="G18" s="26" t="str">
        <x:v>Event, gift, work and sponsorship contexts are unresolved.</x:v>
      </x:c>
      <x:c r="H18" s="26" t="str">
        <x:v>Artifact 26.0040 is a GT-branded lanyard attributed to Harry Leary; its exact context is unknown.</x:v>
      </x:c>
      <x:c r="I18" s="26" t="str">
        <x:v>Complete object capture and provenance.</x:v>
      </x:c>
      <x:c r="J18" s="26" t="str">
        <x:v>LOCKED</x:v>
      </x:c>
    </x:row>
    <x:row r="19" ht="90" customHeight="1">
      <x:c r="A19" s="26" t="str">
        <x:v>GTD-CLM-015</x:v>
      </x:c>
      <x:c r="B19" s="26" t="str">
        <x:v>Felicia results</x:v>
      </x:c>
      <x:c r="C19" s="26" t="str">
        <x:v>Official 2012 results authenticate the Lititz GT frame.</x:v>
      </x:c>
      <x:c r="D19" s="26" t="str">
        <x:v>V4 official result + physical artifact</x:v>
      </x:c>
      <x:c r="E19" s="26" t="str">
        <x:v>REJECT AS AUTOMATIC</x:v>
      </x:c>
      <x:c r="F19" s="26" t="str">
        <x:v>Results verify achievements; frame identity still requires serial/provenance/race-day comparison.</x:v>
      </x:c>
      <x:c r="G19" s="26" t="str">
        <x:v>The plate and bike create strong attribution but not closure.</x:v>
      </x:c>
      <x:c r="H19" s="26" t="str">
        <x:v>Felicia Stancil's two 2012 world titles are verified; artifact 26.0054 remains strongly attributed pending exact-bike authentication.</x:v>
      </x:c>
      <x:c r="I19" s="26" t="str">
        <x:v>Existing physical evidence gates.</x:v>
      </x:c>
      <x:c r="J19" s="26" t="str">
        <x:v>LOCKED</x:v>
      </x:c>
    </x:row>
    <x:row r="20" ht="90" customHeight="1">
      <x:c r="A20" s="26" t="str">
        <x:v>GTD-CLM-016</x:v>
      </x:c>
      <x:c r="B20" s="26" t="str">
        <x:v>BMXMuseum record 99615</x:v>
      </x:c>
      <x:c r="C20" s="26" t="str">
        <x:v>99615 proves all 1998 VFR Afterburner specifications.</x:v>
      </x:c>
      <x:c r="D20" s="26" t="str">
        <x:v>A2 exact public record + catalog</x:v>
      </x:c>
      <x:c r="E20" s="26" t="str">
        <x:v>REJECT</x:v>
      </x:c>
      <x:c r="F20" s="26" t="str">
        <x:v>A submitted example is one bicycle; catalog controls model-year specification.</x:v>
      </x:c>
      <x:c r="G20" s="26" t="str">
        <x:v>It may be modified/restored.</x:v>
      </x:c>
      <x:c r="H20" s="26" t="str">
        <x:v>Record 99615 is a comparison record for a submitted 1998 VFR Afterburner; the catalog controls specification.</x:v>
      </x:c>
      <x:c r="I20" s="26" t="str">
        <x:v>Canonical metadata and external photos.</x:v>
      </x:c>
      <x:c r="J20" s="26" t="str">
        <x:v>LOCKED</x:v>
      </x:c>
    </x:row>
    <x:row r="21" ht="90" customHeight="1">
      <x:c r="A21" s="26" t="str">
        <x:v>GTD-CLM-017</x:v>
      </x:c>
      <x:c r="B21" s="26" t="str">
        <x:v>BMXMuseum object coverage</x:v>
      </x:c>
      <x:c r="C21" s="26" t="str">
        <x:v>The recovered exact IDs represent all GT/Dyno records.</x:v>
      </x:c>
      <x:c r="D21" s="26" t="str">
        <x:v>Public discovery method</x:v>
      </x:c>
      <x:c r="E21" s="26" t="str">
        <x:v>REJECT</x:v>
      </x:c>
      <x:c r="F21" s="26" t="str">
        <x:v>They are records exposed by social posts or backlinks.</x:v>
      </x:c>
      <x:c r="G21" s="26" t="str">
        <x:v>Indexing is incomplete and popularity-biased.</x:v>
      </x:c>
      <x:c r="H21" s="26" t="str">
        <x:v>These are the exact GT/Dyno objects recovered through the public route, not a complete BMXMuseum inventory.</x:v>
      </x:c>
      <x:c r="I21" s="26" t="str">
        <x:v>Continue public recovery.</x:v>
      </x:c>
      <x:c r="J21" s="26" t="str">
        <x:v>LOCKED</x:v>
      </x:c>
    </x:row>
    <x:row r="22" ht="90" customHeight="1">
      <x:c r="A22" s="26" t="str">
        <x:v>GTD-CLM-018</x:v>
      </x:c>
      <x:c r="B22" s="26" t="str">
        <x:v>Retail price</x:v>
      </x:c>
      <x:c r="C22" s="26" t="str">
        <x:v>The 1987 price observations are GT/Dyno MSRP.</x:v>
      </x:c>
      <x:c r="D22" s="26" t="str">
        <x:v>Period retailer ads</x:v>
      </x:c>
      <x:c r="E22" s="26" t="str">
        <x:v>REJECT</x:v>
      </x:c>
      <x:c r="F22" s="26" t="str">
        <x:v>Sources are retailer/mail-order advertisements.</x:v>
      </x:c>
      <x:c r="G22" s="26" t="str">
        <x:v>Seller, shipping and promotions may affect price.</x:v>
      </x:c>
      <x:c r="H22" s="26" t="str">
        <x:v>The figures are contemporaneous advertised retailer prices, not manufacturer MSRP.</x:v>
      </x:c>
      <x:c r="I22" s="26" t="str">
        <x:v>Identify seller and full page.</x:v>
      </x:c>
      <x:c r="J22" s="26" t="str">
        <x:v>LOCKED</x:v>
      </x:c>
    </x:row>
    <x:row r="23" ht="90" customHeight="1">
      <x:c r="A23" s="26" t="str">
        <x:v>GTD-CLM-019</x:v>
      </x:c>
      <x:c r="B23" s="26" t="str">
        <x:v>Modern heritage</x:v>
      </x:c>
      <x:c r="C23" s="26" t="str">
        <x:v>Current Dyno Pro Compe is an original 1987 model.</x:v>
      </x:c>
      <x:c r="D23" s="26" t="str">
        <x:v>Current official GT</x:v>
      </x:c>
      <x:c r="E23" s="26" t="str">
        <x:v>REJECT</x:v>
      </x:c>
      <x:c r="F23" s="26" t="str">
        <x:v>GT presents it as an '87-inspired legend reborn.</x:v>
      </x:c>
      <x:c r="G23" s="26" t="str">
        <x:v>Modern construction and wheel sizes differ.</x:v>
      </x:c>
      <x:c r="H23" s="26" t="str">
        <x:v>GT's current Dyno Pro Compe is a modern heritage/tribute product inspired by 1987.</x:v>
      </x:c>
      <x:c r="I23" s="26" t="str">
        <x:v>Current product specs.</x:v>
      </x:c>
      <x:c r="J23" s="26" t="str">
        <x:v>LOCKED</x:v>
      </x:c>
    </x:row>
    <x:row r="24" ht="90" customHeight="1">
      <x:c r="A24" s="26" t="str">
        <x:v>GTD-CLM-020</x:v>
      </x:c>
      <x:c r="B24" s="26" t="str">
        <x:v>Show / Showtime / Air Show</x:v>
      </x:c>
      <x:c r="C24" s="26" t="str">
        <x:v>GT Show, GT Showtime and GT Bicycle Air Show are interchangeable.</x:v>
      </x:c>
      <x:c r="D24" s="26" t="str">
        <x:v>Catalog/public artifact evidence</x:v>
      </x:c>
      <x:c r="E24" s="26" t="str">
        <x:v>REJECT</x:v>
      </x:c>
      <x:c r="F24" s="26" t="str">
        <x:v>Show is a bicycle model, Showtime a signature-model name, and Air Show a promotional program.</x:v>
      </x:c>
      <x:c r="G24" s="26" t="str">
        <x:v>Names overlap semantically but are distinct entities.</x:v>
      </x:c>
      <x:c r="H24" s="26" t="str">
        <x:v>Keep GT Show, GT Showtime and GT Bicycle Air Show as separate objects.</x:v>
      </x:c>
      <x:c r="I24" s="26" t="str">
        <x:v>Catalogs and period promotion files.</x:v>
      </x:c>
      <x:c r="J24" s="26" t="str">
        <x:v>LOCKED</x:v>
      </x:c>
    </x:row>
  </x:sheetData>
  <x:mergeCells>
    <x:mergeCell ref="A1:J1"/>
    <x:mergeCell ref="A2:J2"/>
  </x:mergeCells>
  <x:pageMargins left="0.7" right="0.7" top="0.75" bottom="0.75" header="0.3" footer="0.3"/>
  <x:tableParts count="1">
    <x:tablePart xmlns:r="http://schemas.openxmlformats.org/officeDocument/2006/relationships" r:id="Re159bf4540414dc1"/>
  </x:tableParts>
</x:worksheet>
</file>

<file path=xl/worksheets/sheet113.xml><?xml version="1.0" encoding="utf-8"?>
<x:worksheet xmlns:x="http://schemas.openxmlformats.org/spreadsheetml/2006/main">
  <x:sheetFormatPr defaultRowHeight="15"/>
  <x:cols>
    <x:col min="1" max="1" width="15" hidden="0" customWidth="1"/>
    <x:col min="2" max="2" width="50" hidden="0" customWidth="1"/>
    <x:col min="3" max="3" width="55" hidden="0" customWidth="1"/>
    <x:col min="4" max="4" width="65" hidden="0" customWidth="1"/>
    <x:col min="5" max="5" width="16" hidden="0" customWidth="1"/>
    <x:col min="6" max="6" width="42" hidden="0" customWidth="1"/>
    <x:col min="7" max="7" width="20" hidden="0" customWidth="1"/>
    <x:col min="8" max="8" width="46" hidden="0" customWidth="1"/>
  </x:cols>
  <x:sheetData>
    <x:row r="1" ht="31" customHeight="1">
      <x:c r="A1" s="600" t="str">
        <x:v>GT and Dyno Corrections and Public-Wording Lock</x:v>
      </x:c>
      <x:c r="B1" s="600"/>
      <x:c r="C1" s="600"/>
      <x:c r="D1" s="600"/>
      <x:c r="E1" s="600"/>
      <x:c r="F1" s="600"/>
      <x:c r="G1" s="600"/>
      <x:c r="H1" s="600"/>
    </x:row>
    <x:row r="2" ht="31" customHeight="1">
      <x:c r="A2" s="605" t="str">
        <x:v>These corrections prevent foundational dates, acquisition history, design credit, serial rules, model materials, prices and Lititz artifacts from being overstated.</x:v>
      </x:c>
      <x:c r="B2" s="605"/>
      <x:c r="C2" s="605"/>
      <x:c r="D2" s="605"/>
      <x:c r="E2" s="605"/>
      <x:c r="F2" s="605"/>
      <x:c r="G2" s="605"/>
      <x:c r="H2" s="605"/>
    </x:row>
    <x:row r="4">
      <x:c r="A4" s="610" t="str">
        <x:v>Correction ID</x:v>
      </x:c>
      <x:c r="B4" s="610" t="str">
        <x:v>Existing / Risky Wording</x:v>
      </x:c>
      <x:c r="C4" s="610" t="str">
        <x:v>Audit Finding</x:v>
      </x:c>
      <x:c r="D4" s="610" t="str">
        <x:v>Locked Replacement Wording</x:v>
      </x:c>
      <x:c r="E4" s="610" t="str">
        <x:v>Severity</x:v>
      </x:c>
      <x:c r="F4" s="610" t="str">
        <x:v>Evidence</x:v>
      </x:c>
      <x:c r="G4" s="610" t="str">
        <x:v>Status</x:v>
      </x:c>
      <x:c r="H4" s="610" t="str">
        <x:v>Follow-up</x:v>
      </x:c>
    </x:row>
    <x:row r="5" ht="88" customHeight="1">
      <x:c r="A5" s="26" t="str">
        <x:v>GTD-COR-001</x:v>
      </x:c>
      <x:c r="B5" s="26" t="str">
        <x:v>Dyno was founded as a bicycle company in 1982.</x:v>
      </x:c>
      <x:c r="C5" s="26" t="str">
        <x:v>Dyno began with apparel/accessories; bicycles followed after GT's 1985 purchase.</x:v>
      </x:c>
      <x:c r="D5" s="26" t="str">
        <x:v>Dyno began in 1982 as a BMX soft-goods/accessory brand and entered bicycle production under GT in 1985.</x:v>
      </x:c>
      <x:c r="E5" s="26" t="str">
        <x:v>CRITICAL</x:v>
      </x:c>
      <x:c r="F5" s="26" t="str">
        <x:v>Bob Morales first-person history</x:v>
      </x:c>
      <x:c r="G5" s="26" t="str">
        <x:v>LOCKED</x:v>
      </x:c>
      <x:c r="H5" s="26" t="str">
        <x:v>Apply across public brand history.</x:v>
      </x:c>
    </x:row>
    <x:row r="6" ht="88" customHeight="1">
      <x:c r="A6" s="26" t="str">
        <x:v>GTD-COR-002</x:v>
      </x:c>
      <x:c r="B6" s="26" t="str">
        <x:v>The GT Performer was originally a Dyno model.</x:v>
      </x:c>
      <x:c r="C6" s="26" t="str">
        <x:v>Morales/Fiola designed it for GT in 1983 before the Dyno acquisition.</x:v>
      </x:c>
      <x:c r="D6" s="26" t="str">
        <x:v>The Performer originated as a GT freestyle model designed by Bob Morales and Eddie Fiola.</x:v>
      </x:c>
      <x:c r="E6" s="26" t="str">
        <x:v>CRITICAL</x:v>
      </x:c>
      <x:c r="F6" s="26" t="str">
        <x:v>Bob Morales first-person history</x:v>
      </x:c>
      <x:c r="G6" s="26" t="str">
        <x:v>LOCKED</x:v>
      </x:c>
      <x:c r="H6" s="26" t="str">
        <x:v>Link patents/period ads when recovered.</x:v>
      </x:c>
    </x:row>
    <x:row r="7" ht="88" customHeight="1">
      <x:c r="A7" s="26" t="str">
        <x:v>GTD-COR-003</x:v>
      </x:c>
      <x:c r="B7" s="26" t="str">
        <x:v>All later GT/Dyno products were Bob Morales designs.</x:v>
      </x:c>
      <x:c r="C7" s="26" t="str">
        <x:v>Morales left full-time GT employment in 1986 and only says he designed the first Dyno frame/fork and many products.</x:v>
      </x:c>
      <x:c r="D7" s="26" t="str">
        <x:v>Credit Bob Morales only where first-person, patent, catalog or period evidence supports the specific product.</x:v>
      </x:c>
      <x:c r="E7" s="26" t="str">
        <x:v>HIGH</x:v>
      </x:c>
      <x:c r="F7" s="26" t="str">
        <x:v>First-person chronology</x:v>
      </x:c>
      <x:c r="G7" s="26" t="str">
        <x:v>LOCKED</x:v>
      </x:c>
      <x:c r="H7" s="26" t="str">
        <x:v>Build design-credit register.</x:v>
      </x:c>
    </x:row>
    <x:row r="8" ht="88" customHeight="1">
      <x:c r="A8" s="26" t="str">
        <x:v>GTD-COR-004</x:v>
      </x:c>
      <x:c r="B8" s="26" t="str">
        <x:v>GT/Dyno is one undifferentiated bicycle brand.</x:v>
      </x:c>
      <x:c r="C8" s="26" t="str">
        <x:v>Catalogs retain separate brand lineups and market categories.</x:v>
      </x:c>
      <x:c r="D8" s="26" t="str">
        <x:v>GT and Dyno are separate brands under shared ownership; cross-branded parts and corporate relationships are recorded separately.</x:v>
      </x:c>
      <x:c r="E8" s="26" t="str">
        <x:v>HIGH</x:v>
      </x:c>
      <x:c r="F8" s="26" t="str">
        <x:v>Catalog matrix</x:v>
      </x:c>
      <x:c r="G8" s="26" t="str">
        <x:v>LOCKED</x:v>
      </x:c>
      <x:c r="H8" s="26" t="str">
        <x:v>Maintain separate nodes.</x:v>
      </x:c>
    </x:row>
    <x:row r="9" ht="88" customHeight="1">
      <x:c r="A9" s="26" t="str">
        <x:v>GTD-COR-005</x:v>
      </x:c>
      <x:c r="B9" s="26" t="str">
        <x:v>A model name carries one fixed specification.</x:v>
      </x:c>
      <x:c r="C9" s="26" t="str">
        <x:v>Compe, Performer, VFR, Mach One and Pro Series changed across years.</x:v>
      </x:c>
      <x:c r="D9" s="26" t="str">
        <x:v>Always attach model year, market, material and catalog source to specifications.</x:v>
      </x:c>
      <x:c r="E9" s="26" t="str">
        <x:v>CRITICAL</x:v>
      </x:c>
      <x:c r="F9" s="26" t="str">
        <x:v>Cross-year catalog comparison</x:v>
      </x:c>
      <x:c r="G9" s="26" t="str">
        <x:v>LOCKED</x:v>
      </x:c>
      <x:c r="H9" s="26" t="str">
        <x:v>Apply to every identification record.</x:v>
      </x:c>
    </x:row>
    <x:row r="10" ht="88" customHeight="1">
      <x:c r="A10" s="26" t="str">
        <x:v>GTD-COR-006</x:v>
      </x:c>
      <x:c r="B10" s="26" t="str">
        <x:v>All Dyno Compes are full chromoly.</x:v>
      </x:c>
      <x:c r="C10" s="26" t="str">
        <x:v>1991 catalog says HI-TEN; later years use differing chromoly descriptions.</x:v>
      </x:c>
      <x:c r="D10" s="26" t="str">
        <x:v>State frame material only from the exact catalog year or physical marking.</x:v>
      </x:c>
      <x:c r="E10" s="26" t="str">
        <x:v>HIGH</x:v>
      </x:c>
      <x:c r="F10" s="26" t="str">
        <x:v>1991/1994/1998/1999 pages</x:v>
      </x:c>
      <x:c r="G10" s="26" t="str">
        <x:v>LOCKED</x:v>
      </x:c>
      <x:c r="H10" s="26" t="str">
        <x:v>Correct any generic full-chromoly wording.</x:v>
      </x:c>
    </x:row>
    <x:row r="11" ht="88" customHeight="1">
      <x:c r="A11" s="26" t="str">
        <x:v>GTD-COR-007</x:v>
      </x:c>
      <x:c r="B11" s="26" t="str">
        <x:v>Afterburner is automatically a standalone Dyno model.</x:v>
      </x:c>
      <x:c r="C11" s="26" t="str">
        <x:v>1998 catalog presents Afterburner as a VFR color.</x:v>
      </x:c>
      <x:c r="D11" s="26" t="str">
        <x:v>Use 'VFR — Afterburner colorway' unless a primary source expressly identifies a separate model.</x:v>
      </x:c>
      <x:c r="E11" s="26" t="str">
        <x:v>MEDIUM-HIGH</x:v>
      </x:c>
      <x:c r="F11" s="26" t="str">
        <x:v>1998 VFR catalog page</x:v>
      </x:c>
      <x:c r="G11" s="26" t="str">
        <x:v>LOCKED</x:v>
      </x:c>
      <x:c r="H11" s="26" t="str">
        <x:v>Check BMXMuseum canonical title when publicly exposed.</x:v>
      </x:c>
    </x:row>
    <x:row r="12" ht="88" customHeight="1">
      <x:c r="A12" s="26" t="str">
        <x:v>GTD-COR-008</x:v>
      </x:c>
      <x:c r="B12" s="26" t="str">
        <x:v>All GT serials use the same decoding scheme.</x:v>
      </x:c>
      <x:c r="C12" s="26" t="str">
        <x:v>Multiple USA/Taiwan factories and periods use different structures.</x:v>
      </x:c>
      <x:c r="D12" s="26" t="str">
        <x:v>Decode GT serials only after identifying factory, model, period and serial location.</x:v>
      </x:c>
      <x:c r="E12" s="26" t="str">
        <x:v>CRITICAL</x:v>
      </x:c>
      <x:c r="F12" s="26" t="str">
        <x:v>Catalog serial guidance</x:v>
      </x:c>
      <x:c r="G12" s="26" t="str">
        <x:v>LOCKED</x:v>
      </x:c>
      <x:c r="H12" s="26" t="str">
        <x:v>Physical capture standard.</x:v>
      </x:c>
    </x:row>
    <x:row r="13" ht="88" customHeight="1">
      <x:c r="A13" s="26" t="str">
        <x:v>GTD-COR-009</x:v>
      </x:c>
      <x:c r="B13" s="26" t="str">
        <x:v>All Dyno serials begin SY.</x:v>
      </x:c>
      <x:c r="C13" s="26" t="str">
        <x:v>DH and SK are documented in addition to SY.</x:v>
      </x:c>
      <x:c r="D13" s="26" t="str">
        <x:v>Preserve literal factory prefix and apply the matching model-year rule.</x:v>
      </x:c>
      <x:c r="E13" s="26" t="str">
        <x:v>CRITICAL</x:v>
      </x:c>
      <x:c r="F13" s="26" t="str">
        <x:v>1991/1996/1998 catalog pages</x:v>
      </x:c>
      <x:c r="G13" s="26" t="str">
        <x:v>LOCKED</x:v>
      </x:c>
      <x:c r="H13" s="26" t="str">
        <x:v>Physical capture standard.</x:v>
      </x:c>
    </x:row>
    <x:row r="14" ht="88" customHeight="1">
      <x:c r="A14" s="26" t="str">
        <x:v>GTD-COR-010</x:v>
      </x:c>
      <x:c r="B14" s="26" t="str">
        <x:v>Catalog absence proves a bicycle was not produced.</x:v>
      </x:c>
      <x:c r="C14" s="26" t="str">
        <x:v>The 1999 Air reconstruction documents a product absent from the original catalog.</x:v>
      </x:c>
      <x:c r="D14" s="26" t="str">
        <x:v>Catalog absence is a documented gap, not proof of nonproduction.</x:v>
      </x:c>
      <x:c r="E14" s="26" t="str">
        <x:v>HIGH</x:v>
      </x:c>
      <x:c r="F14" s="26" t="str">
        <x:v>1999 Air reconstruction</x:v>
      </x:c>
      <x:c r="G14" s="26" t="str">
        <x:v>LOCKED</x:v>
      </x:c>
      <x:c r="H14" s="26" t="str">
        <x:v>Seek supplemental catalogs/dealer sheets.</x:v>
      </x:c>
    </x:row>
    <x:row r="15" ht="88" customHeight="1">
      <x:c r="A15" s="26" t="str">
        <x:v>GTD-COR-011</x:v>
      </x:c>
      <x:c r="B15" s="26" t="str">
        <x:v>1987 advertised prices are MSRP.</x:v>
      </x:c>
      <x:c r="C15" s="26" t="str">
        <x:v>They are retailer/mail-order prices.</x:v>
      </x:c>
      <x:c r="D15" s="26" t="str">
        <x:v>Label every figure with seller/source, date, currency and price basis.</x:v>
      </x:c>
      <x:c r="E15" s="26" t="str">
        <x:v>HIGH</x:v>
      </x:c>
      <x:c r="F15" s="26" t="str">
        <x:v>Period advertisements</x:v>
      </x:c>
      <x:c r="G15" s="26" t="str">
        <x:v>LOCKED</x:v>
      </x:c>
      <x:c r="H15" s="26" t="str">
        <x:v>Keep existing normalized price sheet.</x:v>
      </x:c>
    </x:row>
    <x:row r="16" ht="88" customHeight="1">
      <x:c r="A16" s="26" t="str">
        <x:v>GTD-COR-012</x:v>
      </x:c>
      <x:c r="B16" s="26" t="str">
        <x:v>26.0020 is definitely a rider-issued 1998 Air Show jacket.</x:v>
      </x:c>
      <x:c r="C16" s="26" t="str">
        <x:v>Only branding, collection attribution and 1998 program context are currently established.</x:v>
      </x:c>
      <x:c r="D16" s="26" t="str">
        <x:v>Artifact 26.0020 is a GT Bicycle Air Show-branded jacket attributed to Todd Huffman; exact issue date, wearer/use and program role remain open.</x:v>
      </x:c>
      <x:c r="E16" s="26" t="str">
        <x:v>HIGH</x:v>
      </x:c>
      <x:c r="F16" s="26" t="str">
        <x:v>Lititz record + 1998 catalog</x:v>
      </x:c>
      <x:c r="G16" s="26" t="str">
        <x:v>LOCKED</x:v>
      </x:c>
      <x:c r="H16" s="26" t="str">
        <x:v>Add full textile/provenance capture.</x:v>
      </x:c>
    </x:row>
    <x:row r="17" ht="88" customHeight="1">
      <x:c r="A17" s="26" t="str">
        <x:v>GTD-COR-013</x:v>
      </x:c>
      <x:c r="B17" s="26" t="str">
        <x:v>26.0040 proves Harry Leary rode or worked for GT.</x:v>
      </x:c>
      <x:c r="C17" s="26" t="str">
        <x:v>A branded lanyard proves only a collection/personal association.</x:v>
      </x:c>
      <x:c r="D17" s="26" t="str">
        <x:v>Artifact 26.0040 is a GT-branded lanyard attributed to Harry Leary; event and relationship context remain unresolved.</x:v>
      </x:c>
      <x:c r="E17" s="26" t="str">
        <x:v>HIGH</x:v>
      </x:c>
      <x:c r="F17" s="26" t="str">
        <x:v>Lititz inventory</x:v>
      </x:c>
      <x:c r="G17" s="26" t="str">
        <x:v>LOCKED</x:v>
      </x:c>
      <x:c r="H17" s="26" t="str">
        <x:v>Capture all markings and provenance.</x:v>
      </x:c>
    </x:row>
    <x:row r="18" ht="88" customHeight="1">
      <x:c r="A18" s="26" t="str">
        <x:v>GTD-COR-014</x:v>
      </x:c>
      <x:c r="B18" s="26" t="str">
        <x:v>GT Show, Showtime and Air Show are the same.</x:v>
      </x:c>
      <x:c r="C18" s="26" t="str">
        <x:v>They are a bicycle model, signature-model name and promotional program respectively.</x:v>
      </x:c>
      <x:c r="D18" s="26" t="str">
        <x:v>Maintain three distinct entities and only connect them when a source explicitly does so.</x:v>
      </x:c>
      <x:c r="E18" s="26" t="str">
        <x:v>HIGH</x:v>
      </x:c>
      <x:c r="F18" s="26" t="str">
        <x:v>Catalog/public sources</x:v>
      </x:c>
      <x:c r="G18" s="26" t="str">
        <x:v>LOCKED</x:v>
      </x:c>
      <x:c r="H18" s="26" t="str">
        <x:v>Resolve period catalogs and promotions.</x:v>
      </x:c>
    </x:row>
    <x:row r="19" ht="88" customHeight="1">
      <x:c r="A19" s="26" t="str">
        <x:v>GTD-COR-015</x:v>
      </x:c>
      <x:c r="B19" s="26" t="str">
        <x:v>Official race results authenticate the physical Felicia GT.</x:v>
      </x:c>
      <x:c r="C19" s="26" t="str">
        <x:v>Results authenticate the achievement, not the surviving frame.</x:v>
      </x:c>
      <x:c r="D19" s="26" t="str">
        <x:v>Keep achievement grade and exact-bike grade separate.</x:v>
      </x:c>
      <x:c r="E19" s="26" t="str">
        <x:v>CRITICAL</x:v>
      </x:c>
      <x:c r="F19" s="26" t="str">
        <x:v>USA BMX + authentication methodology</x:v>
      </x:c>
      <x:c r="G19" s="26" t="str">
        <x:v>LOCKED</x:v>
      </x:c>
      <x:c r="H19" s="26" t="str">
        <x:v>Complete existing evidence gates.</x:v>
      </x:c>
    </x:row>
  </x:sheetData>
  <x:mergeCells>
    <x:mergeCell ref="A1:H1"/>
    <x:mergeCell ref="A2:H2"/>
  </x:mergeCells>
  <x:pageMargins left="0.7" right="0.7" top="0.75" bottom="0.75" header="0.3" footer="0.3"/>
  <x:tableParts count="1">
    <x:tablePart xmlns:r="http://schemas.openxmlformats.org/officeDocument/2006/relationships" r:id="R510d604d16234b84"/>
  </x:tableParts>
</x:worksheet>
</file>

<file path=xl/worksheets/sheet114.xml><?xml version="1.0" encoding="utf-8"?>
<x:worksheet xmlns:x="http://schemas.openxmlformats.org/spreadsheetml/2006/main">
  <x:sheetFormatPr defaultRowHeight="15"/>
  <x:cols>
    <x:col min="1" max="1" width="15" hidden="0" customWidth="1"/>
    <x:col min="2" max="2" width="30" hidden="0" customWidth="1"/>
    <x:col min="3" max="3" width="35" hidden="0" customWidth="1"/>
    <x:col min="4" max="4" width="40" hidden="0" customWidth="1"/>
    <x:col min="5" max="5" width="22" hidden="0" customWidth="1"/>
    <x:col min="6" max="6" width="36" hidden="0" customWidth="1"/>
    <x:col min="7" max="7" width="22" hidden="0" customWidth="1"/>
    <x:col min="8" max="8" width="50" hidden="0" customWidth="1"/>
    <x:col min="9" max="9" width="60" hidden="0" customWidth="1"/>
    <x:col min="10" max="10" width="22" hidden="0" customWidth="1"/>
  </x:cols>
  <x:sheetData>
    <x:row r="1" ht="31" customHeight="1">
      <x:c r="A1" s="600" t="str">
        <x:v>GT and Dyno Relationship Map</x:v>
      </x:c>
      <x:c r="B1" s="600"/>
      <x:c r="C1" s="600"/>
      <x:c r="D1" s="600"/>
      <x:c r="E1" s="600"/>
      <x:c r="F1" s="600"/>
      <x:c r="G1" s="600"/>
      <x:c r="H1" s="600"/>
      <x:c r="I1" s="600"/>
      <x:c r="J1" s="600"/>
    </x:row>
    <x:row r="2" ht="31" customHeight="1">
      <x:c r="A2" s="605" t="str">
        <x:v>The graph separates founder, designer, acquisition, sponsorship, team, model, submitted record, modern heritage and collection-provenance relationships.</x:v>
      </x:c>
      <x:c r="B2" s="605"/>
      <x:c r="C2" s="605"/>
      <x:c r="D2" s="605"/>
      <x:c r="E2" s="605"/>
      <x:c r="F2" s="605"/>
      <x:c r="G2" s="605"/>
      <x:c r="H2" s="605"/>
      <x:c r="I2" s="605"/>
      <x:c r="J2" s="605"/>
    </x:row>
    <x:row r="4">
      <x:c r="A4" s="610" t="str">
        <x:v>Edge ID</x:v>
      </x:c>
      <x:c r="B4" s="610" t="str">
        <x:v>Subject</x:v>
      </x:c>
      <x:c r="C4" s="610" t="str">
        <x:v>Relationship</x:v>
      </x:c>
      <x:c r="D4" s="610" t="str">
        <x:v>Object</x:v>
      </x:c>
      <x:c r="E4" s="610" t="str">
        <x:v>Date / Period</x:v>
      </x:c>
      <x:c r="F4" s="610" t="str">
        <x:v>Evidence</x:v>
      </x:c>
      <x:c r="G4" s="610" t="str">
        <x:v>Confidence</x:v>
      </x:c>
      <x:c r="H4" s="610" t="str">
        <x:v>Qualification</x:v>
      </x:c>
      <x:c r="I4" s="610" t="str">
        <x:v>Source URL</x:v>
      </x:c>
      <x:c r="J4" s="610" t="str">
        <x:v>Status</x:v>
      </x:c>
    </x:row>
    <x:row r="5" ht="84" customHeight="1">
      <x:c r="A5" s="26" t="str">
        <x:v>GTD-REL-001</x:v>
      </x:c>
      <x:c r="B5" s="26" t="str">
        <x:v>Gary Turner</x:v>
      </x:c>
      <x:c r="C5" s="26" t="str">
        <x:v>built</x:v>
      </x:c>
      <x:c r="D5" s="26" t="str">
        <x:v>first GT frame</x:v>
      </x:c>
      <x:c r="E5" s="26" t="str">
        <x:v>1972</x:v>
      </x:c>
      <x:c r="F5" s="26" t="str">
        <x:v>Official GT history</x:v>
      </x:c>
      <x:c r="G5" s="26" t="str">
        <x:v>HIGH</x:v>
      </x:c>
      <x:c r="H5" s="26" t="str">
        <x:v>Frame origin, not legal company date.</x:v>
      </x:c>
      <x:c r="I5" s="26" t="str">
        <x:v>https://gtbicycles.com/pages/about-us</x:v>
      </x:c>
      <x:c r="J5" s="26" t="str">
        <x:v>LOCKED</x:v>
      </x:c>
    </x:row>
    <x:row r="6" ht="84" customHeight="1">
      <x:c r="A6" s="26" t="str">
        <x:v>GTD-REL-002</x:v>
      </x:c>
      <x:c r="B6" s="26" t="str">
        <x:v>Gary Turner</x:v>
      </x:c>
      <x:c r="C6" s="26" t="str">
        <x:v>co-founded / engineering relationship with</x:v>
      </x:c>
      <x:c r="D6" s="26" t="str">
        <x:v>GT Bicycles</x:v>
      </x:c>
      <x:c r="E6" s="26" t="str">
        <x:v>Late 1970s onward</x:v>
      </x:c>
      <x:c r="F6" s="26" t="str">
        <x:v>Official + corporate histories</x:v>
      </x:c>
      <x:c r="G6" s="26" t="str">
        <x:v>HIGH summary</x:v>
      </x:c>
      <x:c r="H6" s="26" t="str">
        <x:v>Exact incorporation date remains qualified.</x:v>
      </x:c>
      <x:c r="I6" s="26" t="str">
        <x:v>https://gtbicycles.com/pages/about-us</x:v>
      </x:c>
      <x:c r="J6" s="26" t="str">
        <x:v>ACTIVE</x:v>
      </x:c>
    </x:row>
    <x:row r="7" ht="84" customHeight="1">
      <x:c r="A7" s="26" t="str">
        <x:v>GTD-REL-003</x:v>
      </x:c>
      <x:c r="B7" s="26" t="str">
        <x:v>Richard Long</x:v>
      </x:c>
      <x:c r="C7" s="26" t="str">
        <x:v>business/co-founder relationship with</x:v>
      </x:c>
      <x:c r="D7" s="26" t="str">
        <x:v>GT Bicycles</x:v>
      </x:c>
      <x:c r="E7" s="26" t="str">
        <x:v>Late 1970s–1996</x:v>
      </x:c>
      <x:c r="F7" s="26" t="str">
        <x:v>Corporate histories + exact reference target 7360</x:v>
      </x:c>
      <x:c r="G7" s="26" t="str">
        <x:v>MEDIUM-HIGH</x:v>
      </x:c>
      <x:c r="H7" s="26" t="str">
        <x:v>Direct BMXMuseum reference uninspected.</x:v>
      </x:c>
      <x:c r="I7" s="26" t="str">
        <x:v>https://www.bmxmuseum.com/reference/7360</x:v>
      </x:c>
      <x:c r="J7" s="26" t="str">
        <x:v>ACTIVE</x:v>
      </x:c>
    </x:row>
    <x:row r="8" ht="84" customHeight="1">
      <x:c r="A8" s="26" t="str">
        <x:v>GTD-REL-004</x:v>
      </x:c>
      <x:c r="B8" s="26" t="str">
        <x:v>Bob Morales</x:v>
      </x:c>
      <x:c r="C8" s="26" t="str">
        <x:v>founded</x:v>
      </x:c>
      <x:c r="D8" s="26" t="str">
        <x:v>Dyno Design</x:v>
      </x:c>
      <x:c r="E8" s="26" t="str">
        <x:v>1982</x:v>
      </x:c>
      <x:c r="F8" s="26" t="str">
        <x:v>First-person history</x:v>
      </x:c>
      <x:c r="G8" s="26" t="str">
        <x:v>HIGH</x:v>
      </x:c>
      <x:c r="H8" s="26" t="str">
        <x:v>Soft-goods/accessory phase.</x:v>
      </x:c>
      <x:c r="I8" s="26" t="str">
        <x:v>https://www.melonpeel.com/morales/history.htm</x:v>
      </x:c>
      <x:c r="J8" s="26" t="str">
        <x:v>LOCKED</x:v>
      </x:c>
    </x:row>
    <x:row r="9" ht="84" customHeight="1">
      <x:c r="A9" s="26" t="str">
        <x:v>GTD-REL-005</x:v>
      </x:c>
      <x:c r="B9" s="26" t="str">
        <x:v>Bob Morales and Eddie Fiola</x:v>
      </x:c>
      <x:c r="C9" s="26" t="str">
        <x:v>designed</x:v>
      </x:c>
      <x:c r="D9" s="26" t="str">
        <x:v>GT Performer</x:v>
      </x:c>
      <x:c r="E9" s="26" t="str">
        <x:v>1983</x:v>
      </x:c>
      <x:c r="F9" s="26" t="str">
        <x:v>First-person history</x:v>
      </x:c>
      <x:c r="G9" s="26" t="str">
        <x:v>HIGH</x:v>
      </x:c>
      <x:c r="H9" s="26" t="str">
        <x:v>Specific design/patent details need period record.</x:v>
      </x:c>
      <x:c r="I9" s="26" t="str">
        <x:v>https://www.melonpeel.com/morales/history.htm</x:v>
      </x:c>
      <x:c r="J9" s="26" t="str">
        <x:v>LOCKED</x:v>
      </x:c>
    </x:row>
    <x:row r="10" ht="84" customHeight="1">
      <x:c r="A10" s="26" t="str">
        <x:v>GTD-REL-006</x:v>
      </x:c>
      <x:c r="B10" s="26" t="str">
        <x:v>GT Bicycles</x:v>
      </x:c>
      <x:c r="C10" s="26" t="str">
        <x:v>acquired</x:v>
      </x:c>
      <x:c r="D10" s="26" t="str">
        <x:v>Dyno</x:v>
      </x:c>
      <x:c r="E10" s="26" t="str">
        <x:v>1985</x:v>
      </x:c>
      <x:c r="F10" s="26" t="str">
        <x:v>First-person history</x:v>
      </x:c>
      <x:c r="G10" s="26" t="str">
        <x:v>HIGH</x:v>
      </x:c>
      <x:c r="H10" s="26" t="str">
        <x:v>Sale terms undisclosed.</x:v>
      </x:c>
      <x:c r="I10" s="26" t="str">
        <x:v>https://www.melonpeel.com/morales/history.htm</x:v>
      </x:c>
      <x:c r="J10" s="26" t="str">
        <x:v>LOCKED</x:v>
      </x:c>
    </x:row>
    <x:row r="11" ht="84" customHeight="1">
      <x:c r="A11" s="26" t="str">
        <x:v>GTD-REL-007</x:v>
      </x:c>
      <x:c r="B11" s="26" t="str">
        <x:v>Bob Morales</x:v>
      </x:c>
      <x:c r="C11" s="26" t="str">
        <x:v>designed</x:v>
      </x:c>
      <x:c r="D11" s="26" t="str">
        <x:v>first Dyno frame/fork</x:v>
      </x:c>
      <x:c r="E11" s="26" t="str">
        <x:v>1985</x:v>
      </x:c>
      <x:c r="F11" s="26" t="str">
        <x:v>First-person history</x:v>
      </x:c>
      <x:c r="G11" s="26" t="str">
        <x:v>HIGH</x:v>
      </x:c>
      <x:c r="H11" s="26" t="str">
        <x:v>Prototype sequence open.</x:v>
      </x:c>
      <x:c r="I11" s="26" t="str">
        <x:v>https://www.melonpeel.com/morales/history.htm</x:v>
      </x:c>
      <x:c r="J11" s="26" t="str">
        <x:v>ACTIVE</x:v>
      </x:c>
    </x:row>
    <x:row r="12" ht="84" customHeight="1">
      <x:c r="A12" s="26" t="str">
        <x:v>GTD-REL-008</x:v>
      </x:c>
      <x:c r="B12" s="26" t="str">
        <x:v>Dyno</x:v>
      </x:c>
      <x:c r="C12" s="26" t="str">
        <x:v>sponsored</x:v>
      </x:c>
      <x:c r="D12" s="26" t="str">
        <x:v>GT BMX/Freestyle and SE Racing teams</x:v>
      </x:c>
      <x:c r="E12" s="26" t="str">
        <x:v>1983 pre-acquisition</x:v>
      </x:c>
      <x:c r="F12" s="26" t="str">
        <x:v>First-person history</x:v>
      </x:c>
      <x:c r="G12" s="26" t="str">
        <x:v>HIGH attributed</x:v>
      </x:c>
      <x:c r="H12" s="26" t="str">
        <x:v>Sponsorship does not equal ownership.</x:v>
      </x:c>
      <x:c r="I12" s="26" t="str">
        <x:v>https://www.melonpeel.com/morales/history.htm</x:v>
      </x:c>
      <x:c r="J12" s="26" t="str">
        <x:v>LOCKED</x:v>
      </x:c>
    </x:row>
    <x:row r="13" ht="84" customHeight="1">
      <x:c r="A13" s="26" t="str">
        <x:v>GTD-REL-009</x:v>
      </x:c>
      <x:c r="B13" s="26" t="str">
        <x:v>Dave Voelker</x:v>
      </x:c>
      <x:c r="C13" s="26" t="str">
        <x:v>team/rider relationship with</x:v>
      </x:c>
      <x:c r="D13" s="26" t="str">
        <x:v>Dyno/GT</x:v>
      </x:c>
      <x:c r="E13" s="26" t="str">
        <x:v>1991 catalog period</x:v>
      </x:c>
      <x:c r="F13" s="26" t="str">
        <x:v>Catalog reconstruction</x:v>
      </x:c>
      <x:c r="G13" s="26" t="str">
        <x:v>MEDIUM-HIGH</x:v>
      </x:c>
      <x:c r="H13" s="26" t="str">
        <x:v>Full tenure open.</x:v>
      </x:c>
      <x:c r="I13" s="26" t="str">
        <x:v>https://www.bmx-catalogue.com/dyno/mid-school/1991/model.html</x:v>
      </x:c>
      <x:c r="J13" s="26" t="str">
        <x:v>ACTIVE</x:v>
      </x:c>
    </x:row>
    <x:row r="14" ht="84" customHeight="1">
      <x:c r="A14" s="26" t="str">
        <x:v>GTD-REL-010</x:v>
      </x:c>
      <x:c r="B14" s="26" t="str">
        <x:v>Trevor Meyer</x:v>
      </x:c>
      <x:c r="C14" s="26" t="str">
        <x:v>rider relationship with</x:v>
      </x:c>
      <x:c r="D14" s="26" t="str">
        <x:v>Dyno Slammer / GT Bicycle Air Show</x:v>
      </x:c>
      <x:c r="E14" s="26" t="str">
        <x:v>1998</x:v>
      </x:c>
      <x:c r="F14" s="26" t="str">
        <x:v>Catalog reconstruction</x:v>
      </x:c>
      <x:c r="G14" s="26" t="str">
        <x:v>MEDIUM-HIGH</x:v>
      </x:c>
      <x:c r="H14" s="26" t="str">
        <x:v>Specific events and jacket issue open.</x:v>
      </x:c>
      <x:c r="I14" s="26" t="str">
        <x:v>https://www.bmx-catalogue.com/dyno/mid-school/1998/model.html</x:v>
      </x:c>
      <x:c r="J14" s="26" t="str">
        <x:v>ACTIVE</x:v>
      </x:c>
    </x:row>
    <x:row r="15" ht="84" customHeight="1">
      <x:c r="A15" s="26" t="str">
        <x:v>GTD-REL-011</x:v>
      </x:c>
      <x:c r="B15" s="26" t="str">
        <x:v>Gabe Weed</x:v>
      </x:c>
      <x:c r="C15" s="26" t="str">
        <x:v>teammate/Air Show relationship with</x:v>
      </x:c>
      <x:c r="D15" s="26" t="str">
        <x:v>Dyno</x:v>
      </x:c>
      <x:c r="E15" s="26" t="str">
        <x:v>1998</x:v>
      </x:c>
      <x:c r="F15" s="26" t="str">
        <x:v>Catalog reconstruction</x:v>
      </x:c>
      <x:c r="G15" s="26" t="str">
        <x:v>MEDIUM</x:v>
      </x:c>
      <x:c r="H15" s="26" t="str">
        <x:v>Specific model/event use open.</x:v>
      </x:c>
      <x:c r="I15" s="26" t="str">
        <x:v>https://www.bmx-catalogue.com/dyno/mid-school/1998/model.html</x:v>
      </x:c>
      <x:c r="J15" s="26" t="str">
        <x:v>ACTIVE</x:v>
      </x:c>
    </x:row>
    <x:row r="16" ht="84" customHeight="1">
      <x:c r="A16" s="26" t="str">
        <x:v>GTD-REL-012</x:v>
      </x:c>
      <x:c r="B16" s="26" t="str">
        <x:v>Aaron Benke</x:v>
      </x:c>
      <x:c r="C16" s="26" t="str">
        <x:v>teammate/Air Show relationship with</x:v>
      </x:c>
      <x:c r="D16" s="26" t="str">
        <x:v>Dyno</x:v>
      </x:c>
      <x:c r="E16" s="26" t="str">
        <x:v>1998</x:v>
      </x:c>
      <x:c r="F16" s="26" t="str">
        <x:v>Catalog reconstruction</x:v>
      </x:c>
      <x:c r="G16" s="26" t="str">
        <x:v>MEDIUM</x:v>
      </x:c>
      <x:c r="H16" s="26" t="str">
        <x:v>Specific model/event use open.</x:v>
      </x:c>
      <x:c r="I16" s="26" t="str">
        <x:v>https://www.bmx-catalogue.com/dyno/mid-school/1998/model.html</x:v>
      </x:c>
      <x:c r="J16" s="26" t="str">
        <x:v>ACTIVE</x:v>
      </x:c>
    </x:row>
    <x:row r="17" ht="84" customHeight="1">
      <x:c r="A17" s="26" t="str">
        <x:v>GTD-REL-013</x:v>
      </x:c>
      <x:c r="B17" s="26" t="str">
        <x:v>Felicia Stancil</x:v>
      </x:c>
      <x:c r="C17" s="26" t="str">
        <x:v>raced for</x:v>
      </x:c>
      <x:c r="D17" s="26" t="str">
        <x:v>Factory GT</x:v>
      </x:c>
      <x:c r="E17" s="26" t="str">
        <x:v>2012</x:v>
      </x:c>
      <x:c r="F17" s="26" t="str">
        <x:v>Official USA BMX</x:v>
      </x:c>
      <x:c r="G17" s="26" t="str">
        <x:v>HIGH</x:v>
      </x:c>
      <x:c r="H17" s="26" t="str">
        <x:v>Exact physical bicycle separate.</x:v>
      </x:c>
      <x:c r="I17" s="26" t="str">
        <x:v>https://www.usabmx.com/news-and-media/6/2012-05-27/UCI-Worlds-Update?id=586</x:v>
      </x:c>
      <x:c r="J17" s="26" t="str">
        <x:v>VERIFIED</x:v>
      </x:c>
    </x:row>
    <x:row r="18" ht="84" customHeight="1">
      <x:c r="A18" s="26" t="str">
        <x:v>GTD-REL-014</x:v>
      </x:c>
      <x:c r="B18" s="26" t="str">
        <x:v>Lititz artifact 26.0054</x:v>
      </x:c>
      <x:c r="C18" s="26" t="str">
        <x:v>strongly attributed to</x:v>
      </x:c>
      <x:c r="D18" s="26" t="str">
        <x:v>Felicia Stancil 2012 Worlds GT</x:v>
      </x:c>
      <x:c r="E18" s="26" t="str">
        <x:v>2012/collection</x:v>
      </x:c>
      <x:c r="F18" s="26" t="str">
        <x:v>Official result + physical package</x:v>
      </x:c>
      <x:c r="G18" s="26" t="str">
        <x:v>B− artifact</x:v>
      </x:c>
      <x:c r="H18" s="26" t="str">
        <x:v>Serial/provenance/race configuration open.</x:v>
      </x:c>
      <x:c r="I18" s="26" t="str">
        <x:v>https://sites.google.com/view/lititzbmxinventorylist/home/26-0054</x:v>
      </x:c>
      <x:c r="J18" s="26" t="str">
        <x:v>QUALIFIED</x:v>
      </x:c>
    </x:row>
    <x:row r="19" ht="84" customHeight="1">
      <x:c r="A19" s="26" t="str">
        <x:v>GTD-REL-015</x:v>
      </x:c>
      <x:c r="B19" s="26" t="str">
        <x:v>Lititz artifact 26.0020</x:v>
      </x:c>
      <x:c r="C19" s="26" t="str">
        <x:v>collection attribution to</x:v>
      </x:c>
      <x:c r="D19" s="26" t="str">
        <x:v>Todd Huffman / GT Bicycle Air Show</x:v>
      </x:c>
      <x:c r="E19" s="26" t="str">
        <x:v>Date open</x:v>
      </x:c>
      <x:c r="F19" s="26" t="str">
        <x:v>Lititz inventory + catalog context</x:v>
      </x:c>
      <x:c r="G19" s="26" t="str">
        <x:v>MEDIUM</x:v>
      </x:c>
      <x:c r="H19" s="26" t="str">
        <x:v>Issue/wear/event use unverified.</x:v>
      </x:c>
      <x:c r="I19" s="26" t="str">
        <x:v>https://sites.google.com/view/lititzbmxinventorylist/home/26-0020</x:v>
      </x:c>
      <x:c r="J19" s="26" t="str">
        <x:v>QUALIFIED</x:v>
      </x:c>
    </x:row>
    <x:row r="20" ht="84" customHeight="1">
      <x:c r="A20" s="26" t="str">
        <x:v>GTD-REL-016</x:v>
      </x:c>
      <x:c r="B20" s="26" t="str">
        <x:v>Lititz artifact 26.0040</x:v>
      </x:c>
      <x:c r="C20" s="26" t="str">
        <x:v>collection attribution to</x:v>
      </x:c>
      <x:c r="D20" s="26" t="str">
        <x:v>Harry Leary / GT-branded lanyard</x:v>
      </x:c>
      <x:c r="E20" s="26" t="str">
        <x:v>Date open</x:v>
      </x:c>
      <x:c r="F20" s="26" t="str">
        <x:v>Lititz inventory</x:v>
      </x:c>
      <x:c r="G20" s="26" t="str">
        <x:v>MEDIUM</x:v>
      </x:c>
      <x:c r="H20" s="26" t="str">
        <x:v>Relationship context unknown.</x:v>
      </x:c>
      <x:c r="I20" s="26" t="str">
        <x:v>https://sites.google.com/view/lititzbmxinventorylist/home/26-0040</x:v>
      </x:c>
      <x:c r="J20" s="26" t="str">
        <x:v>QUALIFIED</x:v>
      </x:c>
    </x:row>
    <x:row r="21" ht="84" customHeight="1">
      <x:c r="A21" s="26" t="str">
        <x:v>GTD-REL-017</x:v>
      </x:c>
      <x:c r="B21" s="26" t="str">
        <x:v>BMXMuseum record 72272</x:v>
      </x:c>
      <x:c r="C21" s="26" t="str">
        <x:v>submitted/prototype relationship with</x:v>
      </x:c>
      <x:c r="D21" s="26" t="str">
        <x:v>Dyno Compe prototype</x:v>
      </x:c>
      <x:c r="E21" s="26" t="str">
        <x:v>Public current</x:v>
      </x:c>
      <x:c r="F21" s="26" t="str">
        <x:v>Exact cited ID</x:v>
      </x:c>
      <x:c r="G21" s="26" t="str">
        <x:v>MEDIUM-HIGH exact target</x:v>
      </x:c>
      <x:c r="H21" s="26" t="str">
        <x:v>Direct metadata/text uninspected.</x:v>
      </x:c>
      <x:c r="I21" s="26" t="str">
        <x:v>https://www.bmxmuseum.com/bikes/dyno/72272</x:v>
      </x:c>
      <x:c r="J21" s="26" t="str">
        <x:v>ACTIVE</x:v>
      </x:c>
    </x:row>
    <x:row r="22" ht="84" customHeight="1">
      <x:c r="A22" s="26" t="str">
        <x:v>GTD-REL-018</x:v>
      </x:c>
      <x:c r="B22" s="26" t="str">
        <x:v>BMXMuseum record 119277</x:v>
      </x:c>
      <x:c r="C22" s="26" t="str">
        <x:v>submitted as</x:v>
      </x:c>
      <x:c r="D22" s="26" t="str">
        <x:v>1990 GT Pro Series XL</x:v>
      </x:c>
      <x:c r="E22" s="26" t="str">
        <x:v>Public current</x:v>
      </x:c>
      <x:c r="F22" s="26" t="str">
        <x:v>Official social exact record</x:v>
      </x:c>
      <x:c r="G22" s="26" t="str">
        <x:v>A1</x:v>
      </x:c>
      <x:c r="H22" s="26" t="str">
        <x:v>Originality open.</x:v>
      </x:c>
      <x:c r="I22" s="26" t="str">
        <x:v>https://www.bmxmuseum.com/bikes/gt_bicycles/119277</x:v>
      </x:c>
      <x:c r="J22" s="26" t="str">
        <x:v>EXACT</x:v>
      </x:c>
    </x:row>
    <x:row r="23" ht="84" customHeight="1">
      <x:c r="A23" s="26" t="str">
        <x:v>GTD-REL-019</x:v>
      </x:c>
      <x:c r="B23" s="26" t="str">
        <x:v>GT/Dyno 1996 catalog</x:v>
      </x:c>
      <x:c r="C23" s="26" t="str">
        <x:v>public topic relationship with</x:v>
      </x:c>
      <x:c r="D23" s="26" t="str">
        <x:v>BMXMuseum forum 7531</x:v>
      </x:c>
      <x:c r="E23" s="26" t="str">
        <x:v>Public indexed</x:v>
      </x:c>
      <x:c r="F23" s="26" t="str">
        <x:v>Exact public backlink</x:v>
      </x:c>
      <x:c r="G23" s="26" t="str">
        <x:v>A2</x:v>
      </x:c>
      <x:c r="H23" s="26" t="str">
        <x:v>Forum and reference object identity may differ.</x:v>
      </x:c>
      <x:c r="I23" s="26" t="str">
        <x:v>https://www.bmxmuseum.com/forums/viewtopic.php?id=7531</x:v>
      </x:c>
      <x:c r="J23" s="26" t="str">
        <x:v>ACTIVE</x:v>
      </x:c>
    </x:row>
    <x:row r="24" ht="84" customHeight="1">
      <x:c r="A24" s="26" t="str">
        <x:v>GTD-REL-020</x:v>
      </x:c>
      <x:c r="B24" s="26" t="str">
        <x:v>GT and Dyno</x:v>
      </x:c>
      <x:c r="C24" s="26" t="str">
        <x:v>shared</x:v>
      </x:c>
      <x:c r="D24" s="26" t="str">
        <x:v>parts/accessories ecosystem</x:v>
      </x:c>
      <x:c r="E24" s="26" t="str">
        <x:v>1996 catalog</x:v>
      </x:c>
      <x:c r="F24" s="26" t="str">
        <x:v>Catalog reconstruction</x:v>
      </x:c>
      <x:c r="G24" s="26" t="str">
        <x:v>HIGH for catalog</x:v>
      </x:c>
      <x:c r="H24" s="26" t="str">
        <x:v>Shared parts do not merge brands.</x:v>
      </x:c>
      <x:c r="I24" s="26" t="str">
        <x:v>https://www.bmx-catalogue.com/gt/mid-school/1996/parts-accessories.html</x:v>
      </x:c>
      <x:c r="J24" s="26" t="str">
        <x:v>LOCKED</x:v>
      </x:c>
    </x:row>
    <x:row r="25" ht="84" customHeight="1">
      <x:c r="A25" s="26" t="str">
        <x:v>GTD-REL-021</x:v>
      </x:c>
      <x:c r="B25" s="26" t="str">
        <x:v>Current GT</x:v>
      </x:c>
      <x:c r="C25" s="26" t="str">
        <x:v>markets</x:v>
      </x:c>
      <x:c r="D25" s="26" t="str">
        <x:v>modern Dyno Pro Compe heritage bike</x:v>
      </x:c>
      <x:c r="E25" s="26" t="str">
        <x:v>Current</x:v>
      </x:c>
      <x:c r="F25" s="26" t="str">
        <x:v>Official GT</x:v>
      </x:c>
      <x:c r="G25" s="26" t="str">
        <x:v>HIGH</x:v>
      </x:c>
      <x:c r="H25" s="26" t="str">
        <x:v>Modern tribute, not original old-school object.</x:v>
      </x:c>
      <x:c r="I25" s="26" t="str">
        <x:v>https://gtbicycles.com/pages/big-wheel-bmx</x:v>
      </x:c>
      <x:c r="J25" s="26" t="str">
        <x:v>LOCKED</x:v>
      </x:c>
    </x:row>
  </x:sheetData>
  <x:mergeCells>
    <x:mergeCell ref="A1:J1"/>
    <x:mergeCell ref="A2:J2"/>
  </x:mergeCells>
  <x:pageMargins left="0.7" right="0.7" top="0.75" bottom="0.75" header="0.3" footer="0.3"/>
  <x:tableParts count="1">
    <x:tablePart xmlns:r="http://schemas.openxmlformats.org/officeDocument/2006/relationships" r:id="R9bb6cbcfa4d44297"/>
  </x:tableParts>
</x:worksheet>
</file>

<file path=xl/worksheets/sheet115.xml><?xml version="1.0" encoding="utf-8"?>
<x:worksheet xmlns:x="http://schemas.openxmlformats.org/spreadsheetml/2006/main">
  <x:sheetFormatPr defaultRowHeight="15"/>
  <x:cols>
    <x:col min="1" max="1" width="15" hidden="0" customWidth="1"/>
    <x:col min="2" max="2" width="38" hidden="0" customWidth="1"/>
    <x:col min="3" max="3" width="32" hidden="0" customWidth="1"/>
    <x:col min="4" max="4" width="26" hidden="0" customWidth="1"/>
    <x:col min="5" max="5" width="54" hidden="0" customWidth="1"/>
    <x:col min="6" max="6" width="52" hidden="0" customWidth="1"/>
    <x:col min="7" max="7" width="42" hidden="0" customWidth="1"/>
    <x:col min="8" max="8" width="62" hidden="0" customWidth="1"/>
    <x:col min="9" max="9" width="14" hidden="0" customWidth="1"/>
  </x:cols>
  <x:sheetData>
    <x:row r="1" ht="31" customHeight="1">
      <x:c r="A1" s="600" t="str">
        <x:v>GT and Dyno Source Register</x:v>
      </x:c>
      <x:c r="B1" s="600"/>
      <x:c r="C1" s="600"/>
      <x:c r="D1" s="600"/>
      <x:c r="E1" s="600"/>
      <x:c r="F1" s="600"/>
      <x:c r="G1" s="600"/>
      <x:c r="H1" s="600"/>
      <x:c r="I1" s="600"/>
    </x:row>
    <x:row r="2" ht="31" customHeight="1">
      <x:c r="A2" s="605" t="str">
        <x:v>Official company history, first-person founder history, catalog reconstructions, period publications, official results and BMXMuseum public metadata remain separate evidence classes.</x:v>
      </x:c>
      <x:c r="B2" s="605"/>
      <x:c r="C2" s="605"/>
      <x:c r="D2" s="605"/>
      <x:c r="E2" s="605"/>
      <x:c r="F2" s="605"/>
      <x:c r="G2" s="605"/>
      <x:c r="H2" s="605"/>
      <x:c r="I2" s="605"/>
    </x:row>
    <x:row r="4">
      <x:c r="A4" s="610" t="str">
        <x:v>Source ID</x:v>
      </x:c>
      <x:c r="B4" s="610" t="str">
        <x:v>Source</x:v>
      </x:c>
      <x:c r="C4" s="610" t="str">
        <x:v>Source Class</x:v>
      </x:c>
      <x:c r="D4" s="610" t="str">
        <x:v>Coverage</x:v>
      </x:c>
      <x:c r="E4" s="610" t="str">
        <x:v>Claims Supported</x:v>
      </x:c>
      <x:c r="F4" s="610" t="str">
        <x:v>Limitations</x:v>
      </x:c>
      <x:c r="G4" s="610" t="str">
        <x:v>Rights / Use</x:v>
      </x:c>
      <x:c r="H4" s="610" t="str">
        <x:v>URL</x:v>
      </x:c>
      <x:c r="I4" s="610" t="str">
        <x:v>Accessed</x:v>
      </x:c>
    </x:row>
    <x:row r="5" ht="86" customHeight="1">
      <x:c r="A5" s="26" t="str">
        <x:v>GTD-SRC-001</x:v>
      </x:c>
      <x:c r="B5" s="26" t="str">
        <x:v>GT About Us / History</x:v>
      </x:c>
      <x:c r="C5" s="26" t="str">
        <x:v>Current official company history</x:v>
      </x:c>
      <x:c r="D5" s="26" t="str">
        <x:v>1972–present high-level timeline</x:v>
      </x:c>
      <x:c r="E5" s="26" t="str">
        <x:v>1972 first frame; early growth; rider/freestyle context.</x:v>
      </x:c>
      <x:c r="F5" s="26" t="str">
        <x:v>High-level and selective; does not provide legal incorporation or full model chronology.</x:v>
      </x:c>
      <x:c r="G5" s="26" t="str">
        <x:v>Cite official facts; no image copying.</x:v>
      </x:c>
      <x:c r="H5" s="26" t="str">
        <x:v>https://gtbicycles.com/pages/about-us</x:v>
      </x:c>
      <x:c r="I5" s="26" t="str">
        <x:v>2026-07-30</x:v>
      </x:c>
    </x:row>
    <x:row r="6" ht="86" customHeight="1">
      <x:c r="A6" s="26" t="str">
        <x:v>GTD-SRC-002</x:v>
      </x:c>
      <x:c r="B6" s="26" t="str">
        <x:v>Bob Morales history</x:v>
      </x:c>
      <x:c r="C6" s="26" t="str">
        <x:v>First-person founder/designer history</x:v>
      </x:c>
      <x:c r="D6" s="26" t="str">
        <x:v>1975 onward; detailed 1982–1986 GT/Dyno period</x:v>
      </x:c>
      <x:c r="E6" s="26" t="str">
        <x:v>Dyno origin, Performer design, sale to GT, first Dyno frame/fork and employment transition.</x:v>
      </x:c>
      <x:c r="F6" s="26" t="str">
        <x:v>First-person retrospective; model-specific credits still require product records.</x:v>
      </x:c>
      <x:c r="G6" s="26" t="str">
        <x:v>Paraphrase factual history.</x:v>
      </x:c>
      <x:c r="H6" s="26" t="str">
        <x:v>https://www.melonpeel.com/morales/history.htm</x:v>
      </x:c>
      <x:c r="I6" s="26" t="str">
        <x:v>2026-07-30</x:v>
      </x:c>
    </x:row>
    <x:row r="7" ht="86" customHeight="1">
      <x:c r="A7" s="26" t="str">
        <x:v>GTD-SRC-003</x:v>
      </x:c>
      <x:c r="B7" s="26" t="str">
        <x:v>USA BMX Bob Morales Hall of Fame</x:v>
      </x:c>
      <x:c r="C7" s="26" t="str">
        <x:v>Official sanctioning-body profile</x:v>
      </x:c>
      <x:c r="D7" s="26" t="str">
        <x:v>Career summary</x:v>
      </x:c>
      <x:c r="E7" s="26" t="str">
        <x:v>BME/Dyno, AFA and sale/design relationship summary.</x:v>
      </x:c>
      <x:c r="F7" s="26" t="str">
        <x:v>Summary rather than detailed chronology.</x:v>
      </x:c>
      <x:c r="G7" s="26" t="str">
        <x:v>Cite official profile.</x:v>
      </x:c>
      <x:c r="H7" s="26" t="str">
        <x:v>https://www.usabmx.com/news-and-media/6/2018-07-11/National-BMX-Hall-of-Fame---Class-of-2018?id=1610</x:v>
      </x:c>
      <x:c r="I7" s="26" t="str">
        <x:v>2026-07-30</x:v>
      </x:c>
    </x:row>
    <x:row r="8" ht="86" customHeight="1">
      <x:c r="A8" s="26" t="str">
        <x:v>GTD-SRC-004</x:v>
      </x:c>
      <x:c r="B8" s="26" t="str">
        <x:v>GT catalog archive</x:v>
      </x:c>
      <x:c r="C8" s="26" t="str">
        <x:v>Current official catalog support</x:v>
      </x:c>
      <x:c r="D8" s="26" t="str">
        <x:v>2016–2021</x:v>
      </x:c>
      <x:c r="E8" s="26" t="str">
        <x:v>Modern public catalog availability.</x:v>
      </x:c>
      <x:c r="F8" s="26" t="str">
        <x:v>Does not cover historical 1980s–1990s catalogs.</x:v>
      </x:c>
      <x:c r="G8" s="26" t="str">
        <x:v>Use official links/citations.</x:v>
      </x:c>
      <x:c r="H8" s="26" t="str">
        <x:v>https://gtbicycles.com/pages/catalogs</x:v>
      </x:c>
      <x:c r="I8" s="26" t="str">
        <x:v>2026-07-30</x:v>
      </x:c>
    </x:row>
    <x:row r="9" ht="86" customHeight="1">
      <x:c r="A9" s="26" t="str">
        <x:v>GTD-SRC-005</x:v>
      </x:c>
      <x:c r="B9" s="26" t="str">
        <x:v>GT BMX Catalogue archive</x:v>
      </x:c>
      <x:c r="C9" s="26" t="str">
        <x:v>Secondary catalog reconstruction</x:v>
      </x:c>
      <x:c r="D9" s="26" t="str">
        <x:v>1981–2001 model-year pages</x:v>
      </x:c>
      <x:c r="E9" s="26" t="str">
        <x:v>Model lists, year-specific specifications and serial guidance.</x:v>
      </x:c>
      <x:c r="F9" s="26" t="str">
        <x:v>Reconstructed from catalogs; edition accuracy and all transcriptions should be checked against originals.</x:v>
      </x:c>
      <x:c r="G9" s="26" t="str">
        <x:v>Factual indexing and comparison only.</x:v>
      </x:c>
      <x:c r="H9" s="26" t="str">
        <x:v>https://www.bmx-catalogue.com/gt/year.html</x:v>
      </x:c>
      <x:c r="I9" s="26" t="str">
        <x:v>2026-07-30</x:v>
      </x:c>
    </x:row>
    <x:row r="10" ht="86" customHeight="1">
      <x:c r="A10" s="26" t="str">
        <x:v>GTD-SRC-006</x:v>
      </x:c>
      <x:c r="B10" s="26" t="str">
        <x:v>Dyno BMX Catalogue archive</x:v>
      </x:c>
      <x:c r="C10" s="26" t="str">
        <x:v>Secondary catalog reconstruction</x:v>
      </x:c>
      <x:c r="D10" s="26" t="str">
        <x:v>1991–2001 accessible year pages; historical context</x:v>
      </x:c>
      <x:c r="E10" s="26" t="str">
        <x:v>Model lists, specifications, colors and factory-code guidance.</x:v>
      </x:c>
      <x:c r="F10" s="26" t="str">
        <x:v>Coverage gaps exist for earliest Dyno years; reconstruction can contain transcription errors.</x:v>
      </x:c>
      <x:c r="G10" s="26" t="str">
        <x:v>Factual indexing and comparison only.</x:v>
      </x:c>
      <x:c r="H10" s="26" t="str">
        <x:v>https://bmx-catalogue.com/dyno/year.html</x:v>
      </x:c>
      <x:c r="I10" s="26" t="str">
        <x:v>2026-07-30</x:v>
      </x:c>
    </x:row>
    <x:row r="11" ht="86" customHeight="1">
      <x:c r="A11" s="26" t="str">
        <x:v>GTD-SRC-007</x:v>
      </x:c>
      <x:c r="B11" s="26" t="str">
        <x:v>Oldschoolmags tests index</x:v>
      </x:c>
      <x:c r="C11" s="26" t="str">
        <x:v>Period-test preservation index</x:v>
      </x:c>
      <x:c r="D11" s="26" t="str">
        <x:v>1980s–1990s</x:v>
      </x:c>
      <x:c r="E11" s="26" t="str">
        <x:v>Existence of numerous GT/Dyno product tests.</x:v>
      </x:c>
      <x:c r="F11" s="26" t="str">
        <x:v>Detailed measurements require page-level transcription; copyrights remain with creators.</x:v>
      </x:c>
      <x:c r="G11" s="26" t="str">
        <x:v>Index and paraphrase factual data only.</x:v>
      </x:c>
      <x:c r="H11" s="26" t="str">
        <x:v>https://oldschoolmags.com/tests_and_reviews.htm</x:v>
      </x:c>
      <x:c r="I11" s="26" t="str">
        <x:v>2026-07-30</x:v>
      </x:c>
    </x:row>
    <x:row r="12" ht="86" customHeight="1">
      <x:c r="A12" s="26" t="str">
        <x:v>GTD-SRC-008</x:v>
      </x:c>
      <x:c r="B12" s="26" t="str">
        <x:v>PreviousPage August 1987 issue</x:v>
      </x:c>
      <x:c r="C12" s="26" t="str">
        <x:v>Period publication index/OCR</x:v>
      </x:c>
      <x:c r="D12" s="26" t="str">
        <x:v>August 1987</x:v>
      </x:c>
      <x:c r="E12" s="26" t="str">
        <x:v>GT/Dyno retailer prices and promotional pages.</x:v>
      </x:c>
      <x:c r="F12" s="26" t="str">
        <x:v>OCR uneven; image inspection controls uncertain rows.</x:v>
      </x:c>
      <x:c r="G12" s="26" t="str">
        <x:v>Preserve clear factual pairs only.</x:v>
      </x:c>
      <x:c r="H12" s="26" t="str">
        <x:v>https://previouspage.co.uk/issues/245-august-nineteen-eighty-seven</x:v>
      </x:c>
      <x:c r="I12" s="26" t="str">
        <x:v>2026-07-30</x:v>
      </x:c>
    </x:row>
    <x:row r="13" ht="86" customHeight="1">
      <x:c r="A13" s="26" t="str">
        <x:v>GTD-SRC-009</x:v>
      </x:c>
      <x:c r="B13" s="26" t="str">
        <x:v>PreviousPage July 1987 BMX Plus</x:v>
      </x:c>
      <x:c r="C13" s="26" t="str">
        <x:v>Period publication index/OCR</x:v>
      </x:c>
      <x:c r="D13" s="26" t="str">
        <x:v>July 1987</x:v>
      </x:c>
      <x:c r="E13" s="26" t="str">
        <x:v>Independent GT retailer price observations.</x:v>
      </x:c>
      <x:c r="F13" s="26" t="str">
        <x:v>Retail prices, not MSRP; OCR context matters.</x:v>
      </x:c>
      <x:c r="G13" s="26" t="str">
        <x:v>Preserve clear factual pairs only.</x:v>
      </x:c>
      <x:c r="H13" s="26" t="str">
        <x:v>https://previouspage.co.uk/magazines/BMX%20Plus/issues/244-july-nineteen-eighty-seven</x:v>
      </x:c>
      <x:c r="I13" s="26" t="str">
        <x:v>2026-07-30</x:v>
      </x:c>
    </x:row>
    <x:row r="14" ht="86" customHeight="1">
      <x:c r="A14" s="26" t="str">
        <x:v>GTD-SRC-010</x:v>
      </x:c>
      <x:c r="B14" s="26" t="str">
        <x:v>USA BMX 2012 Worlds update</x:v>
      </x:c>
      <x:c r="C14" s="26" t="str">
        <x:v>Official event report</x:v>
      </x:c>
      <x:c r="D14" s="26" t="str">
        <x:v>2012 Birmingham Worlds</x:v>
      </x:c>
      <x:c r="E14" s="26" t="str">
        <x:v>Felicia Stancil race and time-trial titles for Factory GT.</x:v>
      </x:c>
      <x:c r="F14" s="26" t="str">
        <x:v>Authenticates result, not surviving bicycle.</x:v>
      </x:c>
      <x:c r="G14" s="26" t="str">
        <x:v>Cite event facts.</x:v>
      </x:c>
      <x:c r="H14" s="26" t="str">
        <x:v>https://www.usabmx.com/news-and-media/6/2012-05-27/UCI-Worlds-Update?id=586</x:v>
      </x:c>
      <x:c r="I14" s="26" t="str">
        <x:v>2026-07-30</x:v>
      </x:c>
    </x:row>
    <x:row r="15" ht="86" customHeight="1">
      <x:c r="A15" s="26" t="str">
        <x:v>GTD-SRC-011</x:v>
      </x:c>
      <x:c r="B15" s="26" t="str">
        <x:v>BMXMuseum official public social links</x:v>
      </x:c>
      <x:c r="C15" s="26" t="str">
        <x:v>First-party public metadata exposure</x:v>
      </x:c>
      <x:c r="D15" s="26" t="str">
        <x:v>Selected public records</x:v>
      </x:c>
      <x:c r="E15" s="26" t="str">
        <x:v>Exact GT/Dyno record IDs, submitted titles/years.</x:v>
      </x:c>
      <x:c r="F15" s="26" t="str">
        <x:v>Does not expose every record or authenticate originality.</x:v>
      </x:c>
      <x:c r="G15" s="26" t="str">
        <x:v>Index canonical URLs and submitted metadata only.</x:v>
      </x:c>
      <x:c r="H15" s="26" t="str">
        <x:v>https://www.reddit.com/user/bmxmuseum/</x:v>
      </x:c>
      <x:c r="I15" s="26" t="str">
        <x:v>2026-07-30</x:v>
      </x:c>
    </x:row>
    <x:row r="16" ht="86" customHeight="1">
      <x:c r="A16" s="26" t="str">
        <x:v>GTD-SRC-012</x:v>
      </x:c>
      <x:c r="B16" s="26" t="str">
        <x:v>Public external BMXMuseum backlinks</x:v>
      </x:c>
      <x:c r="C16" s="26" t="str">
        <x:v>Community/source-discovery evidence</x:v>
      </x:c>
      <x:c r="D16" s="26" t="str">
        <x:v>Selected exact records/forums</x:v>
      </x:c>
      <x:c r="E16" s="26" t="str">
        <x:v>Exact IDs for GT/Dyno comparisons and forum topics.</x:v>
      </x:c>
      <x:c r="F16" s="26" t="str">
        <x:v>Context and identification quality vary; no completeness.</x:v>
      </x:c>
      <x:c r="G16" s="26" t="str">
        <x:v>Index IDs and qualify claims.</x:v>
      </x:c>
      <x:c r="H16" s="26" t="str">
        <x:v>https://www.radbmx.co.uk/forum/index.php?topic=167377.0</x:v>
      </x:c>
      <x:c r="I16" s="26" t="str">
        <x:v>2026-07-30</x:v>
      </x:c>
    </x:row>
    <x:row r="17" ht="86" customHeight="1">
      <x:c r="A17" s="26" t="str">
        <x:v>GTD-SRC-013</x:v>
      </x:c>
      <x:c r="B17" s="26" t="str">
        <x:v>1992 GT/Dyno Product Catalog index</x:v>
      </x:c>
      <x:c r="C17" s="26" t="str">
        <x:v>Third-party public image index</x:v>
      </x:c>
      <x:c r="D17" s="26" t="str">
        <x:v>1992</x:v>
      </x:c>
      <x:c r="E17" s="26" t="str">
        <x:v>Catalog title and limited price-bearing page evidence.</x:v>
      </x:c>
      <x:c r="F17" s="26" t="str">
        <x:v>Exact BMXMuseum ID, currency, market and page context unresolved.</x:v>
      </x:c>
      <x:c r="G17" s="26" t="str">
        <x:v>Bibliographic facts and clear prices only.</x:v>
      </x:c>
      <x:c r="H17" s="26" t="str">
        <x:v>https://in.pinterest.com/pin/1011550766308215575/</x:v>
      </x:c>
      <x:c r="I17" s="26" t="str">
        <x:v>2026-07-30</x:v>
      </x:c>
    </x:row>
    <x:row r="18" ht="86" customHeight="1">
      <x:c r="A18" s="26" t="str">
        <x:v>GTD-SRC-014</x:v>
      </x:c>
      <x:c r="B18" s="26" t="str">
        <x:v>1996 GT/Dyno BMX &amp; Freestyle Catalog index</x:v>
      </x:c>
      <x:c r="C18" s="26" t="str">
        <x:v>Third-party public image index</x:v>
      </x:c>
      <x:c r="D18" s="26" t="str">
        <x:v>1996</x:v>
      </x:c>
      <x:c r="E18" s="26" t="str">
        <x:v>Catalog title and BMXMuseum provenance lead.</x:v>
      </x:c>
      <x:c r="F18" s="26" t="str">
        <x:v>Exact reference ID/page count unresolved.</x:v>
      </x:c>
      <x:c r="G18" s="26" t="str">
        <x:v>Bibliographic facts only.</x:v>
      </x:c>
      <x:c r="H18" s="26" t="str">
        <x:v>https://www.pinterest.com/pin/bmxmuseumcom-reference-1996-gtdyno-the-bmx-freestyle-catalog--491877590560035755/</x:v>
      </x:c>
      <x:c r="I18" s="26" t="str">
        <x:v>2026-07-30</x:v>
      </x:c>
    </x:row>
    <x:row r="19" ht="86" customHeight="1">
      <x:c r="A19" s="26" t="str">
        <x:v>GTD-SRC-015</x:v>
      </x:c>
      <x:c r="B19" s="26" t="str">
        <x:v>1999 GT/Dyno Part 2 index</x:v>
      </x:c>
      <x:c r="C19" s="26" t="str">
        <x:v>Third-party public image index</x:v>
      </x:c>
      <x:c r="D19" s="26" t="str">
        <x:v>1999</x:v>
      </x:c>
      <x:c r="E19" s="26" t="str">
        <x:v>Part-title and BMXMuseum provenance lead.</x:v>
      </x:c>
      <x:c r="F19" s="26" t="str">
        <x:v>Part 1 and exact reference ID unresolved.</x:v>
      </x:c>
      <x:c r="G19" s="26" t="str">
        <x:v>Bibliographic facts only.</x:v>
      </x:c>
      <x:c r="H19" s="26" t="str">
        <x:v>https://www.pinterest.com/pin/bmxmuseumcom-reference-1999-gtdyno-bmxfreestyle-part-2-in-2025--798192733998105769/</x:v>
      </x:c>
      <x:c r="I19" s="26" t="str">
        <x:v>2026-07-30</x:v>
      </x:c>
    </x:row>
    <x:row r="20" ht="86" customHeight="1">
      <x:c r="A20" s="26" t="str">
        <x:v>GTD-SRC-016</x:v>
      </x:c>
      <x:c r="B20" s="26" t="str">
        <x:v>NORA Cup preservation summary</x:v>
      </x:c>
      <x:c r="C20" s="26" t="str">
        <x:v>Historical award summary</x:v>
      </x:c>
      <x:c r="D20" s="26" t="str">
        <x:v>1979–1998</x:v>
      </x:c>
      <x:c r="E20" s="26" t="str">
        <x:v>1997 revived award context for GT/WD-40 and GT.</x:v>
      </x:c>
      <x:c r="F20" s="26" t="str">
        <x:v>Secondary summary; original magazine pages remain preferable.</x:v>
      </x:c>
      <x:c r="G20" s="26" t="str">
        <x:v>Paraphrase award facts.</x:v>
      </x:c>
      <x:c r="H20" s="26" t="str">
        <x:v>https://oldschoolmags.com/nora_cup.htm</x:v>
      </x:c>
      <x:c r="I20" s="26" t="str">
        <x:v>2026-07-30</x:v>
      </x:c>
    </x:row>
    <x:row r="21" ht="86" customHeight="1">
      <x:c r="A21" s="26" t="str">
        <x:v>GTD-SRC-017</x:v>
      </x:c>
      <x:c r="B21" s="26" t="str">
        <x:v>GT current Big Wheel BMX page</x:v>
      </x:c>
      <x:c r="C21" s="26" t="str">
        <x:v>Current official product source</x:v>
      </x:c>
      <x:c r="D21" s="26" t="str">
        <x:v>Current</x:v>
      </x:c>
      <x:c r="E21" s="26" t="str">
        <x:v>Modern Dyno Pro Compe heritage/reissue context.</x:v>
      </x:c>
      <x:c r="F21" s="26" t="str">
        <x:v>No old-school authentication value.</x:v>
      </x:c>
      <x:c r="G21" s="26" t="str">
        <x:v>Cite current product only.</x:v>
      </x:c>
      <x:c r="H21" s="26" t="str">
        <x:v>https://gtbicycles.com/pages/big-wheel-bmx</x:v>
      </x:c>
      <x:c r="I21" s="26" t="str">
        <x:v>2026-07-30</x:v>
      </x:c>
    </x:row>
    <x:row r="22" ht="86" customHeight="1">
      <x:c r="A22" s="26" t="str">
        <x:v>GTD-SRC-018</x:v>
      </x:c>
      <x:c r="B22" s="26" t="str">
        <x:v>Public corporate histories</x:v>
      </x:c>
      <x:c r="C22" s="26" t="str">
        <x:v>Secondary business history</x:v>
      </x:c>
      <x:c r="D22" s="26" t="str">
        <x:v>1970s–2000s</x:v>
      </x:c>
      <x:c r="E22" s="26" t="str">
        <x:v>Richard Long/GT formation and ownership context.</x:v>
      </x:c>
      <x:c r="F22" s="26" t="str">
        <x:v>Legal/corporate claims require primary filings before high-confidence public use.</x:v>
      </x:c>
      <x:c r="G22" s="26" t="str">
        <x:v>Use as qualified leads.</x:v>
      </x:c>
      <x:c r="H22" s="26" t="str">
        <x:v>https://road.cc/offroad/content/feature/gt-bicycles-the-story-of-an-iconic-marque-16391</x:v>
      </x:c>
      <x:c r="I22" s="26" t="str">
        <x:v>2026-07-30</x:v>
      </x:c>
    </x:row>
  </x:sheetData>
  <x:mergeCells>
    <x:mergeCell ref="A1:I1"/>
    <x:mergeCell ref="A2:I2"/>
  </x:mergeCells>
  <x:pageMargins left="0.7" right="0.7" top="0.75" bottom="0.75" header="0.3" footer="0.3"/>
  <x:tableParts count="1">
    <x:tablePart xmlns:r="http://schemas.openxmlformats.org/officeDocument/2006/relationships" r:id="R6790e11b5a024885"/>
  </x:tableParts>
</x:worksheet>
</file>

<file path=xl/worksheets/sheet116.xml><?xml version="1.0" encoding="utf-8"?>
<x:worksheet xmlns:x="http://schemas.openxmlformats.org/spreadsheetml/2006/main">
  <x:sheetFormatPr defaultRowHeight="15"/>
  <x:cols>
    <x:col min="1" max="1" width="15" hidden="0" customWidth="1"/>
    <x:col min="2" max="2" width="25" hidden="0" customWidth="1"/>
    <x:col min="3" max="3" width="52" hidden="0" customWidth="1"/>
    <x:col min="4" max="4" width="45" hidden="0" customWidth="1"/>
    <x:col min="5" max="5" width="52" hidden="0" customWidth="1"/>
    <x:col min="6" max="6" width="46" hidden="0" customWidth="1"/>
    <x:col min="7" max="7" width="10" hidden="0" customWidth="1"/>
    <x:col min="8" max="8" width="50" hidden="0" customWidth="1"/>
    <x:col min="9" max="9" width="20" hidden="0" customWidth="1"/>
  </x:cols>
  <x:sheetData>
    <x:row r="1" ht="31" customHeight="1">
      <x:c r="A1" s="600" t="str">
        <x:v>GT and Dyno Open Questions and Permission-Free Recovery Plan</x:v>
      </x:c>
      <x:c r="B1" s="600"/>
      <x:c r="C1" s="600"/>
      <x:c r="D1" s="600"/>
      <x:c r="E1" s="600"/>
      <x:c r="F1" s="600"/>
      <x:c r="G1" s="600"/>
      <x:c r="H1" s="600"/>
      <x:c r="I1" s="600"/>
    </x:row>
    <x:row r="2" ht="31" customHeight="1">
      <x:c r="A2" s="605" t="str">
        <x:v>The next gains come from original catalog imprints, public exact backlinks, period tests, corporate records, patents and Lititz physical evidence—not from bypassing BMXMuseum controls.</x:v>
      </x:c>
      <x:c r="B2" s="605"/>
      <x:c r="C2" s="605"/>
      <x:c r="D2" s="605"/>
      <x:c r="E2" s="605"/>
      <x:c r="F2" s="605"/>
      <x:c r="G2" s="605"/>
      <x:c r="H2" s="605"/>
      <x:c r="I2" s="605"/>
    </x:row>
    <x:row r="4">
      <x:c r="A4" s="610" t="str">
        <x:v>Question ID</x:v>
      </x:c>
      <x:c r="B4" s="610" t="str">
        <x:v>Subject</x:v>
      </x:c>
      <x:c r="C4" s="610" t="str">
        <x:v>Open Question</x:v>
      </x:c>
      <x:c r="D4" s="610" t="str">
        <x:v>Why It Matters</x:v>
      </x:c>
      <x:c r="E4" s="610" t="str">
        <x:v>Evidence Needed</x:v>
      </x:c>
      <x:c r="F4" s="610" t="str">
        <x:v>Current Position</x:v>
      </x:c>
      <x:c r="G4" s="610" t="str">
        <x:v>Priority</x:v>
      </x:c>
      <x:c r="H4" s="610" t="str">
        <x:v>Next Permission-Free Route</x:v>
      </x:c>
      <x:c r="I4" s="610" t="str">
        <x:v>Status</x:v>
      </x:c>
    </x:row>
    <x:row r="5" ht="86" customHeight="1">
      <x:c r="A5" s="26" t="str">
        <x:v>GTD-Q-001</x:v>
      </x:c>
      <x:c r="B5" s="26" t="str">
        <x:v>GT corporate formation</x:v>
      </x:c>
      <x:c r="C5" s="26" t="str">
        <x:v>What are the exact partnership, incorporation and business-location milestones between 1972 and 1980?</x:v>
      </x:c>
      <x:c r="D5" s="26" t="str">
        <x:v>Separates frame origin from company formation.</x:v>
      </x:c>
      <x:c r="E5" s="26" t="str">
        <x:v>Corporate filings, period ads, shop records and first-person interviews.</x:v>
      </x:c>
      <x:c r="F5" s="26" t="str">
        <x:v>1972 frame origin is official; 1979 company date is qualified.</x:v>
      </x:c>
      <x:c r="G5" s="26" t="str">
        <x:v>P1</x:v>
      </x:c>
      <x:c r="H5" s="26" t="str">
        <x:v>Public corporate archives, newspapers and period catalog mastheads.</x:v>
      </x:c>
      <x:c r="I5" s="26" t="str">
        <x:v>OPEN</x:v>
      </x:c>
    </x:row>
    <x:row r="6" ht="86" customHeight="1">
      <x:c r="A6" s="26" t="str">
        <x:v>GTD-Q-002</x:v>
      </x:c>
      <x:c r="B6" s="26" t="str">
        <x:v>Richard Long</x:v>
      </x:c>
      <x:c r="C6" s="26" t="str">
        <x:v>What exact title, date and claims are in BMXMuseum reference 7360?</x:v>
      </x:c>
      <x:c r="D6" s="26" t="str">
        <x:v>Could improve corporate and memorial chronology.</x:v>
      </x:c>
      <x:c r="E6" s="26" t="str">
        <x:v>Public first-party repost or external quotation with canonical metadata.</x:v>
      </x:c>
      <x:c r="F6" s="26" t="str">
        <x:v>Exact reference ID is known; content uninspected.</x:v>
      </x:c>
      <x:c r="G6" s="26" t="str">
        <x:v>P1</x:v>
      </x:c>
      <x:c r="H6" s="26" t="str">
        <x:v>Search public citations and official GT/industry memorials.</x:v>
      </x:c>
      <x:c r="I6" s="26" t="str">
        <x:v>OPEN</x:v>
      </x:c>
    </x:row>
    <x:row r="7" ht="86" customHeight="1">
      <x:c r="A7" s="26" t="str">
        <x:v>GTD-Q-003</x:v>
      </x:c>
      <x:c r="B7" s="26" t="str">
        <x:v>Gary Turner</x:v>
      </x:c>
      <x:c r="C7" s="26" t="str">
        <x:v>What exact title/date and first-person material are in reference 7358?</x:v>
      </x:c>
      <x:c r="D7" s="26" t="str">
        <x:v>Could connect 1972 frame origin and early production.</x:v>
      </x:c>
      <x:c r="E7" s="26" t="str">
        <x:v>Public repost, Craig Turner history or outside citation.</x:v>
      </x:c>
      <x:c r="F7" s="26" t="str">
        <x:v>Exact reference ID is known.</x:v>
      </x:c>
      <x:c r="G7" s="26" t="str">
        <x:v>P1</x:v>
      </x:c>
      <x:c r="H7" s="26" t="str">
        <x:v>Public first-person and patent/corporate sources.</x:v>
      </x:c>
      <x:c r="I7" s="26" t="str">
        <x:v>OPEN</x:v>
      </x:c>
    </x:row>
    <x:row r="8" ht="86" customHeight="1">
      <x:c r="A8" s="26" t="str">
        <x:v>GTD-Q-004</x:v>
      </x:c>
      <x:c r="B8" s="26" t="str">
        <x:v>Dyno prototype</x:v>
      </x:c>
      <x:c r="C8" s="26" t="str">
        <x:v>What serial, date, construction and full provenance are attached to BMXMuseum bike 72272?</x:v>
      </x:c>
      <x:c r="D8" s="26" t="str">
        <x:v>Controls first Dyno bicycle chronology.</x:v>
      </x:c>
      <x:c r="E8" s="26" t="str">
        <x:v>Public Bob Morales repost, external owner history or period photos.</x:v>
      </x:c>
      <x:c r="F8" s="26" t="str">
        <x:v>Exact ID known; direct content unavailable.</x:v>
      </x:c>
      <x:c r="G8" s="26" t="str">
        <x:v>P0</x:v>
      </x:c>
      <x:c r="H8" s="26" t="str">
        <x:v>Bob Morales public archives and backlinks.</x:v>
      </x:c>
      <x:c r="I8" s="26" t="str">
        <x:v>OPEN</x:v>
      </x:c>
    </x:row>
    <x:row r="9" ht="86" customHeight="1">
      <x:c r="A9" s="26" t="str">
        <x:v>GTD-Q-005</x:v>
      </x:c>
      <x:c r="B9" s="26" t="str">
        <x:v>Early Dyno catalogs</x:v>
      </x:c>
      <x:c r="C9" s="26" t="str">
        <x:v>Can 1985–1988 original Dyno catalog/price material be recovered page by page?</x:v>
      </x:c>
      <x:c r="D9" s="26" t="str">
        <x:v>Controls Compe/Pro Compe/D-Tour/VFR launch sequence.</x:v>
      </x:c>
      <x:c r="E9" s="26" t="str">
        <x:v>Original catalogs, period ads and tests.</x:v>
      </x:c>
      <x:c r="F9" s="26" t="str">
        <x:v>Current reconstruction coverage is weak for earliest years.</x:v>
      </x:c>
      <x:c r="G9" s="26" t="str">
        <x:v>P0</x:v>
      </x:c>
      <x:c r="H9" s="26" t="str">
        <x:v>Oldschoolmags, PreviousPage, dealer literature and auction bibliographies.</x:v>
      </x:c>
      <x:c r="I9" s="26" t="str">
        <x:v>OPEN</x:v>
      </x:c>
    </x:row>
    <x:row r="10" ht="86" customHeight="1">
      <x:c r="A10" s="26" t="str">
        <x:v>GTD-Q-006</x:v>
      </x:c>
      <x:c r="B10" s="26" t="str">
        <x:v>1992 catalog</x:v>
      </x:c>
      <x:c r="C10" s="26" t="str">
        <x:v>What are the exact BMXMuseum reference ID, market, page numbers and $319 model?</x:v>
      </x:c>
      <x:c r="D10" s="26" t="str">
        <x:v>Resolves current price/model ambiguity.</x:v>
      </x:c>
      <x:c r="E10" s="26" t="str">
        <x:v>Canonical backlink, full physical catalog or public page index.</x:v>
      </x:c>
      <x:c r="F10" s="26" t="str">
        <x:v>Title and two page values exposed.</x:v>
      </x:c>
      <x:c r="G10" s="26" t="str">
        <x:v>P0</x:v>
      </x:c>
      <x:c r="H10" s="26" t="str">
        <x:v>Exact-title searches, catalog listings and image metadata.</x:v>
      </x:c>
      <x:c r="I10" s="26" t="str">
        <x:v>OPEN</x:v>
      </x:c>
    </x:row>
    <x:row r="11" ht="86" customHeight="1">
      <x:c r="A11" s="26" t="str">
        <x:v>GTD-Q-007</x:v>
      </x:c>
      <x:c r="B11" s="26" t="str">
        <x:v>1996 catalog</x:v>
      </x:c>
      <x:c r="C11" s="26" t="str">
        <x:v>Is BMXMuseum forum 7531 the same object as the indexed 1996 catalog reference?</x:v>
      </x:c>
      <x:c r="D11" s="26" t="str">
        <x:v>Prevents merging a discussion and a reference upload.</x:v>
      </x:c>
      <x:c r="E11" s="26" t="str">
        <x:v>Public citations showing both canonical links.</x:v>
      </x:c>
      <x:c r="F11" s="26" t="str">
        <x:v>Forum ID and reference title known separately.</x:v>
      </x:c>
      <x:c r="G11" s="26" t="str">
        <x:v>P0</x:v>
      </x:c>
      <x:c r="H11" s="26" t="str">
        <x:v>Outside links, 23mag discussions and public social posts.</x:v>
      </x:c>
      <x:c r="I11" s="26" t="str">
        <x:v>OPEN</x:v>
      </x:c>
    </x:row>
    <x:row r="12" ht="86" customHeight="1">
      <x:c r="A12" s="26" t="str">
        <x:v>GTD-Q-008</x:v>
      </x:c>
      <x:c r="B12" s="26" t="str">
        <x:v>1999 catalog</x:v>
      </x:c>
      <x:c r="C12" s="26" t="str">
        <x:v>What is Part 1 and what is the exact structure of Part 2?</x:v>
      </x:c>
      <x:c r="D12" s="26" t="str">
        <x:v>Controls late-1990s model coverage and Air conflict.</x:v>
      </x:c>
      <x:c r="E12" s="26" t="str">
        <x:v>Physical catalog, exact BMXMuseum IDs and page range.</x:v>
      </x:c>
      <x:c r="F12" s="26" t="str">
        <x:v>Part 2 title only.</x:v>
      </x:c>
      <x:c r="G12" s="26" t="str">
        <x:v>P0</x:v>
      </x:c>
      <x:c r="H12" s="26" t="str">
        <x:v>Public catalog listings and exact-title backlinks.</x:v>
      </x:c>
      <x:c r="I12" s="26" t="str">
        <x:v>OPEN</x:v>
      </x:c>
    </x:row>
    <x:row r="13" ht="86" customHeight="1">
      <x:c r="A13" s="26" t="str">
        <x:v>GTD-Q-009</x:v>
      </x:c>
      <x:c r="B13" s="26" t="str">
        <x:v>Dyno Air 1999</x:v>
      </x:c>
      <x:c r="C13" s="26" t="str">
        <x:v>Why does the reconstruction document an Air absent from the original 1999 catalog?</x:v>
      </x:c>
      <x:c r="D13" s="26" t="str">
        <x:v>Could indicate supplement, regional catalog, carryover or reconstruction error.</x:v>
      </x:c>
      <x:c r="E13" s="26" t="str">
        <x:v>Original catalogs, dealer sheets and dated retail ads.</x:v>
      </x:c>
      <x:c r="F13" s="26" t="str">
        <x:v>Controlled conflict recorded.</x:v>
      </x:c>
      <x:c r="G13" s="26" t="str">
        <x:v>P1</x:v>
      </x:c>
      <x:c r="H13" s="26" t="str">
        <x:v>Public physical catalogs and period advertisements.</x:v>
      </x:c>
      <x:c r="I13" s="26" t="str">
        <x:v>OPEN</x:v>
      </x:c>
    </x:row>
    <x:row r="14" ht="86" customHeight="1">
      <x:c r="A14" s="26" t="str">
        <x:v>GTD-Q-010</x:v>
      </x:c>
      <x:c r="B14" s="26" t="str">
        <x:v>Dyno factory codes</x:v>
      </x:c>
      <x:c r="C14" s="26" t="str">
        <x:v>Which models/factories used DH, SY, SK and other codes by year?</x:v>
      </x:c>
      <x:c r="D14" s="26" t="str">
        <x:v>Prevents false serial dating.</x:v>
      </x:c>
      <x:c r="E14" s="26" t="str">
        <x:v>Original factory records, catalog serial pages and verified examples.</x:v>
      </x:c>
      <x:c r="F14" s="26" t="str">
        <x:v>Three codes are documented in reconstructed pages.</x:v>
      </x:c>
      <x:c r="G14" s="26" t="str">
        <x:v>P0</x:v>
      </x:c>
      <x:c r="H14" s="26" t="str">
        <x:v>Build model/factory/serial comparison table from public frames.</x:v>
      </x:c>
      <x:c r="I14" s="26" t="str">
        <x:v>OPEN</x:v>
      </x:c>
    </x:row>
    <x:row r="15" ht="86" customHeight="1">
      <x:c r="A15" s="26" t="str">
        <x:v>GTD-Q-011</x:v>
      </x:c>
      <x:c r="B15" s="26" t="str">
        <x:v>GT factory codes</x:v>
      </x:c>
      <x:c r="C15" s="26" t="str">
        <x:v>What is the full GT factory/serial map from 1980s USA through 2000s imports?</x:v>
      </x:c>
      <x:c r="D15" s="26" t="str">
        <x:v>GT has numerous conflicting online serial rules.</x:v>
      </x:c>
      <x:c r="E15" s="26" t="str">
        <x:v>Original catalog pages, factory records and verified frames.</x:v>
      </x:c>
      <x:c r="F15" s="26" t="str">
        <x:v>Only selected USA and YC rules are currently controlled.</x:v>
      </x:c>
      <x:c r="G15" s="26" t="str">
        <x:v>P0</x:v>
      </x:c>
      <x:c r="H15" s="26" t="str">
        <x:v>Catalog reconstruction plus public owner/serial evidence.</x:v>
      </x:c>
      <x:c r="I15" s="26" t="str">
        <x:v>OPEN</x:v>
      </x:c>
    </x:row>
    <x:row r="16" ht="86" customHeight="1">
      <x:c r="A16" s="26" t="str">
        <x:v>GTD-Q-012</x:v>
      </x:c>
      <x:c r="B16" s="26" t="str">
        <x:v>Design credits</x:v>
      </x:c>
      <x:c r="C16" s="26" t="str">
        <x:v>Which specific post-1985 GT/Dyno products were designed by Bob Morales, GT engineers or later teams?</x:v>
      </x:c>
      <x:c r="D16" s="26" t="str">
        <x:v>Prevents broad personal-credit claims.</x:v>
      </x:c>
      <x:c r="E16" s="26" t="str">
        <x:v>Patents, drawings, ads, interviews and catalogs.</x:v>
      </x:c>
      <x:c r="F16" s="26" t="str">
        <x:v>First Dyno frame/fork and many products are first-person confirmed, but not enumerated.</x:v>
      </x:c>
      <x:c r="G16" s="26" t="str">
        <x:v>P1</x:v>
      </x:c>
      <x:c r="H16" s="26" t="str">
        <x:v>Patent databases and first-person interviews.</x:v>
      </x:c>
      <x:c r="I16" s="26" t="str">
        <x:v>OPEN</x:v>
      </x:c>
    </x:row>
    <x:row r="17" ht="86" customHeight="1">
      <x:c r="A17" s="26" t="str">
        <x:v>GTD-Q-013</x:v>
      </x:c>
      <x:c r="B17" s="26" t="str">
        <x:v>Air Show program</x:v>
      </x:c>
      <x:c r="C17" s="26" t="str">
        <x:v>What were the GT Bicycle Air Show's dates, management, rider rosters, apparel and event schedule?</x:v>
      </x:c>
      <x:c r="D17" s="26" t="str">
        <x:v>Provides context for artifact 26.0020.</x:v>
      </x:c>
      <x:c r="E17" s="26" t="str">
        <x:v>Tour flyers, catalogs, photographs, payroll/issue records and interviews.</x:v>
      </x:c>
      <x:c r="F17" s="26" t="str">
        <x:v>1998 Dyno catalog confirms program context and selected riders.</x:v>
      </x:c>
      <x:c r="G17" s="26" t="str">
        <x:v>P0</x:v>
      </x:c>
      <x:c r="H17" s="26" t="str">
        <x:v>Period magazines, GT/Dyno catalogs, Todd Huffman records and public videos.</x:v>
      </x:c>
      <x:c r="I17" s="26" t="str">
        <x:v>OPEN</x:v>
      </x:c>
    </x:row>
    <x:row r="18" ht="86" customHeight="1">
      <x:c r="A18" s="26" t="str">
        <x:v>GTD-Q-014</x:v>
      </x:c>
      <x:c r="B18" s="26" t="str">
        <x:v>Air Show jacket</x:v>
      </x:c>
      <x:c r="C18" s="26" t="str">
        <x:v>Was 26.0020 issued to Todd Huffman, worn by him, staff apparel or later promotional clothing?</x:v>
      </x:c>
      <x:c r="D18" s="26" t="str">
        <x:v>Controls artifact wording and significance.</x:v>
      </x:c>
      <x:c r="E18" s="26" t="str">
        <x:v>Labels, interior, size, provenance documents and period photographs.</x:v>
      </x:c>
      <x:c r="F18" s="26" t="str">
        <x:v>Collection attribution only.</x:v>
      </x:c>
      <x:c r="G18" s="26" t="str">
        <x:v>P0</x:v>
      </x:c>
      <x:c r="H18" s="26" t="str">
        <x:v>Physical roadmap and personal records.</x:v>
      </x:c>
      <x:c r="I18" s="26" t="str">
        <x:v>OPEN</x:v>
      </x:c>
    </x:row>
    <x:row r="19" ht="86" customHeight="1">
      <x:c r="A19" s="26" t="str">
        <x:v>GTD-Q-015</x:v>
      </x:c>
      <x:c r="B19" s="26" t="str">
        <x:v>GT lanyard</x:v>
      </x:c>
      <x:c r="C19" s="26" t="str">
        <x:v>What event/date and role explain Harry Leary's GT lanyard?</x:v>
      </x:c>
      <x:c r="D19" s="26" t="str">
        <x:v>Could connect to a race, trade show, interview, employer or gift context.</x:v>
      </x:c>
      <x:c r="E19" s="26" t="str">
        <x:v>Front/back capture, badge attachment, provenance and event photographs.</x:v>
      </x:c>
      <x:c r="F19" s="26" t="str">
        <x:v>Brand/personal association only.</x:v>
      </x:c>
      <x:c r="G19" s="26" t="str">
        <x:v>P1</x:v>
      </x:c>
      <x:c r="H19" s="26" t="str">
        <x:v>Physical roadmap, Linda Leary/Greg Mathias oral history and event archives.</x:v>
      </x:c>
      <x:c r="I19" s="26" t="str">
        <x:v>OPEN</x:v>
      </x:c>
    </x:row>
    <x:row r="20" ht="86" customHeight="1">
      <x:c r="A20" s="26" t="str">
        <x:v>GTD-Q-016</x:v>
      </x:c>
      <x:c r="B20" s="26" t="str">
        <x:v>Felicia GT</x:v>
      </x:c>
      <x:c r="C20" s="26" t="str">
        <x:v>Can frame serial, plate reverse and race-day image comparison close exact-bike authentication?</x:v>
      </x:c>
      <x:c r="D20" s="26" t="str">
        <x:v>Would strengthen one of Lititz BMX's most important race artifacts.</x:v>
      </x:c>
      <x:c r="E20" s="26" t="str">
        <x:v>Existing physical evidence gates.</x:v>
      </x:c>
      <x:c r="F20" s="26" t="str">
        <x:v>Achievement is A-level; exact bike B−.</x:v>
      </x:c>
      <x:c r="G20" s="26" t="str">
        <x:v>P0</x:v>
      </x:c>
      <x:c r="H20" s="26" t="str">
        <x:v>Complete physical roadmap and official Birmingham imagery.</x:v>
      </x:c>
      <x:c r="I20" s="26" t="str">
        <x:v>OPEN</x:v>
      </x:c>
    </x:row>
    <x:row r="21" ht="86" customHeight="1">
      <x:c r="A21" s="26" t="str">
        <x:v>GTD-Q-017</x:v>
      </x:c>
      <x:c r="B21" s="26" t="str">
        <x:v>GT Show / Showtime</x:v>
      </x:c>
      <x:c r="C21" s="26" t="str">
        <x:v>What are the exact model-year and catalog distinctions among Show, Showtime and related signature frames?</x:v>
      </x:c>
      <x:c r="D21" s="26" t="str">
        <x:v>Prevents false merging with Air Show.</x:v>
      </x:c>
      <x:c r="E21" s="26" t="str">
        <x:v>1998/1999 catalogs, Jeremy McGrath ads and exact records 2803/48067.</x:v>
      </x:c>
      <x:c r="F21" s="26" t="str">
        <x:v>Distinct identities are established but chronology incomplete.</x:v>
      </x:c>
      <x:c r="G21" s="26" t="str">
        <x:v>P1</x:v>
      </x:c>
      <x:c r="H21" s="26" t="str">
        <x:v>Period catalog and advertisement recovery.</x:v>
      </x:c>
      <x:c r="I21" s="26" t="str">
        <x:v>OPEN</x:v>
      </x:c>
    </x:row>
    <x:row r="22" ht="86" customHeight="1">
      <x:c r="A22" s="26" t="str">
        <x:v>GTD-Q-018</x:v>
      </x:c>
      <x:c r="B22" s="26" t="str">
        <x:v>Submitted-bike originality</x:v>
      </x:c>
      <x:c r="C22" s="26" t="str">
        <x:v>Which exact public GT/Dyno records have serial/provenance evidence outside BMXMuseum?</x:v>
      </x:c>
      <x:c r="D22" s="26" t="str">
        <x:v>Improves comparison quality without special access.</x:v>
      </x:c>
      <x:c r="E22" s="26" t="str">
        <x:v>Owner posts, restoration logs, period photos and catalog match.</x:v>
      </x:c>
      <x:c r="F22" s="26" t="str">
        <x:v>Most exact IDs expose only title/context.</x:v>
      </x:c>
      <x:c r="G22" s="26" t="str">
        <x:v>P2</x:v>
      </x:c>
      <x:c r="H22" s="26" t="str">
        <x:v>External backlinks and public owner histories.</x:v>
      </x:c>
      <x:c r="I22" s="26" t="str">
        <x:v>OPEN</x:v>
      </x:c>
    </x:row>
    <x:row r="23" ht="86" customHeight="1">
      <x:c r="A23" s="26" t="str">
        <x:v>GTD-Q-019</x:v>
      </x:c>
      <x:c r="B23" s="26" t="str">
        <x:v>GT/Dyno price history</x:v>
      </x:c>
      <x:c r="C23" s="26" t="str">
        <x:v>Can manufacturer MSRP be separated from retailer/mail-order and catalog prices?</x:v>
      </x:c>
      <x:c r="D23" s="26" t="str">
        <x:v>Creates defensible historical price analysis.</x:v>
      </x:c>
      <x:c r="E23" s="26" t="str">
        <x:v>Price lists labeled MSRP/dealer/retail and complete catalog context.</x:v>
      </x:c>
      <x:c r="F23" s="26" t="str">
        <x:v>1987 values are retailer prices; 1992 basis unresolved.</x:v>
      </x:c>
      <x:c r="G23" s="26" t="str">
        <x:v>P1</x:v>
      </x:c>
      <x:c r="H23" s="26" t="str">
        <x:v>Dealer sheets, price lists and full catalogs.</x:v>
      </x:c>
      <x:c r="I23" s="26" t="str">
        <x:v>OPEN</x:v>
      </x:c>
    </x:row>
    <x:row r="24" ht="86" customHeight="1">
      <x:c r="A24" s="26" t="str">
        <x:v>GTD-Q-020</x:v>
      </x:c>
      <x:c r="B24" s="26" t="str">
        <x:v>Catalog markets</x:v>
      </x:c>
      <x:c r="C24" s="26" t="str">
        <x:v>Which catalog pages are US, UK, European or other market editions?</x:v>
      </x:c>
      <x:c r="D24" s="26" t="str">
        <x:v>Specifications, prices and colors may differ by market.</x:v>
      </x:c>
      <x:c r="E24" s="26" t="str">
        <x:v>Imprint, currency, distributor and edition statements.</x:v>
      </x:c>
      <x:c r="F24" s="26" t="str">
        <x:v>Many reconstructed pages do not expose market in summary.</x:v>
      </x:c>
      <x:c r="G24" s="26" t="str">
        <x:v>P1</x:v>
      </x:c>
      <x:c r="H24" s="26" t="str">
        <x:v>Full catalog imprint pages and physical listings.</x:v>
      </x:c>
      <x:c r="I24" s="26" t="str">
        <x:v>OPEN</x:v>
      </x:c>
    </x:row>
  </x:sheetData>
  <x:mergeCells>
    <x:mergeCell ref="A1:I1"/>
    <x:mergeCell ref="A2:I2"/>
  </x:mergeCells>
  <x:pageMargins left="0.7" right="0.7" top="0.75" bottom="0.75" header="0.3" footer="0.3"/>
  <x:tableParts count="1">
    <x:tablePart xmlns:r="http://schemas.openxmlformats.org/officeDocument/2006/relationships" r:id="R45216f9f81f14a4d"/>
  </x:tableParts>
</x:worksheet>
</file>

<file path=xl/worksheets/sheet117.xml><?xml version="1.0" encoding="utf-8"?>
<x:worksheet xmlns:x="http://schemas.openxmlformats.org/spreadsheetml/2006/main">
  <x:sheetFormatPr defaultRowHeight="15"/>
  <x:cols>
    <x:col min="1" max="1" width="31" hidden="0" customWidth="1"/>
    <x:col min="2" max="2" width="14" hidden="0" customWidth="1"/>
    <x:col min="4" max="4" width="28" hidden="0" customWidth="1"/>
    <x:col min="5" max="5" width="72" hidden="0" customWidth="1"/>
    <x:col min="8" max="8" width="30" hidden="0" customWidth="1"/>
    <x:col min="9" max="9" width="48" hidden="0" customWidth="1"/>
  </x:cols>
  <x:sheetData>
    <x:row r="1">
      <x:c r="A1" s="600" t="str">
        <x:v>BMXMuseum Public Knowledge Register v1.6 — GT/Dyno Catalog-Controlled Dossier</x:v>
      </x:c>
      <x:c r="B1" s="600"/>
      <x:c r="C1" s="600"/>
      <x:c r="D1" s="600"/>
      <x:c r="E1" s="600"/>
      <x:c r="F1" s="600"/>
      <x:c r="G1" s="600"/>
      <x:c r="H1" s="600"/>
      <x:c r="I1" s="600"/>
      <x:c r="J1" s="600"/>
      <x:c r="K1" s="600"/>
      <x:c r="L1" s="600"/>
      <x:c r="M1" s="600"/>
      <x:c r="N1" s="600"/>
    </x:row>
    <x:row r="2">
      <x:c r="A2" s="605" t="str">
        <x:v>Permission-free research only. The dossier separates GT engineering history, Dyno soft-goods origin, acquisition, model-year catalogs, factory serial rules, exact public BMXMuseum records and Lititz artifact authentication.</x:v>
      </x:c>
      <x:c r="B2" s="605"/>
      <x:c r="C2" s="605"/>
      <x:c r="D2" s="605"/>
      <x:c r="E2" s="605"/>
      <x:c r="F2" s="605"/>
      <x:c r="G2" s="605"/>
      <x:c r="H2" s="605"/>
      <x:c r="I2" s="605"/>
      <x:c r="J2" s="605"/>
      <x:c r="K2" s="605"/>
      <x:c r="L2" s="605"/>
      <x:c r="M2" s="605"/>
      <x:c r="N2" s="605"/>
    </x:row>
    <x:row r="4">
      <x:c r="A4" s="610" t="str">
        <x:v>Work Product</x:v>
      </x:c>
      <x:c r="B4" s="610" t="str">
        <x:v>Count</x:v>
      </x:c>
      <x:c r="D4" s="610" t="str">
        <x:v>Major Conclusion</x:v>
      </x:c>
      <x:c r="E4" s="610" t="str">
        <x:v>Determination</x:v>
      </x:c>
      <x:c r="H4" s="610" t="str">
        <x:v>Correction / Boundary</x:v>
      </x:c>
      <x:c r="I4" s="610" t="str">
        <x:v>Locked Rule</x:v>
      </x:c>
    </x:row>
    <x:row r="5" ht="48" customHeight="1">
      <x:c r="A5" s="26" t="str">
        <x:v>Chronology entries</x:v>
      </x:c>
      <x:c r="B5" s="26" t="n">
        <x:v>22</x:v>
      </x:c>
      <x:c r="D5" s="612" t="str">
        <x:v>GT origin</x:v>
      </x:c>
      <x:c r="E5" s="26" t="str">
        <x:v>First GT frame in 1972; formal company/partnership chronology belongs later and remains partly qualified.</x:v>
      </x:c>
      <x:c r="H5" s="614" t="str">
        <x:v>1982 Dyno</x:v>
      </x:c>
      <x:c r="I5" s="26" t="str">
        <x:v>Soft goods/accessories only.</x:v>
      </x:c>
    </x:row>
    <x:row r="6" ht="48" customHeight="1">
      <x:c r="A6" s="26" t="str">
        <x:v>GT model/family records</x:v>
      </x:c>
      <x:c r="B6" s="26" t="n">
        <x:v>16</x:v>
      </x:c>
      <x:c r="D6" s="612" t="str">
        <x:v>Dyno origin</x:v>
      </x:c>
      <x:c r="E6" s="26" t="str">
        <x:v>1982 apparel/accessories—not bicycles.</x:v>
      </x:c>
      <x:c r="H6" s="614" t="str">
        <x:v>1983 Performer</x:v>
      </x:c>
      <x:c r="I6" s="26" t="str">
        <x:v>GT model, not Dyno.</x:v>
      </x:c>
    </x:row>
    <x:row r="7" ht="48" customHeight="1">
      <x:c r="A7" s="26" t="str">
        <x:v>Dyno model/family records</x:v>
      </x:c>
      <x:c r="B7" s="26" t="n">
        <x:v>19</x:v>
      </x:c>
      <x:c r="D7" s="612" t="str">
        <x:v>Performer</x:v>
      </x:c>
      <x:c r="E7" s="26" t="str">
        <x:v>GT model designed by Bob Morales and Eddie Fiola in 1983 before GT bought Dyno.</x:v>
      </x:c>
      <x:c r="H7" s="614" t="str">
        <x:v>1985 acquisition</x:v>
      </x:c>
      <x:c r="I7" s="26" t="str">
        <x:v>Dyno bicycles begin after GT purchase.</x:v>
      </x:c>
    </x:row>
    <x:row r="8" ht="48" customHeight="1">
      <x:c r="A8" s="26" t="str">
        <x:v>Catalog objects</x:v>
      </x:c>
      <x:c r="B8" s="26" t="n">
        <x:v>16</x:v>
      </x:c>
      <x:c r="D8" s="612" t="str">
        <x:v>Dyno bicycle launch</x:v>
      </x:c>
      <x:c r="E8" s="26" t="str">
        <x:v>After GT's 1985 purchase; Morales designed the first Dyno frame/fork.</x:v>
      </x:c>
      <x:c r="H8" s="614" t="str">
        <x:v>Bob Morales credit</x:v>
      </x:c>
      <x:c r="I8" s="26" t="str">
        <x:v>Model-specific after 1986.</x:v>
      </x:c>
    </x:row>
    <x:row r="9" ht="48" customHeight="1">
      <x:c r="A9" s="26" t="str">
        <x:v>Serial/factory rules</x:v>
      </x:c>
      <x:c r="B9" s="26" t="n">
        <x:v>12</x:v>
      </x:c>
      <x:c r="D9" s="612" t="str">
        <x:v>Brand architecture</x:v>
      </x:c>
      <x:c r="E9" s="26" t="str">
        <x:v>GT and Dyno remained separate product brands under shared ownership.</x:v>
      </x:c>
      <x:c r="H9" s="614" t="str">
        <x:v>Catalog absence</x:v>
      </x:c>
      <x:c r="I9" s="26" t="str">
        <x:v>Gap, not proof of nonproduction.</x:v>
      </x:c>
    </x:row>
    <x:row r="10" ht="48" customHeight="1">
      <x:c r="A10" s="26" t="str">
        <x:v>People/team records</x:v>
      </x:c>
      <x:c r="B10" s="26" t="n">
        <x:v>13</x:v>
      </x:c>
      <x:c r="D10" s="612" t="str">
        <x:v>Model control</x:v>
      </x:c>
      <x:c r="E10" s="26" t="str">
        <x:v>Model name is insufficient; year, market, material, factory and catalog page are mandatory.</x:v>
      </x:c>
      <x:c r="H10" s="614" t="str">
        <x:v>Retail price</x:v>
      </x:c>
      <x:c r="I10" s="26" t="str">
        <x:v>Not MSRP unless labeled.</x:v>
      </x:c>
    </x:row>
    <x:row r="11" ht="48" customHeight="1">
      <x:c r="A11" s="26" t="str">
        <x:v>Period source objects</x:v>
      </x:c>
      <x:c r="B11" s="26" t="n">
        <x:v>11</x:v>
      </x:c>
      <x:c r="D11" s="612" t="str">
        <x:v>Serial control</x:v>
      </x:c>
      <x:c r="E11" s="26" t="str">
        <x:v>GT and Dyno used multiple factory codes and sequences; no universal decoder is accepted.</x:v>
      </x:c>
      <x:c r="H11" s="614" t="str">
        <x:v>Submitted BMXMuseum bike</x:v>
      </x:c>
      <x:c r="I11" s="26" t="str">
        <x:v>Comparison/source claim, not authentication.</x:v>
      </x:c>
    </x:row>
    <x:row r="12" ht="48" customHeight="1">
      <x:c r="A12" s="26" t="str">
        <x:v>BMXMuseum objects/targets</x:v>
      </x:c>
      <x:c r="B12" s="26" t="n">
        <x:v>28</x:v>
      </x:c>
      <x:c r="D12" s="612" t="str">
        <x:v>BMXMuseum recovery</x:v>
      </x:c>
      <x:c r="E12" s="26" t="str">
        <x:v>28 exact objects/endpoints/targets are organized, but completeness and originality are not claimed.</x:v>
      </x:c>
      <x:c r="H12" s="614" t="str">
        <x:v>Show / Showtime / Air Show</x:v>
      </x:c>
      <x:c r="I12" s="26" t="str">
        <x:v>Three separate entities.</x:v>
      </x:c>
    </x:row>
    <x:row r="13" ht="48" customHeight="1">
      <x:c r="A13" s="26" t="str">
        <x:v>Lititz crosswalks</x:v>
      </x:c>
      <x:c r="B13" s="26" t="n">
        <x:v>5</x:v>
      </x:c>
      <x:c r="D13" s="612" t="str">
        <x:v>Lititz significance</x:v>
      </x:c>
      <x:c r="E13" s="26" t="str">
        <x:v>Air Show jacket and GT lanyard now have dedicated physical evidence tasks; Felicia GT remains B− pending exact-bike evidence.</x:v>
      </x:c>
      <x:c r="H13" s="614" t="str">
        <x:v>Modern Dyno Pro Compe</x:v>
      </x:c>
      <x:c r="I13" s="26" t="str">
        <x:v>Heritage product, not an original-period bike.</x:v>
      </x:c>
    </x:row>
    <x:row r="14">
      <x:c r="A14" s="26" t="str">
        <x:v>Claim determinations</x:v>
      </x:c>
      <x:c r="B14" s="26" t="n">
        <x:v>20</x:v>
      </x:c>
    </x:row>
    <x:row r="15">
      <x:c r="A15" s="26" t="str">
        <x:v>Locked corrections</x:v>
      </x:c>
      <x:c r="B15" s="26" t="n">
        <x:v>15</x:v>
      </x:c>
    </x:row>
    <x:row r="16">
      <x:c r="A16" s="26" t="str">
        <x:v>Relationship edges</x:v>
      </x:c>
      <x:c r="B16" s="26" t="n">
        <x:v>21</x:v>
      </x:c>
    </x:row>
    <x:row r="17">
      <x:c r="A17" s="26" t="str">
        <x:v>Source records</x:v>
      </x:c>
      <x:c r="B17" s="26" t="n">
        <x:v>18</x:v>
      </x:c>
    </x:row>
    <x:row r="18">
      <x:c r="A18" s="26" t="str">
        <x:v>Open questions</x:v>
      </x:c>
      <x:c r="B18" s="26" t="n">
        <x:v>20</x:v>
      </x:c>
    </x:row>
    <x:row r="19">
      <x:c r="A19" s="26" t="str">
        <x:v>New physical-roadmap tasks</x:v>
      </x:c>
      <x:c r="B19" s="26" t="n">
        <x:v>8</x:v>
      </x:c>
    </x:row>
    <x:row r="23">
      <x:c r="A23" s="610" t="str">
        <x:v>Research Position</x:v>
      </x:c>
      <x:c r="B23" s="610"/>
      <x:c r="C23" s="610"/>
      <x:c r="D23" s="610"/>
      <x:c r="E23" s="610"/>
      <x:c r="F23" s="610"/>
      <x:c r="G23" s="610"/>
      <x:c r="H23" s="610"/>
      <x:c r="I23" s="610"/>
    </x:row>
    <x:row r="24" ht="75" customHeight="1">
      <x:c r="A24" s="605" t="str">
        <x:v>The GT/Dyno cluster is now usable as a catalog-controlled identification system rather than a collection of brand memories. It can distinguish corporate history, model-year specification, factory serial guidance, submitted BMXMuseum comparisons, official race achievements and Lititz artifact provenance. Remaining weaknesses are original-catalog edition recovery, complete factory-code mapping, individual submitted-bike originality and the physical evidence parked on the roadmap.</x:v>
      </x:c>
      <x:c r="B24" s="605"/>
      <x:c r="C24" s="605"/>
      <x:c r="D24" s="605"/>
      <x:c r="E24" s="605"/>
      <x:c r="F24" s="605"/>
      <x:c r="G24" s="605"/>
      <x:c r="H24" s="605"/>
      <x:c r="I24" s="605"/>
    </x:row>
    <x:row r="25" ht="75" customHeight="1">
      <x:c r="A25" s="605"/>
      <x:c r="B25" s="605"/>
      <x:c r="C25" s="605"/>
      <x:c r="D25" s="605"/>
      <x:c r="E25" s="605"/>
      <x:c r="F25" s="605"/>
      <x:c r="G25" s="605"/>
      <x:c r="H25" s="605"/>
      <x:c r="I25" s="605"/>
    </x:row>
    <x:row r="26" ht="75" customHeight="1">
      <x:c r="A26" s="605"/>
      <x:c r="B26" s="605"/>
      <x:c r="C26" s="605"/>
      <x:c r="D26" s="605"/>
      <x:c r="E26" s="605"/>
      <x:c r="F26" s="605"/>
      <x:c r="G26" s="605"/>
      <x:c r="H26" s="605"/>
      <x:c r="I26" s="605"/>
    </x:row>
    <x:row r="27" ht="75" customHeight="1">
      <x:c r="A27" s="605"/>
      <x:c r="B27" s="605"/>
      <x:c r="C27" s="605"/>
      <x:c r="D27" s="605"/>
      <x:c r="E27" s="605"/>
      <x:c r="F27" s="605"/>
      <x:c r="G27" s="605"/>
      <x:c r="H27" s="605"/>
      <x:c r="I27" s="605"/>
    </x:row>
    <x:row r="28" ht="75" customHeight="1">
      <x:c r="A28" s="605"/>
      <x:c r="B28" s="605"/>
      <x:c r="C28" s="605"/>
      <x:c r="D28" s="605"/>
      <x:c r="E28" s="605"/>
      <x:c r="F28" s="605"/>
      <x:c r="G28" s="605"/>
      <x:c r="H28" s="605"/>
      <x:c r="I28" s="605"/>
    </x:row>
  </x:sheetData>
  <x:mergeCells>
    <x:mergeCell ref="A1:N1"/>
    <x:mergeCell ref="A2:N2"/>
    <x:mergeCell ref="A23:I23"/>
    <x:mergeCell ref="A24:I28"/>
  </x:mergeCells>
  <x:pageMargins left="0.7" right="0.7" top="0.75" bottom="0.75" header="0.3" footer="0.3"/>
  <x:drawing xmlns:r="http://schemas.openxmlformats.org/officeDocument/2006/relationships" r:id="R44d9efc2512a4167"/>
</x:worksheet>
</file>

<file path=xl/worksheets/sheet118.xml><?xml version="1.0" encoding="utf-8"?>
<x:worksheet xmlns:x="http://schemas.openxmlformats.org/spreadsheetml/2006/main">
  <x:sheetFormatPr defaultRowHeight="15"/>
  <x:cols>
    <x:col min="1" max="1" width="20" hidden="0" customWidth="1"/>
    <x:col min="2" max="2" width="48" hidden="0" customWidth="1"/>
    <x:col min="3" max="3" width="52" hidden="0" customWidth="1"/>
    <x:col min="4" max="4" width="46" hidden="0" customWidth="1"/>
    <x:col min="5" max="5" width="46" hidden="0" customWidth="1"/>
    <x:col min="6" max="6" width="38" hidden="0" customWidth="1"/>
    <x:col min="7" max="7" width="38" hidden="0" customWidth="1"/>
    <x:col min="8" max="8" width="48" hidden="0" customWidth="1"/>
    <x:col min="9" max="9" width="44" hidden="0" customWidth="1"/>
    <x:col min="10" max="10" width="24" hidden="0" customWidth="1"/>
  </x:cols>
  <x:sheetData>
    <x:row r="1" ht="31" customHeight="1">
      <x:c r="A1" s="621" t="str">
        <x:v>v1.7 Brand and Source-Type Coverage Matrix</x:v>
      </x:c>
      <x:c r="B1" s="621"/>
      <x:c r="C1" s="621"/>
      <x:c r="D1" s="621"/>
      <x:c r="E1" s="621"/>
      <x:c r="F1" s="621"/>
      <x:c r="G1" s="621"/>
      <x:c r="H1" s="621"/>
      <x:c r="I1" s="621"/>
      <x:c r="J1" s="621"/>
    </x:row>
    <x:row r="2" ht="31" customHeight="1">
      <x:c r="A2" s="626" t="str">
        <x:v>Coverage strength reflects what can be inspected and cited without special permission—not brand importance or total surviving documentation.</x:v>
      </x:c>
      <x:c r="B2" s="626"/>
      <x:c r="C2" s="626"/>
      <x:c r="D2" s="626"/>
      <x:c r="E2" s="626"/>
      <x:c r="F2" s="626"/>
      <x:c r="G2" s="626"/>
      <x:c r="H2" s="626"/>
      <x:c r="I2" s="626"/>
      <x:c r="J2" s="626"/>
    </x:row>
    <x:row r="4">
      <x:c r="A4" s="631" t="str">
        <x:v>Brand</x:v>
      </x:c>
      <x:c r="B4" s="631" t="str">
        <x:v>Catalog Coverage</x:v>
      </x:c>
      <x:c r="C4" s="631" t="str">
        <x:v>Advertisement / Flyer Coverage</x:v>
      </x:c>
      <x:c r="D4" s="631" t="str">
        <x:v>Price Evidence</x:v>
      </x:c>
      <x:c r="E4" s="631" t="str">
        <x:v>Exact Public BMXMuseum Layer</x:v>
      </x:c>
      <x:c r="F4" s="631" t="str">
        <x:v>Lititz Relevance</x:v>
      </x:c>
      <x:c r="G4" s="631" t="str">
        <x:v>Strongest Current Source</x:v>
      </x:c>
      <x:c r="H4" s="631" t="str">
        <x:v>Main Limitation</x:v>
      </x:c>
      <x:c r="I4" s="631" t="str">
        <x:v>Next Priority</x:v>
      </x:c>
      <x:c r="J4" s="631" t="str">
        <x:v>Coverage Status</x:v>
      </x:c>
    </x:row>
    <x:row r="5" ht="90" customHeight="1">
      <x:c r="A5" s="26" t="str">
        <x:v>Haro</x:v>
      </x:c>
      <x:c r="B5" s="26" t="str">
        <x:v>Official Haro archive plus reconstructed 1984–2002 model-year coverage; current register has model counts and a verified 1990 catalog object.</x:v>
      </x:c>
      <x:c r="C5" s="26" t="str">
        <x:v>1991 Haro/Fusion mailer; 1987 catalog-order page; period Haro product and team advertising.</x:v>
      </x:c>
      <x:c r="D5" s="26" t="str">
        <x:v>Multiple 1986–1987 retailer and frameset observations; catalog-request fees separated.</x:v>
      </x:c>
      <x:c r="E5" s="26" t="str">
        <x:v>Exact bike 117304; multiple catalog titles publicly indexed but reference IDs unresolved.</x:v>
      </x:c>
      <x:c r="F5" s="26" t="str">
        <x:v>Radical Rick/Haro relationship and broader freestyle source context.</x:v>
      </x:c>
      <x:c r="G5" s="26" t="str">
        <x:v>Official Haro archive.</x:v>
      </x:c>
      <x:c r="H5" s="26" t="str">
        <x:v>Exact BMXMuseum catalog IDs and original-edition/page comparison remain open.</x:v>
      </x:c>
      <x:c r="I5" s="26" t="str">
        <x:v>Recover canonical IDs for 1989–1996 catalog references and compare official PDFs.</x:v>
      </x:c>
      <x:c r="J5" s="26" t="str">
        <x:v>STRONG / ID GAPS</x:v>
      </x:c>
    </x:row>
    <x:row r="6" ht="90" customHeight="1">
      <x:c r="A6" s="26" t="str">
        <x:v>Mongoose</x:v>
      </x:c>
      <x:c r="B6" s="26" t="str">
        <x:v>Vintage Mongoose exposes 16 catalogs from 1975 through 1993 plus a 1977 manual.</x:v>
      </x:c>
      <x:c r="C6" s="26" t="str">
        <x:v>Catalog, accessory and period mail-order material; public 1992 catalog/sticker-pack offer.</x:v>
      </x:c>
      <x:c r="D6" s="26" t="str">
        <x:v>1985 Repco distributor figures, 1983 Pro Class retailer price and $3 1992 catalog pack.</x:v>
      </x:c>
      <x:c r="E6" s="26" t="str">
        <x:v>Exact bikes 136118, 134583 and 135623; brand gallery/title leads remain incomplete.</x:v>
      </x:c>
      <x:c r="F6" s="26" t="str">
        <x:v>Strong artifact-identification and Ashtabula component cross-reference value.</x:v>
      </x:c>
      <x:c r="G6" s="26" t="str">
        <x:v>Vintage Mongoose catalog and history archive.</x:v>
      </x:c>
      <x:c r="H6" s="26" t="str">
        <x:v>Hosted scans are not public-domain; dealer-price archive is not fully indexed.</x:v>
      </x:c>
      <x:c r="I6" s="26" t="str">
        <x:v>Index all catalog editions, page counts, imprints and price-list objects without copying scans.</x:v>
      </x:c>
      <x:c r="J6" s="26" t="str">
        <x:v>STRONG</x:v>
      </x:c>
    </x:row>
    <x:row r="7" ht="90" customHeight="1">
      <x:c r="A7" s="26" t="str">
        <x:v>Redline</x:v>
      </x:c>
      <x:c r="B7" s="26" t="str">
        <x:v>Reconstructed catalog coverage for 1981, 1984, 1986 and 1991–2000; official/vintage history preserves early ads and products.</x:v>
      </x:c>
      <x:c r="C7" s="26" t="str">
        <x:v>First magazine-ad chronology, dealer brochure and freestyle/race product marketing.</x:v>
      </x:c>
      <x:c r="D7" s="26" t="str">
        <x:v>No new manufacturer price sheet recovered; retailer prices remain a future workstream.</x:v>
      </x:c>
      <x:c r="E7" s="26" t="str">
        <x:v>Exact modern bike 135833; historical BMXMuseum catalog/reference IDs unresolved.</x:v>
      </x:c>
      <x:c r="F7" s="26" t="str">
        <x:v>Brand, rider, early-ad and component history relevant across the archive.</x:v>
      </x:c>
      <x:c r="G7" s="26" t="str">
        <x:v>Redline Vintage history plus catalog reconstruction.</x:v>
      </x:c>
      <x:c r="H7" s="26" t="str">
        <x:v>Modern historical synthesis must remain separate from period source objects.</x:v>
      </x:c>
      <x:c r="I7" s="26" t="str">
        <x:v>Recover exact early ad issue/page and period dealer price sheets.</x:v>
      </x:c>
      <x:c r="J7" s="26" t="str">
        <x:v>MEDIUM-HIGH</x:v>
      </x:c>
    </x:row>
    <x:row r="8" ht="90" customHeight="1">
      <x:c r="A8" s="26" t="str">
        <x:v>Hutch</x:v>
      </x:c>
      <x:c r="B8" s="26" t="str">
        <x:v>Reconstructed 1984 and 1988 catalog model coverage; official history supplies 1979–1981 company/product context.</x:v>
      </x:c>
      <x:c r="C8" s="26" t="str">
        <x:v>Early mail-order history, 1981 team/product launch and later freestyle/catalog objects.</x:v>
      </x:c>
      <x:c r="D8" s="26" t="str">
        <x:v>Official history states 1981 Pro Racer $419.75 and LiL Hole Shot $439.75; period dealer prices also recovered.</x:v>
      </x:c>
      <x:c r="E8" s="26" t="str">
        <x:v>Exact public comparison 63255 exposed externally; no comprehensive exact-object list.</x:v>
      </x:c>
      <x:c r="F8" s="26" t="str">
        <x:v>Product-history benchmark and future component authentication value.</x:v>
      </x:c>
      <x:c r="G8" s="26" t="str">
        <x:v>Current official Hutch history.</x:v>
      </x:c>
      <x:c r="H8" s="26" t="str">
        <x:v>Current reissues and current prices must remain separate from original-period material.</x:v>
      </x:c>
      <x:c r="I8" s="26" t="str">
        <x:v>Recover 1981/1982 original catalog and manufacturer price sheets.</x:v>
      </x:c>
      <x:c r="J8" s="26" t="str">
        <x:v>MEDIUM-HIGH</x:v>
      </x:c>
    </x:row>
    <x:row r="9" ht="90" customHeight="1">
      <x:c r="A9" s="26" t="str">
        <x:v>Auburn</x:v>
      </x:c>
      <x:c r="B9" s="26" t="str">
        <x:v>1995 and 1996 catalog specifications preserved in Todd Huffman's archive; broader catalog reconstruction index exists.</x:v>
      </x:c>
      <x:c r="C9" s="26" t="str">
        <x:v>Advertisement sequence for April/December 1988, November 1989, October 1990, January 1991, 1993 and 1994; 1988 and 1994 tests.</x:v>
      </x:c>
      <x:c r="D9" s="26" t="str">
        <x:v>No reliable manufacturer price sheet recovered; community comment prices excluded from evidence totals.</x:v>
      </x:c>
      <x:c r="E9" s="26" t="str">
        <x:v>Exact BMXMuseum bikes 7968, 67331, 11076 and 36235 plus public gallery.</x:v>
      </x:c>
      <x:c r="F9" s="26" t="str">
        <x:v>Artifact 26.0085 Auburn jersey and Todd Huffman relationship.</x:v>
      </x:c>
      <x:c r="G9" s="26" t="str">
        <x:v>Todd Huffman's first-person Auburn archive.</x:v>
      </x:c>
      <x:c r="H9" s="26" t="str">
        <x:v>Many source images are camera captures; original magazine issue/page details remain incomplete.</x:v>
      </x:c>
      <x:c r="I9" s="26" t="str">
        <x:v>Build catalog/ad chronology and identify the jersey's team/year context.</x:v>
      </x:c>
      <x:c r="J9" s="26" t="str">
        <x:v>STRONG HISTORY / PHYSICAL GAP</x:v>
      </x:c>
    </x:row>
    <x:row r="10" ht="90" customHeight="1">
      <x:c r="A10" s="26" t="str">
        <x:v>ELF</x:v>
      </x:c>
      <x:c r="B10" s="26" t="str">
        <x:v>Brand catalog index exists but no public period catalog-year sequence was recovered; Lititz holds catalog/mailpiece 26.0006.</x:v>
      </x:c>
      <x:c r="C10" s="26" t="str">
        <x:v>Current first-party history documents 1991 Doublecross; period advertisements and dealer sheets remain open.</x:v>
      </x:c>
      <x:c r="D10" s="26" t="str">
        <x:v>Secondary 1997 complete-bike MSRP and current revival prices are recorded separately.</x:v>
      </x:c>
      <x:c r="E10" s="26" t="str">
        <x:v>Exact BMXMuseum bike 136181 and public brand gallery.</x:v>
      </x:c>
      <x:c r="F10" s="26" t="str">
        <x:v>Artifact 26.0006 is the key physical publication object.</x:v>
      </x:c>
      <x:c r="G10" s="26" t="str">
        <x:v>Official ELF history and Lititz physical catalog.</x:v>
      </x:c>
      <x:c r="H10" s="26" t="str">
        <x:v>The physical catalog's date, edition, page count and contents remain unknown.</x:v>
      </x:c>
      <x:c r="I10" s="26" t="str">
        <x:v>Complete the physical publication capture and recover period ads/catalogs.</x:v>
      </x:c>
      <x:c r="J10" s="26" t="str">
        <x:v>PHYSICAL OBJECT / PUBLIC GAP</x:v>
      </x:c>
    </x:row>
    <x:row r="11" ht="90" customHeight="1">
      <x:c r="A11" s="26" t="str">
        <x:v>SE Racing</x:v>
      </x:c>
      <x:c r="B11" s="26" t="str">
        <x:v>Catalog reconstruction exposes major gaps for 1985 and 1997; current official sources preserve brand/model heritage.</x:v>
      </x:c>
      <x:c r="C11" s="26" t="str">
        <x:v>Official PK Ripper/Perry Kramer relationship and period/public team/model sources.</x:v>
      </x:c>
      <x:c r="D11" s="26" t="str">
        <x:v>No controlled manufacturer price sheet added in this pass.</x:v>
      </x:c>
      <x:c r="E11" s="26" t="str">
        <x:v>Exact bikes 118961, 135922 and 135823; replica status preserved for 135823.</x:v>
      </x:c>
      <x:c r="F11" s="26" t="str">
        <x:v>Model-history and early-BMX context; no current Lititz artifact crosswalk in this register.</x:v>
      </x:c>
      <x:c r="G11" s="26" t="str">
        <x:v>Official SE/Perry Kramer material plus exact public records.</x:v>
      </x:c>
      <x:c r="H11" s="26" t="str">
        <x:v>Historical catalog coverage is unusually weak and must not be inferred from modern heritage pages.</x:v>
      </x:c>
      <x:c r="I11" s="26" t="str">
        <x:v>Recover 1978–1985 catalogs, ads and price lists.</x:v>
      </x:c>
      <x:c r="J11" s="26" t="str">
        <x:v>HIGH-VALUE GAP</x:v>
      </x:c>
    </x:row>
    <x:row r="12" ht="90" customHeight="1">
      <x:c r="A12" s="26" t="str">
        <x:v>Ashtabula</x:v>
      </x:c>
      <x:c r="B12" s="26" t="str">
        <x:v>Exact BMXMuseum reference 5027 plus Mongoose 1976–77 and 1979/80 catalog corroboration.</x:v>
      </x:c>
      <x:c r="C12" s="26" t="str">
        <x:v>Component-catalog rather than promotional-ad focus.</x:v>
      </x:c>
      <x:c r="D12" s="26" t="str">
        <x:v>No controlled price sheet recovered.</x:v>
      </x:c>
      <x:c r="E12" s="26" t="str">
        <x:v>Exact reference 5027.</x:v>
      </x:c>
      <x:c r="F12" s="26" t="str">
        <x:v>Component-identification source across many Lititz bicycles and parts.</x:v>
      </x:c>
      <x:c r="G12" s="26" t="str">
        <x:v>Exact reference backlink plus inspected Mongoose catalog pages.</x:v>
      </x:c>
      <x:c r="H12" s="26" t="str">
        <x:v>Date is approximate and page-level reference text is externally interpreted.</x:v>
      </x:c>
      <x:c r="I12" s="26" t="str">
        <x:v>Recover edition/date/page structure through a lawful public route.</x:v>
      </x:c>
      <x:c r="J12" s="26" t="str">
        <x:v>EXACT OBJECT / PARTIAL CONTENT</x:v>
      </x:c>
    </x:row>
  </x:sheetData>
  <x:mergeCells>
    <x:mergeCell ref="A1:J1"/>
    <x:mergeCell ref="A2:J2"/>
  </x:mergeCells>
  <x:dataValidations count="1">
    <x:dataValidation type="list" sqref="J5:J12">
      <x:formula1>"STRONG,STRONG / ID GAPS,MEDIUM-HIGH,STRONG HISTORY / PHYSICAL GAP,PHYSICAL OBJECT / PUBLIC GAP,HIGH-VALUE GAP,EXACT OBJECT / PARTIAL CONTENT"</x:formula1>
    </x:dataValidation>
  </x:dataValidations>
  <x:pageMargins left="0.7" right="0.7" top="0.75" bottom="0.75" header="0.3" footer="0.3"/>
  <x:tableParts count="1">
    <x:tablePart xmlns:r="http://schemas.openxmlformats.org/officeDocument/2006/relationships" r:id="R3b1a60433cd04d21"/>
  </x:tableParts>
</x:worksheet>
</file>

<file path=xl/worksheets/sheet119.xml><?xml version="1.0" encoding="utf-8"?>
<x:worksheet xmlns:x="http://schemas.openxmlformats.org/spreadsheetml/2006/main">
  <x:sheetFormatPr defaultRowHeight="15"/>
  <x:cols>
    <x:col min="1" max="1" width="15" hidden="0" customWidth="1"/>
    <x:col min="2" max="2" width="16" hidden="0" customWidth="1"/>
    <x:col min="3" max="3" width="40" hidden="0" customWidth="1"/>
    <x:col min="4" max="4" width="20" hidden="0" customWidth="1"/>
    <x:col min="5" max="5" width="30" hidden="0" customWidth="1"/>
    <x:col min="6" max="6" width="32" hidden="0" customWidth="1"/>
    <x:col min="7" max="7" width="38" hidden="0" customWidth="1"/>
    <x:col min="8" max="8" width="52" hidden="0" customWidth="1"/>
    <x:col min="9" max="9" width="50" hidden="0" customWidth="1"/>
    <x:col min="10" max="10" width="58" hidden="0" customWidth="1"/>
    <x:col min="11" max="11" width="58" hidden="0" customWidth="1"/>
    <x:col min="12" max="12" width="18" hidden="0" customWidth="1"/>
    <x:col min="13" max="13" width="24" hidden="0" customWidth="1"/>
  </x:cols>
  <x:sheetData>
    <x:row r="1" ht="31" customHeight="1">
      <x:c r="A1" s="621" t="str">
        <x:v>v1.7 Catalog, Manual and Product-Guide Register</x:v>
      </x:c>
      <x:c r="B1" s="621"/>
      <x:c r="C1" s="621"/>
      <x:c r="D1" s="621"/>
      <x:c r="E1" s="621"/>
      <x:c r="F1" s="621"/>
      <x:c r="G1" s="621"/>
      <x:c r="H1" s="621"/>
      <x:c r="I1" s="621"/>
      <x:c r="J1" s="621"/>
      <x:c r="K1" s="621"/>
      <x:c r="L1" s="621"/>
      <x:c r="M1" s="621"/>
    </x:row>
    <x:row r="2" ht="31" customHeight="1">
      <x:c r="A2" s="626" t="str">
        <x:v>Catalog-year coverage and model counts describe documentary coverage—not production totals, surviving populations or public-domain status.</x:v>
      </x:c>
      <x:c r="B2" s="626"/>
      <x:c r="C2" s="626"/>
      <x:c r="D2" s="626"/>
      <x:c r="E2" s="626"/>
      <x:c r="F2" s="626"/>
      <x:c r="G2" s="626"/>
      <x:c r="H2" s="626"/>
      <x:c r="I2" s="626"/>
      <x:c r="J2" s="626"/>
      <x:c r="K2" s="626"/>
      <x:c r="L2" s="626"/>
      <x:c r="M2" s="626"/>
    </x:row>
    <x:row r="4">
      <x:c r="A4" s="631" t="str">
        <x:v>Catalog ID</x:v>
      </x:c>
      <x:c r="B4" s="631" t="str">
        <x:v>Brand</x:v>
      </x:c>
      <x:c r="C4" s="631" t="str">
        <x:v>Catalog / Printed Object</x:v>
      </x:c>
      <x:c r="D4" s="631" t="str">
        <x:v>Year / Range</x:v>
      </x:c>
      <x:c r="E4" s="631" t="str">
        <x:v>Coverage / Model Count</x:v>
      </x:c>
      <x:c r="F4" s="631" t="str">
        <x:v>Source Role</x:v>
      </x:c>
      <x:c r="G4" s="631" t="str">
        <x:v>BMXMuseum Relationship</x:v>
      </x:c>
      <x:c r="H4" s="631" t="str">
        <x:v>What It Can Verify</x:v>
      </x:c>
      <x:c r="I4" s="631" t="str">
        <x:v>Critical Limitation</x:v>
      </x:c>
      <x:c r="J4" s="631" t="str">
        <x:v>Primary URL</x:v>
      </x:c>
      <x:c r="K4" s="631" t="str">
        <x:v>Secondary URL</x:v>
      </x:c>
      <x:c r="L4" s="631" t="str">
        <x:v>Rights Code</x:v>
      </x:c>
      <x:c r="M4" s="631" t="str">
        <x:v>Status</x:v>
      </x:c>
    </x:row>
    <x:row r="5" ht="88" customHeight="1">
      <x:c r="A5" s="26" t="str">
        <x:v>V17-CAT-001</x:v>
      </x:c>
      <x:c r="B5" s="26" t="str">
        <x:v>Haro</x:v>
      </x:c>
      <x:c r="C5" s="26" t="str">
        <x:v>Official Haro BMX archive</x:v>
      </x:c>
      <x:c r="D5" s="26" t="str">
        <x:v>1988–2011 PDF archive plus current/web years</x:v>
      </x:c>
      <x:c r="E5" s="26" t="str">
        <x:v>Official first-party catalog hub</x:v>
      </x:c>
      <x:c r="F5" s="26" t="str">
        <x:v>Official manufacturer archive</x:v>
      </x:c>
      <x:c r="G5" s="26" t="str">
        <x:v>Multiple public BMXMuseum catalog titles remain ID-unresolved</x:v>
      </x:c>
      <x:c r="H5" s="26" t="str">
        <x:v>Catalog existence, official year placement and manufacturer-origin files.</x:v>
      </x:c>
      <x:c r="I5" s="26" t="str">
        <x:v>Early years and exact BMXMuseum reference mapping require separate recovery.</x:v>
      </x:c>
      <x:c r="J5" s="26" t="str">
        <x:v>https://archive.harobikes.com/bmx</x:v>
      </x:c>
      <x:c r="K5" s="26" t="str"/>
      <x:c r="L5" s="26" t="str">
        <x:v>INDEX / CITE</x:v>
      </x:c>
      <x:c r="M5" s="26" t="str">
        <x:v>OFFICIAL HUB</x:v>
      </x:c>
    </x:row>
    <x:row r="6" ht="88" customHeight="1">
      <x:c r="A6" s="26" t="str">
        <x:v>V17-CAT-002</x:v>
      </x:c>
      <x:c r="B6" s="26" t="str">
        <x:v>Haro</x:v>
      </x:c>
      <x:c r="C6" s="26" t="str">
        <x:v>1984 Haro catalog reconstruction</x:v>
      </x:c>
      <x:c r="D6" s="26" t="str">
        <x:v>1984</x:v>
      </x:c>
      <x:c r="E6" s="26" t="str">
        <x:v>3 models</x:v>
      </x:c>
      <x:c r="F6" s="26" t="str">
        <x:v>Catalog reconstruction from original material</x:v>
      </x:c>
      <x:c r="G6" s="26" t="str">
        <x:v>Public BMXMuseum title not yet recovered in this pass</x:v>
      </x:c>
      <x:c r="H6" s="26" t="str">
        <x:v>Freestyler-era model structure and specifications.</x:v>
      </x:c>
      <x:c r="I6" s="26" t="str">
        <x:v>Original official file/edition should control final transcription.</x:v>
      </x:c>
      <x:c r="J6" s="26" t="str">
        <x:v>https://www.bmx-catalogue.com/haro/year.html</x:v>
      </x:c>
      <x:c r="K6" s="26" t="str">
        <x:v>https://archive.harobikes.com/bmx</x:v>
      </x:c>
      <x:c r="L6" s="26" t="str">
        <x:v>INDEX-ONLY</x:v>
      </x:c>
      <x:c r="M6" s="26" t="str">
        <x:v>STRUCTURE</x:v>
      </x:c>
    </x:row>
    <x:row r="7" ht="88" customHeight="1">
      <x:c r="A7" s="26" t="str">
        <x:v>V17-CAT-003</x:v>
      </x:c>
      <x:c r="B7" s="26" t="str">
        <x:v>Haro</x:v>
      </x:c>
      <x:c r="C7" s="26" t="str">
        <x:v>1985 Haro catalog reconstruction</x:v>
      </x:c>
      <x:c r="D7" s="26" t="str">
        <x:v>1985</x:v>
      </x:c>
      <x:c r="E7" s="26" t="str">
        <x:v>3 models</x:v>
      </x:c>
      <x:c r="F7" s="26" t="str">
        <x:v>Catalog reconstruction</x:v>
      </x:c>
      <x:c r="G7" s="26" t="str">
        <x:v>Public title indexed elsewhere; exact ID unresolved</x:v>
      </x:c>
      <x:c r="H7" s="26" t="str">
        <x:v>Model-year lineup and specifications.</x:v>
      </x:c>
      <x:c r="I7" s="26" t="str">
        <x:v>Verify against official/period scan.</x:v>
      </x:c>
      <x:c r="J7" s="26" t="str">
        <x:v>https://www.bmx-catalogue.com/haro/year.html</x:v>
      </x:c>
      <x:c r="K7" s="26" t="str">
        <x:v>https://archive.harobikes.com/bmx</x:v>
      </x:c>
      <x:c r="L7" s="26" t="str">
        <x:v>INDEX-ONLY</x:v>
      </x:c>
      <x:c r="M7" s="26" t="str">
        <x:v>STRUCTURE</x:v>
      </x:c>
    </x:row>
    <x:row r="8" ht="88" customHeight="1">
      <x:c r="A8" s="26" t="str">
        <x:v>V17-CAT-004</x:v>
      </x:c>
      <x:c r="B8" s="26" t="str">
        <x:v>Haro</x:v>
      </x:c>
      <x:c r="C8" s="26" t="str">
        <x:v>1986 Haro catalog reconstruction</x:v>
      </x:c>
      <x:c r="D8" s="26" t="str">
        <x:v>1986</x:v>
      </x:c>
      <x:c r="E8" s="26" t="str">
        <x:v>6 models</x:v>
      </x:c>
      <x:c r="F8" s="26" t="str">
        <x:v>Catalog reconstruction</x:v>
      </x:c>
      <x:c r="G8" s="26" t="str">
        <x:v>Public title lead includes 1986 USA Products Guide; ID unresolved</x:v>
      </x:c>
      <x:c r="H8" s="26" t="str">
        <x:v>Race/freestyle model-year structure.</x:v>
      </x:c>
      <x:c r="I8" s="26" t="str">
        <x:v>Catalog title and products-guide identity may be separate objects.</x:v>
      </x:c>
      <x:c r="J8" s="26" t="str">
        <x:v>https://www.bmx-catalogue.com/haro/year.html</x:v>
      </x:c>
      <x:c r="K8" s="26" t="str">
        <x:v>https://archive.harobikes.com/bmx</x:v>
      </x:c>
      <x:c r="L8" s="26" t="str">
        <x:v>INDEX-ONLY</x:v>
      </x:c>
      <x:c r="M8" s="26" t="str">
        <x:v>STRUCTURE / TITLE GAP</x:v>
      </x:c>
    </x:row>
    <x:row r="9" ht="88" customHeight="1">
      <x:c r="A9" s="26" t="str">
        <x:v>V17-CAT-005</x:v>
      </x:c>
      <x:c r="B9" s="26" t="str">
        <x:v>Haro</x:v>
      </x:c>
      <x:c r="C9" s="26" t="str">
        <x:v>1987 Haro catalog reconstruction</x:v>
      </x:c>
      <x:c r="D9" s="26" t="str">
        <x:v>1987</x:v>
      </x:c>
      <x:c r="E9" s="26" t="str">
        <x:v>9 models</x:v>
      </x:c>
      <x:c r="F9" s="26" t="str">
        <x:v>Catalog reconstruction</x:v>
      </x:c>
      <x:c r="G9" s="26" t="str">
        <x:v>Catalog-reference title publicly indexed; exact ID unresolved</x:v>
      </x:c>
      <x:c r="H9" s="26" t="str">
        <x:v>Model-year lineup, parts and serial guidance.</x:v>
      </x:c>
      <x:c r="I9" s="26" t="str">
        <x:v>Reconstruction requires original-page comparison.</x:v>
      </x:c>
      <x:c r="J9" s="26" t="str">
        <x:v>https://www.bmx-catalogue.com/haro/year.html</x:v>
      </x:c>
      <x:c r="K9" s="26" t="str">
        <x:v>https://archive.harobikes.com/bmx</x:v>
      </x:c>
      <x:c r="L9" s="26" t="str">
        <x:v>INDEX-ONLY</x:v>
      </x:c>
      <x:c r="M9" s="26" t="str">
        <x:v>STRONG STRUCTURE</x:v>
      </x:c>
    </x:row>
    <x:row r="10" ht="88" customHeight="1">
      <x:c r="A10" s="26" t="str">
        <x:v>V17-CAT-006</x:v>
      </x:c>
      <x:c r="B10" s="26" t="str">
        <x:v>Haro</x:v>
      </x:c>
      <x:c r="C10" s="26" t="str">
        <x:v>1988 Haro catalog</x:v>
      </x:c>
      <x:c r="D10" s="26" t="str">
        <x:v>1988</x:v>
      </x:c>
      <x:c r="E10" s="26" t="str">
        <x:v>11 models</x:v>
      </x:c>
      <x:c r="F10" s="26" t="str">
        <x:v>Official archive + reconstruction</x:v>
      </x:c>
      <x:c r="G10" s="26" t="str">
        <x:v>Reference ID unresolved</x:v>
      </x:c>
      <x:c r="H10" s="26" t="str">
        <x:v>First official-PDF-era catalog in current Haro archive sequence.</x:v>
      </x:c>
      <x:c r="I10" s="26" t="str">
        <x:v>Edition/page structure not audited here.</x:v>
      </x:c>
      <x:c r="J10" s="26" t="str">
        <x:v>https://archive.harobikes.com/bmx</x:v>
      </x:c>
      <x:c r="K10" s="26" t="str">
        <x:v>https://www.bmx-catalogue.com/haro/year.html</x:v>
      </x:c>
      <x:c r="L10" s="26" t="str">
        <x:v>INDEX / CITE</x:v>
      </x:c>
      <x:c r="M10" s="26" t="str">
        <x:v>OFFICIAL EXISTENCE</x:v>
      </x:c>
    </x:row>
    <x:row r="11" ht="88" customHeight="1">
      <x:c r="A11" s="26" t="str">
        <x:v>V17-CAT-007</x:v>
      </x:c>
      <x:c r="B11" s="26" t="str">
        <x:v>Haro</x:v>
      </x:c>
      <x:c r="C11" s="26" t="str">
        <x:v>1989 Haro catalog</x:v>
      </x:c>
      <x:c r="D11" s="26" t="str">
        <x:v>1989</x:v>
      </x:c>
      <x:c r="E11" s="26" t="str">
        <x:v>10 models</x:v>
      </x:c>
      <x:c r="F11" s="26" t="str">
        <x:v>Official archive + reconstruction</x:v>
      </x:c>
      <x:c r="G11" s="26" t="str">
        <x:v>Public BMXMuseum title repeatedly indexed; exact ID unresolved</x:v>
      </x:c>
      <x:c r="H11" s="26" t="str">
        <x:v>Freestyle and Group 1 race lineup.</x:v>
      </x:c>
      <x:c r="I11" s="26" t="str">
        <x:v>Title recovery does not establish page count or edition.</x:v>
      </x:c>
      <x:c r="J11" s="26" t="str">
        <x:v>https://archive.harobikes.com/bmx</x:v>
      </x:c>
      <x:c r="K11" s="26" t="str">
        <x:v>https://www.bmx-catalogue.com/haro/old-school/1989/model.html</x:v>
      </x:c>
      <x:c r="L11" s="26" t="str">
        <x:v>INDEX / CITE</x:v>
      </x:c>
      <x:c r="M11" s="26" t="str">
        <x:v>OFFICIAL EXISTENCE</x:v>
      </x:c>
    </x:row>
    <x:row r="12" ht="88" customHeight="1">
      <x:c r="A12" s="26" t="str">
        <x:v>V17-CAT-008</x:v>
      </x:c>
      <x:c r="B12" s="26" t="str">
        <x:v>Haro</x:v>
      </x:c>
      <x:c r="C12" s="26" t="str">
        <x:v>1990 Haro BMX Catalog</x:v>
      </x:c>
      <x:c r="D12" s="26" t="str">
        <x:v>1990</x:v>
      </x:c>
      <x:c r="E12" s="26" t="str">
        <x:v>6 models in reconstruction</x:v>
      </x:c>
      <x:c r="F12" s="26" t="str">
        <x:v>Official archive + existing register object</x:v>
      </x:c>
      <x:c r="G12" s="26" t="str">
        <x:v>Public BMXMuseum catalog title; exact ID unresolved</x:v>
      </x:c>
      <x:c r="H12" s="26" t="str">
        <x:v>Official year placement and model lineup.</x:v>
      </x:c>
      <x:c r="I12" s="26" t="str">
        <x:v>Need canonical BMXMuseum ID and file/page comparison.</x:v>
      </x:c>
      <x:c r="J12" s="26" t="str">
        <x:v>https://archive.harobikes.com/bmx</x:v>
      </x:c>
      <x:c r="K12" s="26" t="str">
        <x:v>https://www.bmx-catalogue.com/haro/mid-school/1990/model.html</x:v>
      </x:c>
      <x:c r="L12" s="26" t="str">
        <x:v>INDEX / CITE</x:v>
      </x:c>
      <x:c r="M12" s="26" t="str">
        <x:v>VERIFIED EXISTENCE</x:v>
      </x:c>
    </x:row>
    <x:row r="13" ht="88" customHeight="1">
      <x:c r="A13" s="26" t="str">
        <x:v>V17-CAT-009</x:v>
      </x:c>
      <x:c r="B13" s="26" t="str">
        <x:v>Haro</x:v>
      </x:c>
      <x:c r="C13" s="26" t="str">
        <x:v>1991 Haro catalog</x:v>
      </x:c>
      <x:c r="D13" s="26" t="str">
        <x:v>1991</x:v>
      </x:c>
      <x:c r="E13" s="26" t="str">
        <x:v>9 models</x:v>
      </x:c>
      <x:c r="F13" s="26" t="str">
        <x:v>Official archive + reconstruction</x:v>
      </x:c>
      <x:c r="G13" s="26" t="str">
        <x:v>Public BMXMuseum title indexed; exact ID unresolved</x:v>
      </x:c>
      <x:c r="H13" s="26" t="str">
        <x:v>Freestyle and three-model Group 1 range.</x:v>
      </x:c>
      <x:c r="I13" s="26" t="str">
        <x:v>Market edition and mailer-distributed copy relationship open.</x:v>
      </x:c>
      <x:c r="J13" s="26" t="str">
        <x:v>https://archive.harobikes.com/bmx</x:v>
      </x:c>
      <x:c r="K13" s="26" t="str">
        <x:v>https://www.bmx-catalogue.com/haro/mid-school/1991/model.html</x:v>
      </x:c>
      <x:c r="L13" s="26" t="str">
        <x:v>INDEX / CITE</x:v>
      </x:c>
      <x:c r="M13" s="26" t="str">
        <x:v>VERIFIED EXISTENCE</x:v>
      </x:c>
    </x:row>
    <x:row r="14" ht="88" customHeight="1">
      <x:c r="A14" s="26" t="str">
        <x:v>V17-CAT-010</x:v>
      </x:c>
      <x:c r="B14" s="26" t="str">
        <x:v>Haro</x:v>
      </x:c>
      <x:c r="C14" s="26" t="str">
        <x:v>1996 Haro catalog</x:v>
      </x:c>
      <x:c r="D14" s="26" t="str">
        <x:v>1996</x:v>
      </x:c>
      <x:c r="E14" s="26" t="str">
        <x:v>16 models</x:v>
      </x:c>
      <x:c r="F14" s="26" t="str">
        <x:v>Official archive + reconstruction</x:v>
      </x:c>
      <x:c r="G14" s="26" t="str">
        <x:v>Public BMXMuseum title indexed; exact ID unresolved</x:v>
      </x:c>
      <x:c r="H14" s="26" t="str">
        <x:v>Large mid-school lineup and serial/model comparison.</x:v>
      </x:c>
      <x:c r="I14" s="26" t="str">
        <x:v>Exact BMXMuseum reference/page structure unresolved.</x:v>
      </x:c>
      <x:c r="J14" s="26" t="str">
        <x:v>https://archive.harobikes.com/bmx</x:v>
      </x:c>
      <x:c r="K14" s="26" t="str">
        <x:v>https://www.bmx-catalogue.com/haro/year.html</x:v>
      </x:c>
      <x:c r="L14" s="26" t="str">
        <x:v>INDEX / CITE</x:v>
      </x:c>
      <x:c r="M14" s="26" t="str">
        <x:v>VERIFIED EXISTENCE</x:v>
      </x:c>
    </x:row>
    <x:row r="15" ht="88" customHeight="1">
      <x:c r="A15" s="26" t="str">
        <x:v>V17-CAT-011</x:v>
      </x:c>
      <x:c r="B15" s="26" t="str">
        <x:v>Haro</x:v>
      </x:c>
      <x:c r="C15" s="26" t="str">
        <x:v>1999 Haro catalog</x:v>
      </x:c>
      <x:c r="D15" s="26" t="str">
        <x:v>1999</x:v>
      </x:c>
      <x:c r="E15" s="26" t="str">
        <x:v>24 models</x:v>
      </x:c>
      <x:c r="F15" s="26" t="str">
        <x:v>Official archive + reconstruction</x:v>
      </x:c>
      <x:c r="G15" s="26" t="str">
        <x:v>Exact bike 117304 can be compared to this year</x:v>
      </x:c>
      <x:c r="H15" s="26" t="str">
        <x:v>Model-level context for submitted 1999 Haro Master.</x:v>
      </x:c>
      <x:c r="I15" s="26" t="str">
        <x:v>Catalog comparison does not authenticate submitted originality.</x:v>
      </x:c>
      <x:c r="J15" s="26" t="str">
        <x:v>https://archive.harobikes.com/bmx</x:v>
      </x:c>
      <x:c r="K15" s="26" t="str">
        <x:v>https://www.bmx-catalogue.com/haro/year.html</x:v>
      </x:c>
      <x:c r="L15" s="26" t="str">
        <x:v>INDEX / CITE</x:v>
      </x:c>
      <x:c r="M15" s="26" t="str">
        <x:v>VERIFIED EXISTENCE</x:v>
      </x:c>
    </x:row>
    <x:row r="16" ht="88" customHeight="1">
      <x:c r="A16" s="26" t="str">
        <x:v>V17-CAT-012</x:v>
      </x:c>
      <x:c r="B16" s="26" t="str">
        <x:v>Mongoose</x:v>
      </x:c>
      <x:c r="C16" s="26" t="str">
        <x:v>Vintage Mongoose printed-media hub</x:v>
      </x:c>
      <x:c r="D16" s="26" t="str">
        <x:v>1975–1993 plus 1977 manual</x:v>
      </x:c>
      <x:c r="E16" s="26" t="str">
        <x:v>16 catalog editions + 1 manual</x:v>
      </x:c>
      <x:c r="F16" s="26" t="str">
        <x:v>Specialist archive hosting original scans</x:v>
      </x:c>
      <x:c r="G16" s="26" t="str">
        <x:v>BMXMuseum ecosystem cited by the archive; exact reference mapping incomplete</x:v>
      </x:c>
      <x:c r="H16" s="26" t="str">
        <x:v>Edition sequence, brochures, manuals and model/part research.</x:v>
      </x:c>
      <x:c r="I16" s="26" t="str">
        <x:v>Hosted scans remain copyrighted and may have gaps or alternate editions.</x:v>
      </x:c>
      <x:c r="J16" s="26" t="str">
        <x:v>https://www.vintagemongoose.com/info/catalogs.php</x:v>
      </x:c>
      <x:c r="K16" s="26" t="str">
        <x:v>https://www.mongoose.com/pages/mongoose-legacy</x:v>
      </x:c>
      <x:c r="L16" s="26" t="str">
        <x:v>INDEX-ONLY</x:v>
      </x:c>
      <x:c r="M16" s="26" t="str">
        <x:v>STRONG HUB</x:v>
      </x:c>
    </x:row>
    <x:row r="17" ht="88" customHeight="1">
      <x:c r="A17" s="26" t="str">
        <x:v>V17-CAT-013</x:v>
      </x:c>
      <x:c r="B17" s="26" t="str">
        <x:v>Mongoose</x:v>
      </x:c>
      <x:c r="C17" s="26" t="str">
        <x:v>1975 Mongoose catalog</x:v>
      </x:c>
      <x:c r="D17" s="26" t="str">
        <x:v>1975</x:v>
      </x:c>
      <x:c r="E17" s="26" t="str">
        <x:v>Single-year edition</x:v>
      </x:c>
      <x:c r="F17" s="26" t="str">
        <x:v>Period catalog scan</x:v>
      </x:c>
      <x:c r="G17" s="26" t="str">
        <x:v>No exact BMXMuseum object recovered</x:v>
      </x:c>
      <x:c r="H17" s="26" t="str">
        <x:v>First printed product era after Motomag origin.</x:v>
      </x:c>
      <x:c r="I17" s="26" t="str">
        <x:v>Page count/imprint not recorded in this release.</x:v>
      </x:c>
      <x:c r="J17" s="26" t="str">
        <x:v>https://www.vintagemongoose.com/info/catalogs.php</x:v>
      </x:c>
      <x:c r="K17" s="26" t="str"/>
      <x:c r="L17" s="26" t="str">
        <x:v>INDEX-ONLY</x:v>
      </x:c>
      <x:c r="M17" s="26" t="str">
        <x:v>INDEXED</x:v>
      </x:c>
    </x:row>
    <x:row r="18" ht="88" customHeight="1">
      <x:c r="A18" s="26" t="str">
        <x:v>V17-CAT-014</x:v>
      </x:c>
      <x:c r="B18" s="26" t="str">
        <x:v>Mongoose</x:v>
      </x:c>
      <x:c r="C18" s="26" t="str">
        <x:v>1976–77 Bicycle and Components Catalog</x:v>
      </x:c>
      <x:c r="D18" s="26" t="str">
        <x:v>1976–77</x:v>
      </x:c>
      <x:c r="E18" s="26" t="str">
        <x:v>Combined edition</x:v>
      </x:c>
      <x:c r="F18" s="26" t="str">
        <x:v>Period catalog PDF</x:v>
      </x:c>
      <x:c r="G18" s="26" t="str">
        <x:v>No exact BMXMuseum object</x:v>
      </x:c>
      <x:c r="H18" s="26" t="str">
        <x:v>Early bicycles, accessories and Ashtabula/Cecor listing.</x:v>
      </x:c>
      <x:c r="I18" s="26" t="str">
        <x:v>Do not republish scan; OEM relationships remain separate.</x:v>
      </x:c>
      <x:c r="J18" s="26" t="str">
        <x:v>https://www.vintagemongoose.com/pdfs/mongoose_cat76-77.pdf</x:v>
      </x:c>
      <x:c r="K18" s="26" t="str">
        <x:v>https://www.vintagemongoose.com/info/catalogs.php</x:v>
      </x:c>
      <x:c r="L18" s="26" t="str">
        <x:v>INDEX-ONLY</x:v>
      </x:c>
      <x:c r="M18" s="26" t="str">
        <x:v>PAGE-INSPECTED</x:v>
      </x:c>
    </x:row>
    <x:row r="19" ht="88" customHeight="1">
      <x:c r="A19" s="26" t="str">
        <x:v>V17-CAT-015</x:v>
      </x:c>
      <x:c r="B19" s="26" t="str">
        <x:v>Mongoose</x:v>
      </x:c>
      <x:c r="C19" s="26" t="str">
        <x:v>1979/80 Bicycle and Components Catalog</x:v>
      </x:c>
      <x:c r="D19" s="26" t="str">
        <x:v>1979–80</x:v>
      </x:c>
      <x:c r="E19" s="26" t="str">
        <x:v>Combined edition</x:v>
      </x:c>
      <x:c r="F19" s="26" t="str">
        <x:v>Period catalog PDF</x:v>
      </x:c>
      <x:c r="G19" s="26" t="str">
        <x:v>No exact BMXMuseum object</x:v>
      </x:c>
      <x:c r="H19" s="26" t="str">
        <x:v>Bike lineup, accessories and Ashtabula crank offerings.</x:v>
      </x:c>
      <x:c r="I19" s="26" t="str">
        <x:v>Catalog year range is printed; item-level claims require page citations.</x:v>
      </x:c>
      <x:c r="J19" s="26" t="str">
        <x:v>https://www.vintagemongoose.com/pdfs/mongoose_cat79-80.pdf</x:v>
      </x:c>
      <x:c r="K19" s="26" t="str">
        <x:v>https://www.vintagemongoose.com/info/catalogs.php</x:v>
      </x:c>
      <x:c r="L19" s="26" t="str">
        <x:v>INDEX-ONLY</x:v>
      </x:c>
      <x:c r="M19" s="26" t="str">
        <x:v>PAGE-INSPECTED</x:v>
      </x:c>
    </x:row>
    <x:row r="20" ht="88" customHeight="1">
      <x:c r="A20" s="26" t="str">
        <x:v>V17-CAT-016</x:v>
      </x:c>
      <x:c r="B20" s="26" t="str">
        <x:v>Mongoose</x:v>
      </x:c>
      <x:c r="C20" s="26" t="str">
        <x:v>1981 Mongoose catalog</x:v>
      </x:c>
      <x:c r="D20" s="26" t="str">
        <x:v>1981</x:v>
      </x:c>
      <x:c r="E20" s="26" t="str">
        <x:v>Single-year edition</x:v>
      </x:c>
      <x:c r="F20" s="26" t="str">
        <x:v>Period catalog scan</x:v>
      </x:c>
      <x:c r="G20" s="26" t="str">
        <x:v>Exact submitted bikes can be compared by year</x:v>
      </x:c>
      <x:c r="H20" s="26" t="str">
        <x:v>Model-year and component structure.</x:v>
      </x:c>
      <x:c r="I20" s="26" t="str">
        <x:v>Page count and market edition not yet entered.</x:v>
      </x:c>
      <x:c r="J20" s="26" t="str">
        <x:v>https://www.vintagemongoose.com/info/catalogs.php</x:v>
      </x:c>
      <x:c r="K20" s="26" t="str"/>
      <x:c r="L20" s="26" t="str">
        <x:v>INDEX-ONLY</x:v>
      </x:c>
      <x:c r="M20" s="26" t="str">
        <x:v>INDEXED</x:v>
      </x:c>
    </x:row>
    <x:row r="21" ht="88" customHeight="1">
      <x:c r="A21" s="26" t="str">
        <x:v>V17-CAT-017</x:v>
      </x:c>
      <x:c r="B21" s="26" t="str">
        <x:v>Mongoose</x:v>
      </x:c>
      <x:c r="C21" s="26" t="str">
        <x:v>1982–83 Mongoose catalog</x:v>
      </x:c>
      <x:c r="D21" s="26" t="str">
        <x:v>1982–83</x:v>
      </x:c>
      <x:c r="E21" s="26" t="str">
        <x:v>Combined edition</x:v>
      </x:c>
      <x:c r="F21" s="26" t="str">
        <x:v>Period catalog scan</x:v>
      </x:c>
      <x:c r="G21" s="26" t="str">
        <x:v>Exact Minigoose 136118 is submitted as 1983</x:v>
      </x:c>
      <x:c r="H21" s="26" t="str">
        <x:v>Model-year context for 1983 Mongoose products.</x:v>
      </x:c>
      <x:c r="I21" s="26" t="str">
        <x:v>Catalog does not establish originality of record 136118.</x:v>
      </x:c>
      <x:c r="J21" s="26" t="str">
        <x:v>https://www.vintagemongoose.com/info/catalogs.php</x:v>
      </x:c>
      <x:c r="K21" s="26" t="str">
        <x:v>https://www.bmxmuseum.com/bikes/mongoose/136118</x:v>
      </x:c>
      <x:c r="L21" s="26" t="str">
        <x:v>INDEX-ONLY</x:v>
      </x:c>
      <x:c r="M21" s="26" t="str">
        <x:v>INDEXED</x:v>
      </x:c>
    </x:row>
    <x:row r="22" ht="88" customHeight="1">
      <x:c r="A22" s="26" t="str">
        <x:v>V17-CAT-018</x:v>
      </x:c>
      <x:c r="B22" s="26" t="str">
        <x:v>Mongoose</x:v>
      </x:c>
      <x:c r="C22" s="26" t="str">
        <x:v>1984 Mongoose catalog</x:v>
      </x:c>
      <x:c r="D22" s="26" t="str">
        <x:v>1984</x:v>
      </x:c>
      <x:c r="E22" s="26" t="str">
        <x:v>Single-year edition</x:v>
      </x:c>
      <x:c r="F22" s="26" t="str">
        <x:v>Period catalog scan</x:v>
      </x:c>
      <x:c r="G22" s="26" t="str">
        <x:v>Supergoose heritage comparison</x:v>
      </x:c>
      <x:c r="H22" s="26" t="str">
        <x:v>1984 model specifications and loop-tail context.</x:v>
      </x:c>
      <x:c r="I22" s="26" t="str">
        <x:v>Modern replicas must remain separate.</x:v>
      </x:c>
      <x:c r="J22" s="26" t="str">
        <x:v>https://www.vintagemongoose.com/info/catalogs.php</x:v>
      </x:c>
      <x:c r="K22" s="26" t="str">
        <x:v>https://www.mongoose.com/blogs/news/mongoose-celebrates-50-years-with-special-edition-drops-in-bmx-classics-collection</x:v>
      </x:c>
      <x:c r="L22" s="26" t="str">
        <x:v>INDEX-ONLY</x:v>
      </x:c>
      <x:c r="M22" s="26" t="str">
        <x:v>INDEXED</x:v>
      </x:c>
    </x:row>
    <x:row r="23" ht="88" customHeight="1">
      <x:c r="A23" s="26" t="str">
        <x:v>V17-CAT-019</x:v>
      </x:c>
      <x:c r="B23" s="26" t="str">
        <x:v>Mongoose</x:v>
      </x:c>
      <x:c r="C23" s="26" t="str">
        <x:v>1985–1993 catalog sequence</x:v>
      </x:c>
      <x:c r="D23" s="26" t="str">
        <x:v>1985–1993</x:v>
      </x:c>
      <x:c r="E23" s="26" t="str">
        <x:v>Nine annual editions</x:v>
      </x:c>
      <x:c r="F23" s="26" t="str">
        <x:v>Period catalog scans</x:v>
      </x:c>
      <x:c r="G23" s="26" t="str">
        <x:v>Exact 1998 record falls outside this sequence; later catalog recovery needed</x:v>
      </x:c>
      <x:c r="H23" s="26" t="str">
        <x:v>Annual product and component chronology through 1993.</x:v>
      </x:c>
      <x:c r="I23" s="26" t="str">
        <x:v>No page-level audit performed for all nine editions.</x:v>
      </x:c>
      <x:c r="J23" s="26" t="str">
        <x:v>https://www.vintagemongoose.com/info/catalogs.php</x:v>
      </x:c>
      <x:c r="K23" s="26" t="str"/>
      <x:c r="L23" s="26" t="str">
        <x:v>INDEX-ONLY</x:v>
      </x:c>
      <x:c r="M23" s="26" t="str">
        <x:v>INDEXED SERIES</x:v>
      </x:c>
    </x:row>
    <x:row r="24" ht="88" customHeight="1">
      <x:c r="A24" s="26" t="str">
        <x:v>V17-CAT-020</x:v>
      </x:c>
      <x:c r="B24" s="26" t="str">
        <x:v>Mongoose</x:v>
      </x:c>
      <x:c r="C24" s="26" t="str">
        <x:v>1977 Mongoose manual</x:v>
      </x:c>
      <x:c r="D24" s="26" t="str">
        <x:v>1977</x:v>
      </x:c>
      <x:c r="E24" s="26" t="str">
        <x:v>Manual</x:v>
      </x:c>
      <x:c r="F24" s="26" t="str">
        <x:v>Period manual scan</x:v>
      </x:c>
      <x:c r="G24" s="26" t="str">
        <x:v>No exact BMXMuseum object recovered</x:v>
      </x:c>
      <x:c r="H24" s="26" t="str">
        <x:v>Assembly, safety, warranty or owner-use context.</x:v>
      </x:c>
      <x:c r="I24" s="26" t="str">
        <x:v>Manual is not a sales catalog or model specification source for later years.</x:v>
      </x:c>
      <x:c r="J24" s="26" t="str">
        <x:v>https://www.vintagemongoose.com/info/catalogs.php</x:v>
      </x:c>
      <x:c r="K24" s="26" t="str"/>
      <x:c r="L24" s="26" t="str">
        <x:v>INDEX-ONLY</x:v>
      </x:c>
      <x:c r="M24" s="26" t="str">
        <x:v>INDEXED</x:v>
      </x:c>
    </x:row>
    <x:row r="25" ht="88" customHeight="1">
      <x:c r="A25" s="26" t="str">
        <x:v>V17-CAT-021</x:v>
      </x:c>
      <x:c r="B25" s="26" t="str">
        <x:v>Redline</x:v>
      </x:c>
      <x:c r="C25" s="26" t="str">
        <x:v>Redline catalog reconstruction hub</x:v>
      </x:c>
      <x:c r="D25" s="26" t="str">
        <x:v>1981, 1984, 1986, 1991–2000</x:v>
      </x:c>
      <x:c r="E25" s="26" t="str">
        <x:v>Model counts by year</x:v>
      </x:c>
      <x:c r="F25" s="26" t="str">
        <x:v>Catalog reconstruction + historical archive</x:v>
      </x:c>
      <x:c r="G25" s="26" t="str">
        <x:v>Historical BMXMuseum reference IDs unresolved</x:v>
      </x:c>
      <x:c r="H25" s="26" t="str">
        <x:v>Year-specific model structures and specifications.</x:v>
      </x:c>
      <x:c r="I25" s="26" t="str">
        <x:v>Reconstruction and modern historical text must be checked against period originals.</x:v>
      </x:c>
      <x:c r="J25" s="26" t="str">
        <x:v>https://www.bmx-catalogue.com/redline/year.html</x:v>
      </x:c>
      <x:c r="K25" s="26" t="str">
        <x:v>https://www.redlinevintagebmx.com/redline-history</x:v>
      </x:c>
      <x:c r="L25" s="26" t="str">
        <x:v>INDEX-ONLY</x:v>
      </x:c>
      <x:c r="M25" s="26" t="str">
        <x:v>STRONG STRUCTURE</x:v>
      </x:c>
    </x:row>
    <x:row r="26" ht="88" customHeight="1">
      <x:c r="A26" s="26" t="str">
        <x:v>V17-CAT-022</x:v>
      </x:c>
      <x:c r="B26" s="26" t="str">
        <x:v>Redline</x:v>
      </x:c>
      <x:c r="C26" s="26" t="str">
        <x:v>1981 Redline catalog reconstruction</x:v>
      </x:c>
      <x:c r="D26" s="26" t="str">
        <x:v>1981</x:v>
      </x:c>
      <x:c r="E26" s="26" t="str">
        <x:v>8 models</x:v>
      </x:c>
      <x:c r="F26" s="26" t="str">
        <x:v>Catalog reconstruction</x:v>
      </x:c>
      <x:c r="G26" s="26" t="str">
        <x:v>No exact reference recovered</x:v>
      </x:c>
      <x:c r="H26" s="26" t="str">
        <x:v>Early race-line structure.</x:v>
      </x:c>
      <x:c r="I26" s="26" t="str">
        <x:v>Original page/market edition open.</x:v>
      </x:c>
      <x:c r="J26" s="26" t="str">
        <x:v>https://www.bmx-catalogue.com/redline/year.html</x:v>
      </x:c>
      <x:c r="K26" s="26" t="str"/>
      <x:c r="L26" s="26" t="str">
        <x:v>INDEX-ONLY</x:v>
      </x:c>
      <x:c r="M26" s="26" t="str">
        <x:v>STRUCTURE</x:v>
      </x:c>
    </x:row>
    <x:row r="27" ht="88" customHeight="1">
      <x:c r="A27" s="26" t="str">
        <x:v>V17-CAT-023</x:v>
      </x:c>
      <x:c r="B27" s="26" t="str">
        <x:v>Redline</x:v>
      </x:c>
      <x:c r="C27" s="26" t="str">
        <x:v>1984 Redline catalog reconstruction</x:v>
      </x:c>
      <x:c r="D27" s="26" t="str">
        <x:v>1984</x:v>
      </x:c>
      <x:c r="E27" s="26" t="str">
        <x:v>5 models</x:v>
      </x:c>
      <x:c r="F27" s="26" t="str">
        <x:v>Catalog reconstruction</x:v>
      </x:c>
      <x:c r="G27" s="26" t="str">
        <x:v>No exact reference recovered</x:v>
      </x:c>
      <x:c r="H27" s="26" t="str">
        <x:v>Race and emerging freestyle context.</x:v>
      </x:c>
      <x:c r="I27" s="26" t="str">
        <x:v>Exact brochure/catalog distinction open.</x:v>
      </x:c>
      <x:c r="J27" s="26" t="str">
        <x:v>https://www.bmx-catalogue.com/redline/year.html</x:v>
      </x:c>
      <x:c r="K27" s="26" t="str"/>
      <x:c r="L27" s="26" t="str">
        <x:v>INDEX-ONLY</x:v>
      </x:c>
      <x:c r="M27" s="26" t="str">
        <x:v>STRUCTURE</x:v>
      </x:c>
    </x:row>
    <x:row r="28" ht="88" customHeight="1">
      <x:c r="A28" s="26" t="str">
        <x:v>V17-CAT-024</x:v>
      </x:c>
      <x:c r="B28" s="26" t="str">
        <x:v>Redline</x:v>
      </x:c>
      <x:c r="C28" s="26" t="str">
        <x:v>1986 Redline catalog reconstruction</x:v>
      </x:c>
      <x:c r="D28" s="26" t="str">
        <x:v>1986</x:v>
      </x:c>
      <x:c r="E28" s="26" t="str">
        <x:v>6 models</x:v>
      </x:c>
      <x:c r="F28" s="26" t="str">
        <x:v>Catalog reconstruction</x:v>
      </x:c>
      <x:c r="G28" s="26" t="str">
        <x:v>No exact reference recovered</x:v>
      </x:c>
      <x:c r="H28" s="26" t="str">
        <x:v>Post-RL20 freestyle and race lineup.</x:v>
      </x:c>
      <x:c r="I28" s="26" t="str">
        <x:v>1985 catalog is presently a documented gap.</x:v>
      </x:c>
      <x:c r="J28" s="26" t="str">
        <x:v>https://www.bmx-catalogue.com/redline/year.html</x:v>
      </x:c>
      <x:c r="K28" s="26" t="str"/>
      <x:c r="L28" s="26" t="str">
        <x:v>INDEX-ONLY</x:v>
      </x:c>
      <x:c r="M28" s="26" t="str">
        <x:v>STRUCTURE / GAP</x:v>
      </x:c>
    </x:row>
    <x:row r="29" ht="88" customHeight="1">
      <x:c r="A29" s="26" t="str">
        <x:v>V17-CAT-025</x:v>
      </x:c>
      <x:c r="B29" s="26" t="str">
        <x:v>Redline</x:v>
      </x:c>
      <x:c r="C29" s="26" t="str">
        <x:v>1991–1999 catalog sequence</x:v>
      </x:c>
      <x:c r="D29" s="26" t="str">
        <x:v>1991–1999</x:v>
      </x:c>
      <x:c r="E29" s="26" t="str">
        <x:v>6, 7, 5, 5, 10, 11, 15, 19 and 19 models</x:v>
      </x:c>
      <x:c r="F29" s="26" t="str">
        <x:v>Catalog reconstruction</x:v>
      </x:c>
      <x:c r="G29" s="26" t="str">
        <x:v>Exact 2023 PL-26 record is modern and outside period sequence</x:v>
      </x:c>
      <x:c r="H29" s="26" t="str">
        <x:v>Mid-school annual model growth.</x:v>
      </x:c>
      <x:c r="I29" s="26" t="str">
        <x:v>Counts describe catalog entries, not production quantities.</x:v>
      </x:c>
      <x:c r="J29" s="26" t="str">
        <x:v>https://www.bmx-catalogue.com/redline/year.html</x:v>
      </x:c>
      <x:c r="K29" s="26" t="str"/>
      <x:c r="L29" s="26" t="str">
        <x:v>INDEX-ONLY</x:v>
      </x:c>
      <x:c r="M29" s="26" t="str">
        <x:v>STRONG STRUCTURE</x:v>
      </x:c>
    </x:row>
    <x:row r="30" ht="88" customHeight="1">
      <x:c r="A30" s="26" t="str">
        <x:v>V17-CAT-026</x:v>
      </x:c>
      <x:c r="B30" s="26" t="str">
        <x:v>Hutch</x:v>
      </x:c>
      <x:c r="C30" s="26" t="str">
        <x:v>1984 Hutch catalog reconstruction</x:v>
      </x:c>
      <x:c r="D30" s="26" t="str">
        <x:v>1984</x:v>
      </x:c>
      <x:c r="E30" s="26" t="str">
        <x:v>3 models</x:v>
      </x:c>
      <x:c r="F30" s="26" t="str">
        <x:v>Catalog reconstruction</x:v>
      </x:c>
      <x:c r="G30" s="26" t="str">
        <x:v>Historical submitted bikes require year-specific comparison</x:v>
      </x:c>
      <x:c r="H30" s="26" t="str">
        <x:v>Model lineup and year-specific specifications.</x:v>
      </x:c>
      <x:c r="I30" s="26" t="str">
        <x:v>Original 1984 catalog and price sheet still desired.</x:v>
      </x:c>
      <x:c r="J30" s="26" t="str">
        <x:v>https://www.bmx-catalogue.com/hutch/year.html</x:v>
      </x:c>
      <x:c r="K30" s="26" t="str">
        <x:v>https://hutchbmx.com/store/index.php?id=5&amp;main_page=page</x:v>
      </x:c>
      <x:c r="L30" s="26" t="str">
        <x:v>INDEX-ONLY</x:v>
      </x:c>
      <x:c r="M30" s="26" t="str">
        <x:v>STRUCTURE</x:v>
      </x:c>
    </x:row>
    <x:row r="31" ht="88" customHeight="1">
      <x:c r="A31" s="26" t="str">
        <x:v>V17-CAT-027</x:v>
      </x:c>
      <x:c r="B31" s="26" t="str">
        <x:v>Hutch</x:v>
      </x:c>
      <x:c r="C31" s="26" t="str">
        <x:v>1988 Hutch catalog reconstruction</x:v>
      </x:c>
      <x:c r="D31" s="26" t="str">
        <x:v>1988</x:v>
      </x:c>
      <x:c r="E31" s="26" t="str">
        <x:v>5 models</x:v>
      </x:c>
      <x:c r="F31" s="26" t="str">
        <x:v>Catalog reconstruction</x:v>
      </x:c>
      <x:c r="G31" s="26" t="str">
        <x:v>Exact comparison 63255 is external only</x:v>
      </x:c>
      <x:c r="H31" s="26" t="str">
        <x:v>Late old-school race/freestyle lineup.</x:v>
      </x:c>
      <x:c r="I31" s="26" t="str">
        <x:v>Model and factory transitions require physical serial evidence.</x:v>
      </x:c>
      <x:c r="J31" s="26" t="str">
        <x:v>https://www.bmx-catalogue.com/hutch/year.html</x:v>
      </x:c>
      <x:c r="K31" s="26" t="str"/>
      <x:c r="L31" s="26" t="str">
        <x:v>INDEX-ONLY</x:v>
      </x:c>
      <x:c r="M31" s="26" t="str">
        <x:v>STRUCTURE</x:v>
      </x:c>
    </x:row>
    <x:row r="32" ht="88" customHeight="1">
      <x:c r="A32" s="26" t="str">
        <x:v>V17-CAT-028</x:v>
      </x:c>
      <x:c r="B32" s="26" t="str">
        <x:v>Auburn</x:v>
      </x:c>
      <x:c r="C32" s="26" t="str">
        <x:v>1995 Auburn catalog specifications</x:v>
      </x:c>
      <x:c r="D32" s="26" t="str">
        <x:v>1995</x:v>
      </x:c>
      <x:c r="E32" s="26" t="str">
        <x:v>CR20 RX, CR20 R, CR20 S, CR24 and JR20 RX</x:v>
      </x:c>
      <x:c r="F32" s="26" t="str">
        <x:v>First-person historical transcription from inaccessible image host</x:v>
      </x:c>
      <x:c r="G32" s="26" t="str">
        <x:v>No exact BMXMuseum catalog reference</x:v>
      </x:c>
      <x:c r="H32" s="26" t="str">
        <x:v>Model structure, top-tube lengths, link type and headset differences.</x:v>
      </x:c>
      <x:c r="I32" s="26" t="str">
        <x:v>The original catalog images were Flash-hosted and are not preserved here.</x:v>
      </x:c>
      <x:c r="J32" s="26" t="str">
        <x:v>https://auburnbmx.wordpress.com/2009/08/26/1995-specifications/</x:v>
      </x:c>
      <x:c r="K32" s="26" t="str">
        <x:v>https://www.bmx-catalogue.com/auburn/year.html</x:v>
      </x:c>
      <x:c r="L32" s="26" t="str">
        <x:v>INDEX-ONLY</x:v>
      </x:c>
      <x:c r="M32" s="26" t="str">
        <x:v>ATTRIBUTED CATALOG TRANSCRIPTION</x:v>
      </x:c>
    </x:row>
    <x:row r="33" ht="88" customHeight="1">
      <x:c r="A33" s="26" t="str">
        <x:v>V17-CAT-029</x:v>
      </x:c>
      <x:c r="B33" s="26" t="str">
        <x:v>Auburn</x:v>
      </x:c>
      <x:c r="C33" s="26" t="str">
        <x:v>1996 Auburn catalog specifications</x:v>
      </x:c>
      <x:c r="D33" s="26" t="str">
        <x:v>1996</x:v>
      </x:c>
      <x:c r="E33" s="26" t="str">
        <x:v>CR20 RX, CR20 R, CR20 S, CR24, JR20 RX and CR20 I</x:v>
      </x:c>
      <x:c r="F33" s="26" t="str">
        <x:v>First-person historical transcription</x:v>
      </x:c>
      <x:c r="G33" s="26" t="str">
        <x:v>No exact BMXMuseum catalog reference</x:v>
      </x:c>
      <x:c r="H33" s="26" t="str">
        <x:v>Model structure, top-tube lengths, one-piece frames, V-brakes and chrome-front option.</x:v>
      </x:c>
      <x:c r="I33" s="26" t="str">
        <x:v>Original catalog page images are not available through the cited host.</x:v>
      </x:c>
      <x:c r="J33" s="26" t="str">
        <x:v>https://auburnbmx.wordpress.com/2009/08/26/1996-specifications/</x:v>
      </x:c>
      <x:c r="K33" s="26" t="str">
        <x:v>https://www.bmx-catalogue.com/auburn/year.html</x:v>
      </x:c>
      <x:c r="L33" s="26" t="str">
        <x:v>INDEX-ONLY</x:v>
      </x:c>
      <x:c r="M33" s="26" t="str">
        <x:v>ATTRIBUTED CATALOG TRANSCRIPTION</x:v>
      </x:c>
    </x:row>
    <x:row r="34" ht="88" customHeight="1">
      <x:c r="A34" s="26" t="str">
        <x:v>V17-CAT-030</x:v>
      </x:c>
      <x:c r="B34" s="26" t="str">
        <x:v>ELF</x:v>
      </x:c>
      <x:c r="C34" s="26" t="str">
        <x:v>ELF brand catalog index</x:v>
      </x:c>
      <x:c r="D34" s="26" t="str">
        <x:v>Period years unresolved</x:v>
      </x:c>
      <x:c r="E34" s="26" t="str">
        <x:v>No year pages exposed in current public index</x:v>
      </x:c>
      <x:c r="F34" s="26" t="str">
        <x:v>Catalog-reconstruction brand endpoint</x:v>
      </x:c>
      <x:c r="G34" s="26" t="str">
        <x:v>Exact bike 136181; exact catalog reference unresolved</x:v>
      </x:c>
      <x:c r="H34" s="26" t="str">
        <x:v>Brand/serial search endpoint and future model matching.</x:v>
      </x:c>
      <x:c r="I34" s="26" t="str">
        <x:v>A brand index is not evidence that a period catalog has been recovered.</x:v>
      </x:c>
      <x:c r="J34" s="26" t="str">
        <x:v>https://www.bmx-catalogue.com/elf/year.html</x:v>
      </x:c>
      <x:c r="K34" s="26" t="str">
        <x:v>https://www.elfbmxproducts.com/about-elf</x:v>
      </x:c>
      <x:c r="L34" s="26" t="str">
        <x:v>INDEX-ONLY</x:v>
      </x:c>
      <x:c r="M34" s="26" t="str">
        <x:v>SOURCE GAP</x:v>
      </x:c>
    </x:row>
    <x:row r="35" ht="88" customHeight="1">
      <x:c r="A35" s="26" t="str">
        <x:v>V17-CAT-031</x:v>
      </x:c>
      <x:c r="B35" s="26" t="str">
        <x:v>SE Racing</x:v>
      </x:c>
      <x:c r="C35" s="26" t="str">
        <x:v>SE Racing catalog reconstruction index</x:v>
      </x:c>
      <x:c r="D35" s="26" t="str">
        <x:v>1985 and 1997 explicitly 'coming soon'; 2014 modern 24-model catalog</x:v>
      </x:c>
      <x:c r="E35" s="26" t="str">
        <x:v>Historical gaps / modern coverage</x:v>
      </x:c>
      <x:c r="F35" s="26" t="str">
        <x:v>Catalog reconstruction endpoint</x:v>
      </x:c>
      <x:c r="G35" s="26" t="str">
        <x:v>Exact bikes 118961, 135922 and 135823</x:v>
      </x:c>
      <x:c r="H35" s="26" t="str">
        <x:v>Documents the present public coverage gap and modern catalog presence.</x:v>
      </x:c>
      <x:c r="I35" s="26" t="str">
        <x:v>Modern 2014 content cannot replace 1970s–1990s catalogs.</x:v>
      </x:c>
      <x:c r="J35" s="26" t="str">
        <x:v>https://www.bmx-catalogue.com/se-racing/year.html</x:v>
      </x:c>
      <x:c r="K35" s="26" t="str"/>
      <x:c r="L35" s="26" t="str">
        <x:v>INDEX-ONLY</x:v>
      </x:c>
      <x:c r="M35" s="26" t="str">
        <x:v>HIGH-VALUE GAP</x:v>
      </x:c>
    </x:row>
    <x:row r="36" ht="88" customHeight="1">
      <x:c r="A36" s="26" t="str">
        <x:v>V17-CAT-032</x:v>
      </x:c>
      <x:c r="B36" s="26" t="str">
        <x:v>Ashtabula</x:v>
      </x:c>
      <x:c r="C36" s="26" t="str">
        <x:v>Ashtabula component catalog</x:v>
      </x:c>
      <x:c r="D36" s="26" t="str">
        <x:v>circa 1977, provisional</x:v>
      </x:c>
      <x:c r="E36" s="26" t="str">
        <x:v>Exact reference object</x:v>
      </x:c>
      <x:c r="F36" s="26" t="str">
        <x:v>Exact public BMXMuseum reference 5027</x:v>
      </x:c>
      <x:c r="G36" s="26" t="str">
        <x:v>Reference 5027</x:v>
      </x:c>
      <x:c r="H36" s="26" t="str">
        <x:v>Period component range and externally reported dimensions.</x:v>
      </x:c>
      <x:c r="I36" s="26" t="str">
        <x:v>Edition/date/page content remain partially interpreted rather than directly transcribed.</x:v>
      </x:c>
      <x:c r="J36" s="26" t="str">
        <x:v>https://bmxmuseum.com/reference/5027</x:v>
      </x:c>
      <x:c r="K36" s="26" t="str">
        <x:v>https://thecabe.com/forum/threads/ashtabula-fork-identification-help.253603/</x:v>
      </x:c>
      <x:c r="L36" s="26" t="str">
        <x:v>INDEX-ONLY</x:v>
      </x:c>
      <x:c r="M36" s="26" t="str">
        <x:v>EXACT ID / PARTIAL CONTENT</x:v>
      </x:c>
    </x:row>
  </x:sheetData>
  <x:mergeCells>
    <x:mergeCell ref="A1:M1"/>
    <x:mergeCell ref="A2:M2"/>
  </x:mergeCells>
  <x:pageMargins left="0.7" right="0.7" top="0.75" bottom="0.75" header="0.3" footer="0.3"/>
  <x:tableParts count="1">
    <x:tablePart xmlns:r="http://schemas.openxmlformats.org/officeDocument/2006/relationships" r:id="Rff3058e75f034049"/>
  </x:tableParts>
</x:worksheet>
</file>

<file path=xl/worksheets/sheet120.xml><?xml version="1.0" encoding="utf-8"?>
<x:worksheet xmlns:x="http://schemas.openxmlformats.org/spreadsheetml/2006/main">
  <x:sheetFormatPr defaultRowHeight="15"/>
  <x:cols>
    <x:col min="1" max="1" width="15" hidden="0" customWidth="1"/>
    <x:col min="2" max="2" width="16" hidden="0" customWidth="1"/>
    <x:col min="3" max="3" width="44" hidden="0" customWidth="1"/>
    <x:col min="4" max="4" width="24" hidden="0" customWidth="1"/>
    <x:col min="5" max="5" width="34" hidden="0" customWidth="1"/>
    <x:col min="6" max="6" width="54" hidden="0" customWidth="1"/>
    <x:col min="7" max="7" width="54" hidden="0" customWidth="1"/>
    <x:col min="8" max="8" width="62" hidden="0" customWidth="1"/>
    <x:col min="9" max="9" width="24" hidden="0" customWidth="1"/>
    <x:col min="10" max="10" width="24" hidden="0" customWidth="1"/>
  </x:cols>
  <x:sheetData>
    <x:row r="1" ht="31" customHeight="1">
      <x:c r="A1" s="621" t="str">
        <x:v>v1.7 Advertisement and Period-Test Register</x:v>
      </x:c>
      <x:c r="B1" s="621"/>
      <x:c r="C1" s="621"/>
      <x:c r="D1" s="621"/>
      <x:c r="E1" s="621"/>
      <x:c r="F1" s="621"/>
      <x:c r="G1" s="621"/>
      <x:c r="H1" s="621"/>
      <x:c r="I1" s="621"/>
      <x:c r="J1" s="621"/>
    </x:row>
    <x:row r="2" ht="31" customHeight="1">
      <x:c r="A2" s="626" t="str">
        <x:v>Advertisement copy, first-person interpretation, period tests and official retrospective history remain distinct evidence roles.</x:v>
      </x:c>
      <x:c r="B2" s="626"/>
      <x:c r="C2" s="626"/>
      <x:c r="D2" s="626"/>
      <x:c r="E2" s="626"/>
      <x:c r="F2" s="626"/>
      <x:c r="G2" s="626"/>
      <x:c r="H2" s="626"/>
      <x:c r="I2" s="626"/>
      <x:c r="J2" s="626"/>
    </x:row>
    <x:row r="4">
      <x:c r="A4" s="631" t="str">
        <x:v>Advertisement ID</x:v>
      </x:c>
      <x:c r="B4" s="631" t="str">
        <x:v>Brand</x:v>
      </x:c>
      <x:c r="C4" s="631" t="str">
        <x:v>Advertisement / Test Object</x:v>
      </x:c>
      <x:c r="D4" s="631" t="str">
        <x:v>Period / Issue</x:v>
      </x:c>
      <x:c r="E4" s="631" t="str">
        <x:v>Source Role</x:v>
      </x:c>
      <x:c r="F4" s="631" t="str">
        <x:v>What It Supports</x:v>
      </x:c>
      <x:c r="G4" s="631" t="str">
        <x:v>Qualification</x:v>
      </x:c>
      <x:c r="H4" s="631" t="str">
        <x:v>Primary URL</x:v>
      </x:c>
      <x:c r="I4" s="631" t="str">
        <x:v>Rights Code</x:v>
      </x:c>
      <x:c r="J4" s="631" t="str">
        <x:v>Status</x:v>
      </x:c>
    </x:row>
    <x:row r="5" ht="86" customHeight="1">
      <x:c r="A5" s="26" t="str">
        <x:v>V17-AD-001</x:v>
      </x:c>
      <x:c r="B5" s="26" t="str">
        <x:v>Redline</x:v>
      </x:c>
      <x:c r="C5" s="26" t="str">
        <x:v>First Red Line/Redline BMX advertisement chronology</x:v>
      </x:c>
      <x:c r="D5" s="26" t="str">
        <x:v>December 1976 reported</x:v>
      </x:c>
      <x:c r="E5" s="26" t="str">
        <x:v>Current specialist historical archive with period image</x:v>
      </x:c>
      <x:c r="F5" s="26" t="str">
        <x:v>Early BMX product-launch and marketing chronology.</x:v>
      </x:c>
      <x:c r="G5" s="26" t="str">
        <x:v>Exact magazine title/page still requires a bibliographic record.</x:v>
      </x:c>
      <x:c r="H5" s="26" t="str">
        <x:v>https://www.redlinevintagebmx.com/redline-history</x:v>
      </x:c>
      <x:c r="I5" s="26" t="str">
        <x:v>INDEX-ONLY</x:v>
      </x:c>
      <x:c r="J5" s="26" t="str">
        <x:v>PERIOD OBJECT LEAD</x:v>
      </x:c>
    </x:row>
    <x:row r="6" ht="86" customHeight="1">
      <x:c r="A6" s="26" t="str">
        <x:v>V17-AD-002</x:v>
      </x:c>
      <x:c r="B6" s="26" t="str">
        <x:v>Redline</x:v>
      </x:c>
      <x:c r="C6" s="26" t="str">
        <x:v>1985 dealer brochure featuring RL 20 II Prostyler</x:v>
      </x:c>
      <x:c r="D6" s="26" t="str">
        <x:v>1985</x:v>
      </x:c>
      <x:c r="E6" s="26" t="str">
        <x:v>Current specialist history citing period dealer brochure</x:v>
      </x:c>
      <x:c r="F6" s="26" t="str">
        <x:v>Freestyle model introduction and dealer-facing product presentation.</x:v>
      </x:c>
      <x:c r="G6" s="26" t="str">
        <x:v>Modern retrospective page does not replace the original brochure object.</x:v>
      </x:c>
      <x:c r="H6" s="26" t="str">
        <x:v>https://www.redlinevintagebmx.com/the-rl-40-project</x:v>
      </x:c>
      <x:c r="I6" s="26" t="str">
        <x:v>INDEX-ONLY</x:v>
      </x:c>
      <x:c r="J6" s="26" t="str">
        <x:v>BIBLIOGRAPHICALLY IDENTIFIED</x:v>
      </x:c>
    </x:row>
    <x:row r="7" ht="86" customHeight="1">
      <x:c r="A7" s="26" t="str">
        <x:v>V17-AD-003</x:v>
      </x:c>
      <x:c r="B7" s="26" t="str">
        <x:v>Hutch</x:v>
      </x:c>
      <x:c r="C7" s="26" t="str">
        <x:v>1981 Pro Racer / LiL Hole Shot launch history and team image</x:v>
      </x:c>
      <x:c r="D7" s="26" t="str">
        <x:v>1981</x:v>
      </x:c>
      <x:c r="E7" s="26" t="str">
        <x:v>Current official brand history</x:v>
      </x:c>
      <x:c r="F7" s="26" t="str">
        <x:v>First complete-bike launch, pricing and early team context.</x:v>
      </x:c>
      <x:c r="G7" s="26" t="str">
        <x:v>Historical page is retrospective; original ad/catalog issue remains open.</x:v>
      </x:c>
      <x:c r="H7" s="26" t="str">
        <x:v>https://hutchbmx.com/store/index.php?id=5&amp;main_page=page</x:v>
      </x:c>
      <x:c r="I7" s="26" t="str">
        <x:v>INDEX / CITE</x:v>
      </x:c>
      <x:c r="J7" s="26" t="str">
        <x:v>OFFICIAL HISTORY</x:v>
      </x:c>
    </x:row>
    <x:row r="8" ht="86" customHeight="1">
      <x:c r="A8" s="26" t="str">
        <x:v>V17-AD-004</x:v>
      </x:c>
      <x:c r="B8" s="26" t="str">
        <x:v>Auburn</x:v>
      </x:c>
      <x:c r="C8" s="26" t="str">
        <x:v>March 1988 BMX Action prototype test</x:v>
      </x:c>
      <x:c r="D8" s="26" t="str">
        <x:v>March 1988 issue; photos likely late 1987</x:v>
      </x:c>
      <x:c r="E8" s="26" t="str">
        <x:v>First-person participant archive citing period test</x:v>
      </x:c>
      <x:c r="F8" s="26" t="str">
        <x:v>Prototype status and Auburn's late-1987/early-1988 emergence.</x:v>
      </x:c>
      <x:c r="G8" s="26" t="str">
        <x:v>BMX Action images require Bob Osborn's written permission; no image reproduction.</x:v>
      </x:c>
      <x:c r="H8" s="26" t="str">
        <x:v>https://auburnbmx.wordpress.com/2009/08/26/march-1988-bike-test-in-bmx-action/</x:v>
      </x:c>
      <x:c r="I8" s="26" t="str">
        <x:v>INDEX-ONLY / PERMISSION REQUIRED</x:v>
      </x:c>
      <x:c r="J8" s="26" t="str">
        <x:v>STRONG FIRST-PERSON</x:v>
      </x:c>
    </x:row>
    <x:row r="9" ht="86" customHeight="1">
      <x:c r="A9" s="26" t="str">
        <x:v>V17-AD-005</x:v>
      </x:c>
      <x:c r="B9" s="26" t="str">
        <x:v>Auburn</x:v>
      </x:c>
      <x:c r="C9" s="26" t="str">
        <x:v>April 1988 Auburn advertisement</x:v>
      </x:c>
      <x:c r="D9" s="26" t="str">
        <x:v>April 1988</x:v>
      </x:c>
      <x:c r="E9" s="26" t="str">
        <x:v>First-person historical archive</x:v>
      </x:c>
      <x:c r="F9" s="26" t="str">
        <x:v>Early Auburn 'Red Rocket' advertising object.</x:v>
      </x:c>
      <x:c r="G9" s="26" t="str">
        <x:v>Publication title/page not exposed on the index page.</x:v>
      </x:c>
      <x:c r="H9" s="26" t="str">
        <x:v>https://auburnbmx.wordpress.com/page/2/</x:v>
      </x:c>
      <x:c r="I9" s="26" t="str">
        <x:v>INDEX-ONLY</x:v>
      </x:c>
      <x:c r="J9" s="26" t="str">
        <x:v>BIBLIOGRAPHIC LEAD</x:v>
      </x:c>
    </x:row>
    <x:row r="10" ht="86" customHeight="1">
      <x:c r="A10" s="26" t="str">
        <x:v>V17-AD-006</x:v>
      </x:c>
      <x:c r="B10" s="26" t="str">
        <x:v>Auburn</x:v>
      </x:c>
      <x:c r="C10" s="26" t="str">
        <x:v>December 1988 factory-team advertisement</x:v>
      </x:c>
      <x:c r="D10" s="26" t="str">
        <x:v>December 1988</x:v>
      </x:c>
      <x:c r="E10" s="26" t="str">
        <x:v>First-person historical archive</x:v>
      </x:c>
      <x:c r="F10" s="26" t="str">
        <x:v>Todd Corbitt and Danny Millwee factory-rider/team presentation and team vehicle.</x:v>
      </x:c>
      <x:c r="G10" s="26" t="str">
        <x:v>Rider identifications are Todd Huffman's recollection and remain attributed.</x:v>
      </x:c>
      <x:c r="H10" s="26" t="str">
        <x:v>https://auburnbmx.wordpress.com/page/2/</x:v>
      </x:c>
      <x:c r="I10" s="26" t="str">
        <x:v>INDEX-ONLY</x:v>
      </x:c>
      <x:c r="J10" s="26" t="str">
        <x:v>ATTRIBUTED</x:v>
      </x:c>
    </x:row>
    <x:row r="11" ht="86" customHeight="1">
      <x:c r="A11" s="26" t="str">
        <x:v>V17-AD-007</x:v>
      </x:c>
      <x:c r="B11" s="26" t="str">
        <x:v>Auburn</x:v>
      </x:c>
      <x:c r="C11" s="26" t="str">
        <x:v>CR20S advertisement</x:v>
      </x:c>
      <x:c r="D11" s="26" t="str">
        <x:v>November 1989 issue of Go</x:v>
      </x:c>
      <x:c r="E11" s="26" t="str">
        <x:v>First-person historical archive</x:v>
      </x:c>
      <x:c r="F11" s="26" t="str">
        <x:v>CR20S, CR20 and CR20R naming and parts-tier context.</x:v>
      </x:c>
      <x:c r="G11" s="26" t="str">
        <x:v>The archive author expresses uncertainty and comments contain conflicting recollection; no silent resolution.</x:v>
      </x:c>
      <x:c r="H11" s="26" t="str">
        <x:v>https://auburnbmx.wordpress.com/2011/02/07/1989-auburn-bmx-ad/</x:v>
      </x:c>
      <x:c r="I11" s="26" t="str">
        <x:v>INDEX-ONLY</x:v>
      </x:c>
      <x:c r="J11" s="26" t="str">
        <x:v>CONFLICT RECORDED</x:v>
      </x:c>
    </x:row>
    <x:row r="12" ht="86" customHeight="1">
      <x:c r="A12" s="26" t="str">
        <x:v>V17-AD-008</x:v>
      </x:c>
      <x:c r="B12" s="26" t="str">
        <x:v>Auburn</x:v>
      </x:c>
      <x:c r="C12" s="26" t="str">
        <x:v>WorksLink introduction advertisement</x:v>
      </x:c>
      <x:c r="D12" s="26" t="str">
        <x:v>October 1990</x:v>
      </x:c>
      <x:c r="E12" s="26" t="str">
        <x:v>First-person historical archive</x:v>
      </x:c>
      <x:c r="F12" s="26" t="str">
        <x:v>Alloy rear-end introduction intended for 1991 models.</x:v>
      </x:c>
      <x:c r="G12" s="26" t="str">
        <x:v>Production/retail timing is interpreted from a late-year advertisement.</x:v>
      </x:c>
      <x:c r="H12" s="26" t="str">
        <x:v>https://auburnbmx.wordpress.com/page/2/</x:v>
      </x:c>
      <x:c r="I12" s="26" t="str">
        <x:v>INDEX-ONLY</x:v>
      </x:c>
      <x:c r="J12" s="26" t="str">
        <x:v>QUALIFIED</x:v>
      </x:c>
    </x:row>
    <x:row r="13" ht="86" customHeight="1">
      <x:c r="A13" s="26" t="str">
        <x:v>V17-AD-009</x:v>
      </x:c>
      <x:c r="B13" s="26" t="str">
        <x:v>Auburn</x:v>
      </x:c>
      <x:c r="C13" s="26" t="str">
        <x:v>GT-distributed Auburn advertisement</x:v>
      </x:c>
      <x:c r="D13" s="26" t="str">
        <x:v>January 1991</x:v>
      </x:c>
      <x:c r="E13" s="26" t="str">
        <x:v>First-person historical archive</x:v>
      </x:c>
      <x:c r="F13" s="26" t="str">
        <x:v>GT distribution and WorksLink marketing; additional distributors named.</x:v>
      </x:c>
      <x:c r="G13" s="26" t="str">
        <x:v>Distributor roles require independent corporate/dealer records.</x:v>
      </x:c>
      <x:c r="H13" s="26" t="str">
        <x:v>https://auburnbmx.wordpress.com/</x:v>
      </x:c>
      <x:c r="I13" s="26" t="str">
        <x:v>INDEX-ONLY</x:v>
      </x:c>
      <x:c r="J13" s="26" t="str">
        <x:v>ATTRIBUTED</x:v>
      </x:c>
    </x:row>
    <x:row r="14" ht="86" customHeight="1">
      <x:c r="A14" s="26" t="str">
        <x:v>V17-AD-010</x:v>
      </x:c>
      <x:c r="B14" s="26" t="str">
        <x:v>Auburn</x:v>
      </x:c>
      <x:c r="C14" s="26" t="str">
        <x:v>1993 Auburn advertisement</x:v>
      </x:c>
      <x:c r="D14" s="26" t="str">
        <x:v>1993</x:v>
      </x:c>
      <x:c r="E14" s="26" t="str">
        <x:v>First-person historical archive</x:v>
      </x:c>
      <x:c r="F14" s="26" t="str">
        <x:v>Two-bike/color/decal presentation.</x:v>
      </x:c>
      <x:c r="G14" s="26" t="str">
        <x:v>Color interpretation is uncertain in the source.</x:v>
      </x:c>
      <x:c r="H14" s="26" t="str">
        <x:v>https://auburnbmx.wordpress.com/2010/01/22/1993-auburn-bmx-ad/</x:v>
      </x:c>
      <x:c r="I14" s="26" t="str">
        <x:v>INDEX-ONLY</x:v>
      </x:c>
      <x:c r="J14" s="26" t="str">
        <x:v>BIBLIOGRAPHICALLY IDENTIFIED</x:v>
      </x:c>
    </x:row>
    <x:row r="15" ht="86" customHeight="1">
      <x:c r="A15" s="26" t="str">
        <x:v>V17-AD-011</x:v>
      </x:c>
      <x:c r="B15" s="26" t="str">
        <x:v>Auburn</x:v>
      </x:c>
      <x:c r="C15" s="26" t="str">
        <x:v>1994 CR20 advertisement</x:v>
      </x:c>
      <x:c r="D15" s="26" t="str">
        <x:v>1994</x:v>
      </x:c>
      <x:c r="E15" s="26" t="str">
        <x:v>First-person historical archive</x:v>
      </x:c>
      <x:c r="F15" s="26" t="str">
        <x:v>CR20 model and decal presentation.</x:v>
      </x:c>
      <x:c r="G15" s="26" t="str">
        <x:v>Original publication/issue is not stated on the post.</x:v>
      </x:c>
      <x:c r="H15" s="26" t="str">
        <x:v>https://auburnbmx.wordpress.com/2010/01/22/1994-auburn-bmx-ad/</x:v>
      </x:c>
      <x:c r="I15" s="26" t="str">
        <x:v>INDEX-ONLY</x:v>
      </x:c>
      <x:c r="J15" s="26" t="str">
        <x:v>BIBLIOGRAPHICALLY IDENTIFIED</x:v>
      </x:c>
    </x:row>
    <x:row r="16" ht="86" customHeight="1">
      <x:c r="A16" s="26" t="str">
        <x:v>V17-AD-012</x:v>
      </x:c>
      <x:c r="B16" s="26" t="str">
        <x:v>Auburn</x:v>
      </x:c>
      <x:c r="C16" s="26" t="str">
        <x:v>CR20 RX versus Haro Monocoque test</x:v>
      </x:c>
      <x:c r="D16" s="26" t="str">
        <x:v>September 1994 BMX Plus!</x:v>
      </x:c>
      <x:c r="E16" s="26" t="str">
        <x:v>First-person historical archive citing period test</x:v>
      </x:c>
      <x:c r="F16" s="26" t="str">
        <x:v>Comparison test and reported geometry conflict.</x:v>
      </x:c>
      <x:c r="G16" s="26" t="str">
        <x:v>The archive author measured 20.5 inches while the test reportedly states 21 inches; preserve both.</x:v>
      </x:c>
      <x:c r="H16" s="26" t="str">
        <x:v>https://auburnbmx.wordpress.com/2010/01/22/1994-auburn-bike-test/</x:v>
      </x:c>
      <x:c r="I16" s="26" t="str">
        <x:v>INDEX-ONLY</x:v>
      </x:c>
      <x:c r="J16" s="26" t="str">
        <x:v>CONFLICT SOURCE</x:v>
      </x:c>
    </x:row>
    <x:row r="17" ht="86" customHeight="1">
      <x:c r="A17" s="26" t="str">
        <x:v>V17-AD-013</x:v>
      </x:c>
      <x:c r="B17" s="26" t="str">
        <x:v>Mongoose</x:v>
      </x:c>
      <x:c r="C17" s="26" t="str">
        <x:v>Mongoose Pro-Class period feature/advertising context</x:v>
      </x:c>
      <x:c r="D17" s="26" t="str">
        <x:v>February–March 1983 BMX Action Bike</x:v>
      </x:c>
      <x:c r="E17" s="26" t="str">
        <x:v>Period publication index/OCR</x:v>
      </x:c>
      <x:c r="F17" s="26" t="str">
        <x:v>Pro-Class promotion and Mongoose market position.</x:v>
      </x:c>
      <x:c r="G17" s="26" t="str">
        <x:v>Detailed price/specification requires page inspection.</x:v>
      </x:c>
      <x:c r="H17" s="26" t="str">
        <x:v>https://previouspage.co.uk/magazines/BMX%20Action%20Bike/issues/59-february%2Fmarch-eighty-three</x:v>
      </x:c>
      <x:c r="I17" s="26" t="str">
        <x:v>INDEX-ONLY</x:v>
      </x:c>
      <x:c r="J17" s="26" t="str">
        <x:v>PERIOD OBJECT</x:v>
      </x:c>
    </x:row>
    <x:row r="18" ht="86" customHeight="1">
      <x:c r="A18" s="26" t="str">
        <x:v>V17-AD-014</x:v>
      </x:c>
      <x:c r="B18" s="26" t="str">
        <x:v>Haro</x:v>
      </x:c>
      <x:c r="C18" s="26" t="str">
        <x:v>Haro Sport launch/availability advertisement</x:v>
      </x:c>
      <x:c r="D18" s="26" t="str">
        <x:v>Summer 1984 Freestylin'</x:v>
      </x:c>
      <x:c r="E18" s="26" t="str">
        <x:v>Period publication index/OCR</x:v>
      </x:c>
      <x:c r="F18" s="26" t="str">
        <x:v>New Sport model, frameset/complete-bike availability and period component context.</x:v>
      </x:c>
      <x:c r="G18" s="26" t="str">
        <x:v>OCR/bibliographic extraction only; page image not reproduced.</x:v>
      </x:c>
      <x:c r="H18" s="26" t="str">
        <x:v>https://previouspage.co.uk/issues/20-summer-eighty-four</x:v>
      </x:c>
      <x:c r="I18" s="26" t="str">
        <x:v>INDEX-ONLY</x:v>
      </x:c>
      <x:c r="J18" s="26" t="str">
        <x:v>PERIOD VERIFIED</x:v>
      </x:c>
    </x:row>
    <x:row r="19" ht="86" customHeight="1">
      <x:c r="A19" s="26" t="str">
        <x:v>V17-AD-015</x:v>
      </x:c>
      <x:c r="B19" s="26" t="str">
        <x:v>Haro</x:v>
      </x:c>
      <x:c r="C19" s="26" t="str">
        <x:v>1989 Haro catalog/team introductory copy</x:v>
      </x:c>
      <x:c r="D19" s="26" t="str">
        <x:v>1989 catalog</x:v>
      </x:c>
      <x:c r="E19" s="26" t="str">
        <x:v>Catalog reconstruction from original material</x:v>
      </x:c>
      <x:c r="F19" s="26" t="str">
        <x:v>Brian Blyther, Ron Wilkerson, Team Haro and Mike King campaign context.</x:v>
      </x:c>
      <x:c r="G19" s="26" t="str">
        <x:v>Promotional claims are catalog language, not independent performance proof.</x:v>
      </x:c>
      <x:c r="H19" s="26" t="str">
        <x:v>https://www.bmx-catalogue.com/haro/old-school/1989/model.html</x:v>
      </x:c>
      <x:c r="I19" s="26" t="str">
        <x:v>INDEX-ONLY</x:v>
      </x:c>
      <x:c r="J19" s="26" t="str">
        <x:v>CATALOG ADVERTISING</x:v>
      </x:c>
    </x:row>
    <x:row r="20" ht="86" customHeight="1">
      <x:c r="A20" s="26" t="str">
        <x:v>V17-AD-016</x:v>
      </x:c>
      <x:c r="B20" s="26" t="str">
        <x:v>SE Racing</x:v>
      </x:c>
      <x:c r="C20" s="26" t="str">
        <x:v>PK Ripper / Perry Kramer naming history</x:v>
      </x:c>
      <x:c r="D20" s="26" t="str">
        <x:v>Since early 1979</x:v>
      </x:c>
      <x:c r="E20" s="26" t="str">
        <x:v>Official rider/brand history</x:v>
      </x:c>
      <x:c r="F20" s="26" t="str">
        <x:v>Rider-to-model naming relationship and broad launch context.</x:v>
      </x:c>
      <x:c r="G20" s="26" t="str">
        <x:v>Exact first ad and catalog page remain open.</x:v>
      </x:c>
      <x:c r="H20" s="26" t="str">
        <x:v>https://www.sebikes.com/pages/perry-kramer</x:v>
      </x:c>
      <x:c r="I20" s="26" t="str">
        <x:v>INDEX / CITE</x:v>
      </x:c>
      <x:c r="J20" s="26" t="str">
        <x:v>OFFICIAL RELATIONSHIP</x:v>
      </x:c>
    </x:row>
    <x:row r="21" ht="86" customHeight="1">
      <x:c r="A21" s="26" t="str">
        <x:v>V17-AD-017</x:v>
      </x:c>
      <x:c r="B21" s="26" t="str">
        <x:v>ELF</x:v>
      </x:c>
      <x:c r="C21" s="26" t="str">
        <x:v>Doublecross launch history</x:v>
      </x:c>
      <x:c r="D21" s="26" t="str">
        <x:v>1991</x:v>
      </x:c>
      <x:c r="E21" s="26" t="str">
        <x:v>Current first-party brand history</x:v>
      </x:c>
      <x:c r="F21" s="26" t="str">
        <x:v>Four-chainstay design origin and Ken Pendergraft design attribution.</x:v>
      </x:c>
      <x:c r="G21" s="26" t="str">
        <x:v>Current brand history is retrospective; original launch advertisement/catalog remains open.</x:v>
      </x:c>
      <x:c r="H21" s="26" t="str">
        <x:v>https://www.elfbmxproducts.com/about-elf</x:v>
      </x:c>
      <x:c r="I21" s="26" t="str">
        <x:v>INDEX / CITE</x:v>
      </x:c>
      <x:c r="J21" s="26" t="str">
        <x:v>OFFICIAL HISTORY</x:v>
      </x:c>
    </x:row>
  </x:sheetData>
  <x:mergeCells>
    <x:mergeCell ref="A1:J1"/>
    <x:mergeCell ref="A2:J2"/>
  </x:mergeCells>
  <x:pageMargins left="0.7" right="0.7" top="0.75" bottom="0.75" header="0.3" footer="0.3"/>
  <x:tableParts count="1">
    <x:tablePart xmlns:r="http://schemas.openxmlformats.org/officeDocument/2006/relationships" r:id="R478d0cb9493d49c4"/>
  </x:tableParts>
</x:worksheet>
</file>

<file path=xl/worksheets/sheet121.xml><?xml version="1.0" encoding="utf-8"?>
<x:worksheet xmlns:x="http://schemas.openxmlformats.org/spreadsheetml/2006/main">
  <x:sheetFormatPr defaultRowHeight="15"/>
  <x:cols>
    <x:col min="1" max="1" width="15" hidden="0" customWidth="1"/>
    <x:col min="2" max="2" width="28" hidden="0" customWidth="1"/>
    <x:col min="3" max="3" width="28" hidden="0" customWidth="1"/>
    <x:col min="4" max="4" width="42" hidden="0" customWidth="1"/>
    <x:col min="5" max="5" width="20" hidden="0" customWidth="1"/>
    <x:col min="6" max="6" width="50" hidden="0" customWidth="1"/>
    <x:col min="7" max="7" width="34" hidden="0" customWidth="1"/>
    <x:col min="8" max="8" width="52" hidden="0" customWidth="1"/>
    <x:col min="9" max="9" width="60" hidden="0" customWidth="1"/>
    <x:col min="10" max="10" width="28" hidden="0" customWidth="1"/>
    <x:col min="11" max="11" width="24" hidden="0" customWidth="1"/>
  </x:cols>
  <x:sheetData>
    <x:row r="1" ht="31" customHeight="1">
      <x:c r="A1" s="621" t="str">
        <x:v>v1.7 Flyer, Mailer, Brochure and Price-List-Offer Register</x:v>
      </x:c>
      <x:c r="B1" s="621"/>
      <x:c r="C1" s="621"/>
      <x:c r="D1" s="621"/>
      <x:c r="E1" s="621"/>
      <x:c r="F1" s="621"/>
      <x:c r="G1" s="621"/>
      <x:c r="H1" s="621"/>
      <x:c r="I1" s="621"/>
      <x:c r="J1" s="621"/>
      <x:c r="K1" s="621"/>
    </x:row>
    <x:row r="2" ht="31" customHeight="1">
      <x:c r="A2" s="626" t="str">
        <x:v>A catalog request, sticker pack, dealer brochure, price-list offer and physical mailed catalog are separate object types.</x:v>
      </x:c>
      <x:c r="B2" s="626"/>
      <x:c r="C2" s="626"/>
      <x:c r="D2" s="626"/>
      <x:c r="E2" s="626"/>
      <x:c r="F2" s="626"/>
      <x:c r="G2" s="626"/>
      <x:c r="H2" s="626"/>
      <x:c r="I2" s="626"/>
      <x:c r="J2" s="626"/>
      <x:c r="K2" s="626"/>
    </x:row>
    <x:row r="4">
      <x:c r="A4" s="631" t="str">
        <x:v>Flyer ID</x:v>
      </x:c>
      <x:c r="B4" s="631" t="str">
        <x:v>Brand / Promoter</x:v>
      </x:c>
      <x:c r="C4" s="631" t="str">
        <x:v>Object Type</x:v>
      </x:c>
      <x:c r="D4" s="631" t="str">
        <x:v>Title / Offer</x:v>
      </x:c>
      <x:c r="E4" s="631" t="str">
        <x:v>Date</x:v>
      </x:c>
      <x:c r="F4" s="631" t="str">
        <x:v>Offer / Distribution Detail</x:v>
      </x:c>
      <x:c r="G4" s="631" t="str">
        <x:v>Source Role</x:v>
      </x:c>
      <x:c r="H4" s="631" t="str">
        <x:v>Qualification</x:v>
      </x:c>
      <x:c r="I4" s="631" t="str">
        <x:v>Source URL</x:v>
      </x:c>
      <x:c r="J4" s="631" t="str">
        <x:v>Rights Code</x:v>
      </x:c>
      <x:c r="K4" s="631" t="str">
        <x:v>Status</x:v>
      </x:c>
    </x:row>
    <x:row r="5" ht="84" customHeight="1">
      <x:c r="A5" s="26" t="str">
        <x:v>V17-FLY-001</x:v>
      </x:c>
      <x:c r="B5" s="26" t="str">
        <x:v>Haro / Fusion / West Coast Cycle</x:v>
      </x:c>
      <x:c r="C5" s="26" t="str">
        <x:v>Catalog mailer</x:v>
      </x:c>
      <x:c r="D5" s="26" t="str">
        <x:v>1991 Haro/Fusion catalog request</x:v>
      </x:c>
      <x:c r="E5" s="26" t="str">
        <x:v>Advertisement November 1991</x:v>
      </x:c>
      <x:c r="F5" s="26" t="str">
        <x:v>Mail $2 for the 1991 catalog.</x:v>
      </x:c>
      <x:c r="G5" s="26" t="str">
        <x:v>Period mailer advertisement</x:v>
      </x:c>
      <x:c r="H5" s="26" t="str">
        <x:v>Catalog request fee is not a bicycle price; relationship to official archive copy remains open.</x:v>
      </x:c>
      <x:c r="I5" s="26" t="str">
        <x:v>https://www.previouspage.co.uk/issues/131-november-nineteen-ninety-one</x:v>
      </x:c>
      <x:c r="J5" s="26" t="str">
        <x:v>INDEX-ONLY</x:v>
      </x:c>
      <x:c r="K5" s="26" t="str">
        <x:v>VERIFIED OFFER</x:v>
      </x:c>
    </x:row>
    <x:row r="6" ht="84" customHeight="1">
      <x:c r="A6" s="26" t="str">
        <x:v>V17-FLY-002</x:v>
      </x:c>
      <x:c r="B6" s="26" t="str">
        <x:v>Haro</x:v>
      </x:c>
      <x:c r="C6" s="26" t="str">
        <x:v>Catalog-order advertisement</x:v>
      </x:c>
      <x:c r="D6" s="26" t="str">
        <x:v>1987 Haro catalog order</x:v>
      </x:c>
      <x:c r="E6" s="26" t="str">
        <x:v>June 1987</x:v>
      </x:c>
      <x:c r="F6" s="26" t="str">
        <x:v>Catalog advertised for $2, refundable with next order.</x:v>
      </x:c>
      <x:c r="G6" s="26" t="str">
        <x:v>Period retailer/mail-order page</x:v>
      </x:c>
      <x:c r="H6" s="26" t="str">
        <x:v>The seller and exact catalog edition need page-level attribution.</x:v>
      </x:c>
      <x:c r="I6" s="26" t="str">
        <x:v>https://previouspage.co.uk/magazines/BMX%20Plus/issues/242-june-nineteen-eighty-seven</x:v>
      </x:c>
      <x:c r="J6" s="26" t="str">
        <x:v>INDEX-ONLY</x:v>
      </x:c>
      <x:c r="K6" s="26" t="str">
        <x:v>VERIFIED OFFER</x:v>
      </x:c>
    </x:row>
    <x:row r="7" ht="84" customHeight="1">
      <x:c r="A7" s="26" t="str">
        <x:v>V17-FLY-003</x:v>
      </x:c>
      <x:c r="B7" s="26" t="str">
        <x:v>Mongoose / Service Cycle Supply</x:v>
      </x:c>
      <x:c r="C7" s="26" t="str">
        <x:v>Catalog and sticker-pack mailer</x:v>
      </x:c>
      <x:c r="D7" s="26" t="str">
        <x:v>Mongoose catalog and sticker pack</x:v>
      </x:c>
      <x:c r="E7" s="26" t="str">
        <x:v>February 1992</x:v>
      </x:c>
      <x:c r="F7" s="26" t="str">
        <x:v>Send $3 for catalog and sticker pack.</x:v>
      </x:c>
      <x:c r="G7" s="26" t="str">
        <x:v>Period advertisement</x:v>
      </x:c>
      <x:c r="H7" s="26" t="str">
        <x:v>Offer verifies distribution material, not the contents or edition.</x:v>
      </x:c>
      <x:c r="I7" s="26" t="str">
        <x:v>https://previouspage.co.uk/magazines/Go/issues/133-february-nineteen-ninety-two</x:v>
      </x:c>
      <x:c r="J7" s="26" t="str">
        <x:v>INDEX-ONLY</x:v>
      </x:c>
      <x:c r="K7" s="26" t="str">
        <x:v>VERIFIED OFFER</x:v>
      </x:c>
    </x:row>
    <x:row r="8" ht="84" customHeight="1">
      <x:c r="A8" s="26" t="str">
        <x:v>V17-FLY-004</x:v>
      </x:c>
      <x:c r="B8" s="26" t="str">
        <x:v>Mongoose</x:v>
      </x:c>
      <x:c r="C8" s="26" t="str">
        <x:v>Printed-media archive hub</x:v>
      </x:c>
      <x:c r="D8" s="26" t="str">
        <x:v>1975–1993 catalog and 1977 manual collection</x:v>
      </x:c>
      <x:c r="E8" s="26" t="str">
        <x:v>Current archive</x:v>
      </x:c>
      <x:c r="F8" s="26" t="str">
        <x:v>Publicly browsable catalog/manual index.</x:v>
      </x:c>
      <x:c r="G8" s="26" t="str">
        <x:v>Specialist archive</x:v>
      </x:c>
      <x:c r="H8" s="26" t="str">
        <x:v>A public index is not a license to republish scans.</x:v>
      </x:c>
      <x:c r="I8" s="26" t="str">
        <x:v>https://www.vintagemongoose.com/info/catalogs.php</x:v>
      </x:c>
      <x:c r="J8" s="26" t="str">
        <x:v>INDEX-ONLY</x:v>
      </x:c>
      <x:c r="K8" s="26" t="str">
        <x:v>DISCOVERY HUB</x:v>
      </x:c>
    </x:row>
    <x:row r="9" ht="84" customHeight="1">
      <x:c r="A9" s="26" t="str">
        <x:v>V17-FLY-005</x:v>
      </x:c>
      <x:c r="B9" s="26" t="str">
        <x:v>Redline</x:v>
      </x:c>
      <x:c r="C9" s="26" t="str">
        <x:v>Dealer brochure</x:v>
      </x:c>
      <x:c r="D9" s="26" t="str">
        <x:v>1985 RL 20 II Prostyler dealer brochure</x:v>
      </x:c>
      <x:c r="E9" s="26" t="str">
        <x:v>1985</x:v>
      </x:c>
      <x:c r="F9" s="26" t="str">
        <x:v>Dealer-facing brochure used to introduce/promote the model.</x:v>
      </x:c>
      <x:c r="G9" s="26" t="str">
        <x:v>Modern specialist history identifying period object</x:v>
      </x:c>
      <x:c r="H9" s="26" t="str">
        <x:v>Original brochure file/page count remains open.</x:v>
      </x:c>
      <x:c r="I9" s="26" t="str">
        <x:v>https://www.redlinevintagebmx.com/the-rl-40-project</x:v>
      </x:c>
      <x:c r="J9" s="26" t="str">
        <x:v>INDEX-ONLY</x:v>
      </x:c>
      <x:c r="K9" s="26" t="str">
        <x:v>OBJECT IDENTIFIED</x:v>
      </x:c>
    </x:row>
    <x:row r="10" ht="84" customHeight="1">
      <x:c r="A10" s="26" t="str">
        <x:v>V17-FLY-006</x:v>
      </x:c>
      <x:c r="B10" s="26" t="str">
        <x:v>Auburn / GT / distributors</x:v>
      </x:c>
      <x:c r="C10" s="26" t="str">
        <x:v>Distribution advertisement</x:v>
      </x:c>
      <x:c r="D10" s="26" t="str">
        <x:v>Auburn WorksLink/distributor advertisement</x:v>
      </x:c>
      <x:c r="E10" s="26" t="str">
        <x:v>January 1991</x:v>
      </x:c>
      <x:c r="F10" s="26" t="str">
        <x:v>Ad identifies GT distribution and other distributor relationships.</x:v>
      </x:c>
      <x:c r="G10" s="26" t="str">
        <x:v>First-person historical archive</x:v>
      </x:c>
      <x:c r="H10" s="26" t="str">
        <x:v>Distributor details remain attributed until dealer/corporate records are recovered.</x:v>
      </x:c>
      <x:c r="I10" s="26" t="str">
        <x:v>https://auburnbmx.wordpress.com/</x:v>
      </x:c>
      <x:c r="J10" s="26" t="str">
        <x:v>INDEX-ONLY</x:v>
      </x:c>
      <x:c r="K10" s="26" t="str">
        <x:v>ATTRIBUTED</x:v>
      </x:c>
    </x:row>
    <x:row r="11" ht="84" customHeight="1">
      <x:c r="A11" s="26" t="str">
        <x:v>V17-FLY-007</x:v>
      </x:c>
      <x:c r="B11" s="26" t="str">
        <x:v>ELF</x:v>
      </x:c>
      <x:c r="C11" s="26" t="str">
        <x:v>Mailed catalog / promotional mailpiece</x:v>
      </x:c>
      <x:c r="D11" s="26" t="str">
        <x:v>Lititz artifact 26.0006</x:v>
      </x:c>
      <x:c r="E11" s="26" t="str">
        <x:v>Date unresolved</x:v>
      </x:c>
      <x:c r="F11" s="26" t="str">
        <x:v>ELF-branded mailed publication addressed to a bicycle dealer.</x:v>
      </x:c>
      <x:c r="G11" s="26" t="str">
        <x:v>Lititz physical artifact</x:v>
      </x:c>
      <x:c r="H11" s="26" t="str">
        <x:v>Exact year, edition, page count and contents remain unresolved.</x:v>
      </x:c>
      <x:c r="I11" s="26" t="str">
        <x:v>https://sites.google.com/view/lititzbmxinventorylist/home/26-0006</x:v>
      </x:c>
      <x:c r="J11" s="26" t="str">
        <x:v>LITITZ OWNED / PUBLIC DERIVATIVES CONTROLLED</x:v>
      </x:c>
      <x:c r="K11" s="26" t="str">
        <x:v>PHYSICAL EVIDENCE GATE</x:v>
      </x:c>
    </x:row>
    <x:row r="12" ht="84" customHeight="1">
      <x:c r="A12" s="26" t="str">
        <x:v>V17-FLY-008</x:v>
      </x:c>
      <x:c r="B12" s="26" t="str">
        <x:v>Dealer unresolved</x:v>
      </x:c>
      <x:c r="C12" s="26" t="str">
        <x:v>Price-list/sticker offer</x:v>
      </x:c>
      <x:c r="D12" s="26" t="str">
        <x:v>Send SAE for price list and free sticker</x:v>
      </x:c>
      <x:c r="E12" s="26" t="str">
        <x:v>September 1982</x:v>
      </x:c>
      <x:c r="F12" s="26" t="str">
        <x:v>Self-addressed envelope requested for dealer price list and sticker.</x:v>
      </x:c>
      <x:c r="G12" s="26" t="str">
        <x:v>Period retailer advertisement</x:v>
      </x:c>
      <x:c r="H12" s="26" t="str">
        <x:v>Dealer identity remains unresolved from OCR alignment.</x:v>
      </x:c>
      <x:c r="I12" s="26" t="str">
        <x:v>https://previouspage.co.uk/magazines/BMX%20Weekly/issues/213-september-nineteen-eighty-two</x:v>
      </x:c>
      <x:c r="J12" s="26" t="str">
        <x:v>INDEX-ONLY</x:v>
      </x:c>
      <x:c r="K12" s="26" t="str">
        <x:v>CARRY-FORWARD LEAD</x:v>
      </x:c>
    </x:row>
    <x:row r="13" ht="84" customHeight="1">
      <x:c r="A13" s="26" t="str">
        <x:v>V17-FLY-009</x:v>
      </x:c>
      <x:c r="B13" s="26" t="str">
        <x:v>Multiple dealer brands</x:v>
      </x:c>
      <x:c r="C13" s="26" t="str">
        <x:v>Comprehensive price-list offer</x:v>
      </x:c>
      <x:c r="D13" s="26" t="str">
        <x:v>Eight-sided comprehensive price list</x:v>
      </x:c>
      <x:c r="E13" s="26" t="str">
        <x:v>February 1984</x:v>
      </x:c>
      <x:c r="F13" s="26" t="str">
        <x:v>Mail-order dealer invited readers to request a full price list.</x:v>
      </x:c>
      <x:c r="G13" s="26" t="str">
        <x:v>Period retailer advertisement</x:v>
      </x:c>
      <x:c r="H13" s="26" t="str">
        <x:v>Dealer attribution and listed brands require visual page inspection.</x:v>
      </x:c>
      <x:c r="I13" s="26" t="str">
        <x:v>https://previouspage.co.uk/issues/194-february-nineteen-eighty-four</x:v>
      </x:c>
      <x:c r="J13" s="26" t="str">
        <x:v>INDEX-ONLY</x:v>
      </x:c>
      <x:c r="K13" s="26" t="str">
        <x:v>NEW LEAD</x:v>
      </x:c>
    </x:row>
    <x:row r="14" ht="84" customHeight="1">
      <x:c r="A14" s="26" t="str">
        <x:v>V17-FLY-010</x:v>
      </x:c>
      <x:c r="B14" s="26" t="str">
        <x:v>Hutch / dealer network</x:v>
      </x:c>
      <x:c r="C14" s="26" t="str">
        <x:v>Mail-order company history</x:v>
      </x:c>
      <x:c r="D14" s="26" t="str">
        <x:v>Hutch mail-order origin</x:v>
      </x:c>
      <x:c r="E14" s="26" t="str">
        <x:v>1979 onward</x:v>
      </x:c>
      <x:c r="F14" s="26" t="str">
        <x:v>Business began as mail-order before product manufacturing expanded.</x:v>
      </x:c>
      <x:c r="G14" s="26" t="str">
        <x:v>Current official history</x:v>
      </x:c>
      <x:c r="H14" s="26" t="str">
        <x:v>This is business/distribution context, not a recovered period flyer.</x:v>
      </x:c>
      <x:c r="I14" s="26" t="str">
        <x:v>https://hutchbmx.com/store/index.php?id=5&amp;main_page=page</x:v>
      </x:c>
      <x:c r="J14" s="26" t="str">
        <x:v>INDEX / CITE</x:v>
      </x:c>
      <x:c r="K14" s="26" t="str">
        <x:v>CONTEXT</x:v>
      </x:c>
    </x:row>
  </x:sheetData>
  <x:mergeCells>
    <x:mergeCell ref="A1:K1"/>
    <x:mergeCell ref="A2:K2"/>
  </x:mergeCells>
  <x:pageMargins left="0.7" right="0.7" top="0.75" bottom="0.75" header="0.3" footer="0.3"/>
  <x:tableParts count="1">
    <x:tablePart xmlns:r="http://schemas.openxmlformats.org/officeDocument/2006/relationships" r:id="R23fd0ae2d4bb413e"/>
  </x:tableParts>
</x:worksheet>
</file>

<file path=xl/worksheets/sheet122.xml><?xml version="1.0" encoding="utf-8"?>
<x:worksheet xmlns:x="http://schemas.openxmlformats.org/spreadsheetml/2006/main">
  <x:sheetFormatPr defaultRowHeight="15"/>
  <x:cols>
    <x:col min="1" max="1" width="15" hidden="0" customWidth="1"/>
    <x:col min="2" max="2" width="16" hidden="0" customWidth="1"/>
    <x:col min="3" max="3" width="42" hidden="0" customWidth="1"/>
    <x:col min="4" max="4" width="20" hidden="0" customWidth="1"/>
    <x:col min="5" max="5" width="34" hidden="0" customWidth="1"/>
    <x:col min="6" max="6" width="48" hidden="0" customWidth="1"/>
    <x:col min="7" max="7" width="25" hidden="0" customWidth="1"/>
    <x:col min="8" max="8" width="34" hidden="0" customWidth="1"/>
    <x:col min="9" max="9" width="54" hidden="0" customWidth="1"/>
    <x:col min="10" max="10" width="60" hidden="0" customWidth="1"/>
    <x:col min="11" max="11" width="24" hidden="0" customWidth="1"/>
  </x:cols>
  <x:sheetData>
    <x:row r="1" ht="31" customHeight="1">
      <x:c r="A1" s="621" t="str">
        <x:v>v1.7 Manufacturer, Distributor, Retailer and Mailer Price-Context Register</x:v>
      </x:c>
      <x:c r="B1" s="621"/>
      <x:c r="C1" s="621"/>
      <x:c r="D1" s="621"/>
      <x:c r="E1" s="621"/>
      <x:c r="F1" s="621"/>
      <x:c r="G1" s="621"/>
      <x:c r="H1" s="621"/>
      <x:c r="I1" s="621"/>
      <x:c r="J1" s="621"/>
      <x:c r="K1" s="621"/>
    </x:row>
    <x:row r="2" ht="31" customHeight="1">
      <x:c r="A2" s="626" t="str">
        <x:v>The price basis is mandatory. Manufacturer MSRP, distributor list, retailer advertisement, catalog fee and current retail are never merged.</x:v>
      </x:c>
      <x:c r="B2" s="626"/>
      <x:c r="C2" s="626"/>
      <x:c r="D2" s="626"/>
      <x:c r="E2" s="626"/>
      <x:c r="F2" s="626"/>
      <x:c r="G2" s="626"/>
      <x:c r="H2" s="626"/>
      <x:c r="I2" s="626"/>
      <x:c r="J2" s="626"/>
      <x:c r="K2" s="626"/>
    </x:row>
    <x:row r="4">
      <x:c r="A4" s="631" t="str">
        <x:v>Price-Sheet ID</x:v>
      </x:c>
      <x:c r="B4" s="631" t="str">
        <x:v>Brand</x:v>
      </x:c>
      <x:c r="C4" s="631" t="str">
        <x:v>Document / Price Context</x:v>
      </x:c>
      <x:c r="D4" s="631" t="str">
        <x:v>Date</x:v>
      </x:c>
      <x:c r="E4" s="631" t="str">
        <x:v>Price Basis</x:v>
      </x:c>
      <x:c r="F4" s="631" t="str">
        <x:v>What Is Exposed</x:v>
      </x:c>
      <x:c r="G4" s="631" t="str">
        <x:v>Currency / Market</x:v>
      </x:c>
      <x:c r="H4" s="631" t="str">
        <x:v>Source Class</x:v>
      </x:c>
      <x:c r="I4" s="631" t="str">
        <x:v>Qualification</x:v>
      </x:c>
      <x:c r="J4" s="631" t="str">
        <x:v>Source URL</x:v>
      </x:c>
      <x:c r="K4" s="631" t="str">
        <x:v>Status</x:v>
      </x:c>
    </x:row>
    <x:row r="5" ht="84" customHeight="1">
      <x:c r="A5" s="26" t="str">
        <x:v>V17-PS-001</x:v>
      </x:c>
      <x:c r="B5" s="26" t="str">
        <x:v>Hutch</x:v>
      </x:c>
      <x:c r="C5" s="26" t="str">
        <x:v>Official history of first complete bikes</x:v>
      </x:c>
      <x:c r="D5" s="26" t="str">
        <x:v>1981</x:v>
      </x:c>
      <x:c r="E5" s="26" t="str">
        <x:v>Historical retail price stated by current official brand</x:v>
      </x:c>
      <x:c r="F5" s="26" t="str">
        <x:v>Pro Racer $419.75; LiL Hole Shot $439.75.</x:v>
      </x:c>
      <x:c r="G5" s="26" t="str">
        <x:v>USD / United States</x:v>
      </x:c>
      <x:c r="H5" s="26" t="str">
        <x:v>Current official historical page</x:v>
      </x:c>
      <x:c r="I5" s="26" t="str">
        <x:v>Original catalog/price-sheet object still needed; values are reported by current brand history.</x:v>
      </x:c>
      <x:c r="J5" s="26" t="str">
        <x:v>https://hutchbmx.com/store/index.php?id=5&amp;main_page=page</x:v>
      </x:c>
      <x:c r="K5" s="26" t="str">
        <x:v>HIGH ATTRIBUTED</x:v>
      </x:c>
    </x:row>
    <x:row r="6" ht="84" customHeight="1">
      <x:c r="A6" s="26" t="str">
        <x:v>V17-PS-002</x:v>
      </x:c>
      <x:c r="B6" s="26" t="str">
        <x:v>Haro</x:v>
      </x:c>
      <x:c r="C6" s="26" t="str">
        <x:v>Dynamic BMX complete-bike advertisement</x:v>
      </x:c>
      <x:c r="D6" s="26" t="str">
        <x:v>August 1987</x:v>
      </x:c>
      <x:c r="E6" s="26" t="str">
        <x:v>Retailer/mail-order prices</x:v>
      </x:c>
      <x:c r="F6" s="26" t="str">
        <x:v>FST, Sport, Master and other Haro prices.</x:v>
      </x:c>
      <x:c r="G6" s="26" t="str">
        <x:v>USD / United States</x:v>
      </x:c>
      <x:c r="H6" s="26" t="str">
        <x:v>Period retailer advertisement</x:v>
      </x:c>
      <x:c r="I6" s="26" t="str">
        <x:v>Not manufacturer MSRP; seller/source-specific.</x:v>
      </x:c>
      <x:c r="J6" s="26" t="str">
        <x:v>https://previouspage.co.uk/issues/245-august-nineteen-eighty-seven</x:v>
      </x:c>
      <x:c r="K6" s="26" t="str">
        <x:v>PERIOD VERIFIED</x:v>
      </x:c>
    </x:row>
    <x:row r="7" ht="84" customHeight="1">
      <x:c r="A7" s="26" t="str">
        <x:v>V17-PS-003</x:v>
      </x:c>
      <x:c r="B7" s="26" t="str">
        <x:v>Haro</x:v>
      </x:c>
      <x:c r="C7" s="26" t="str">
        <x:v>Freestyle frame/fork retailer list</x:v>
      </x:c>
      <x:c r="D7" s="26" t="str">
        <x:v>March 1986</x:v>
      </x:c>
      <x:c r="E7" s="26" t="str">
        <x:v>Retailer prices</x:v>
      </x:c>
      <x:c r="F7" s="26" t="str">
        <x:v>Haro Master and Sport frame/fork prices.</x:v>
      </x:c>
      <x:c r="G7" s="26" t="str">
        <x:v>USD / United States</x:v>
      </x:c>
      <x:c r="H7" s="26" t="str">
        <x:v>Period retailer advertisement</x:v>
      </x:c>
      <x:c r="I7" s="26" t="str">
        <x:v>Price alignment is OCR-derived and should retain source context.</x:v>
      </x:c>
      <x:c r="J7" s="26" t="str">
        <x:v>https://www.previouspage.co.uk/issues/32-march-nineteen-eighty-six</x:v>
      </x:c>
      <x:c r="K7" s="26" t="str">
        <x:v>PERIOD VERIFIED</x:v>
      </x:c>
    </x:row>
    <x:row r="8" ht="84" customHeight="1">
      <x:c r="A8" s="26" t="str">
        <x:v>V17-PS-004</x:v>
      </x:c>
      <x:c r="B8" s="26" t="str">
        <x:v>Mongoose</x:v>
      </x:c>
      <x:c r="C8" s="26" t="str">
        <x:v>1985 Repco price list summary</x:v>
      </x:c>
      <x:c r="D8" s="26" t="str">
        <x:v>1985</x:v>
      </x:c>
      <x:c r="E8" s="26" t="str">
        <x:v>Distributor price-list figures</x:v>
      </x:c>
      <x:c r="F8" s="26" t="str">
        <x:v>Californian frame, Pro Class rims and pad set.</x:v>
      </x:c>
      <x:c r="G8" s="26" t="str">
        <x:v>AUD likely / Australia</x:v>
      </x:c>
      <x:c r="H8" s="26" t="str">
        <x:v>Collector summary of period distributor list</x:v>
      </x:c>
      <x:c r="I8" s="26" t="str">
        <x:v>Currency and unit/pair basis require the original scan legend.</x:v>
      </x:c>
      <x:c r="J8" s="26" t="str">
        <x:v>https://www.bloggingadeadhorse.com/hotfoot2.php</x:v>
      </x:c>
      <x:c r="K8" s="26" t="str">
        <x:v>MEDIUM</x:v>
      </x:c>
    </x:row>
    <x:row r="9" ht="84" customHeight="1">
      <x:c r="A9" s="26" t="str">
        <x:v>V17-PS-005</x:v>
      </x:c>
      <x:c r="B9" s="26" t="str">
        <x:v>Mongoose</x:v>
      </x:c>
      <x:c r="C9" s="26" t="str">
        <x:v>Pro Class retailer advertisement</x:v>
      </x:c>
      <x:c r="D9" s="26" t="str">
        <x:v>August 1983 issue</x:v>
      </x:c>
      <x:c r="E9" s="26" t="str">
        <x:v>Retailer complete-bike price</x:v>
      </x:c>
      <x:c r="F9" s="26" t="str">
        <x:v>Pro Class £346 appears in indexed text.</x:v>
      </x:c>
      <x:c r="G9" s="26" t="str">
        <x:v>GBP / United Kingdom</x:v>
      </x:c>
      <x:c r="H9" s="26" t="str">
        <x:v>Period retailer advertisement</x:v>
      </x:c>
      <x:c r="I9" s="26" t="str">
        <x:v>Seller and exact product configuration should be checked from page image.</x:v>
      </x:c>
      <x:c r="J9" s="26" t="str">
        <x:v>https://previouspage.co.uk/magazines/BMX%20Action%20Bike/issues/63-august-nineteen-eighty-three</x:v>
      </x:c>
      <x:c r="K9" s="26" t="str">
        <x:v>MEDIUM-HIGH</x:v>
      </x:c>
    </x:row>
    <x:row r="10" ht="84" customHeight="1">
      <x:c r="A10" s="26" t="str">
        <x:v>V17-PS-006</x:v>
      </x:c>
      <x:c r="B10" s="26" t="str">
        <x:v>Hutch</x:v>
      </x:c>
      <x:c r="C10" s="26" t="str">
        <x:v>Hutch frame/fork dealer advertisement</x:v>
      </x:c>
      <x:c r="D10" s="26" t="str">
        <x:v>July 1983</x:v>
      </x:c>
      <x:c r="E10" s="26" t="str">
        <x:v>Retailer frameset price</x:v>
      </x:c>
      <x:c r="F10" s="26" t="str">
        <x:v>Hutch Pro or Expert chrome frame/fork £139.95 plus postage.</x:v>
      </x:c>
      <x:c r="G10" s="26" t="str">
        <x:v>GBP / United Kingdom</x:v>
      </x:c>
      <x:c r="H10" s="26" t="str">
        <x:v>Period retailer advertisement</x:v>
      </x:c>
      <x:c r="I10" s="26" t="str">
        <x:v>Model naming and seller page context should remain attached.</x:v>
      </x:c>
      <x:c r="J10" s="26" t="str">
        <x:v>https://previouspage.co.uk/magazines/BMX%20Action%20Bike/issues/62-july-nineteen-eighty-three</x:v>
      </x:c>
      <x:c r="K10" s="26" t="str">
        <x:v>MEDIUM-HIGH</x:v>
      </x:c>
    </x:row>
    <x:row r="11" ht="84" customHeight="1">
      <x:c r="A11" s="26" t="str">
        <x:v>V17-PS-007</x:v>
      </x:c>
      <x:c r="B11" s="26" t="str">
        <x:v>ELF</x:v>
      </x:c>
      <x:c r="C11" s="26" t="str">
        <x:v>1997 Team Series Double Cross database record</x:v>
      </x:c>
      <x:c r="D11" s="26" t="str">
        <x:v>1997</x:v>
      </x:c>
      <x:c r="E11" s="26" t="str">
        <x:v>Reported MSRP</x:v>
      </x:c>
      <x:c r="F11" s="26" t="str">
        <x:v>Complete bicycle MSRP $515.95.</x:v>
      </x:c>
      <x:c r="G11" s="26" t="str">
        <x:v>USD / United States</x:v>
      </x:c>
      <x:c r="H11" s="26" t="str">
        <x:v>Secondary bicycle-specification database</x:v>
      </x:c>
      <x:c r="I11" s="26" t="str">
        <x:v>Not a manufacturer price sheet; model and MSRP should be checked against a period catalog.</x:v>
      </x:c>
      <x:c r="J11" s="26" t="str">
        <x:v>https://www.bikepedia.com/QuickBike/BikeSpecs.aspx?item=66894</x:v>
      </x:c>
      <x:c r="K11" s="26" t="str">
        <x:v>MEDIUM</x:v>
      </x:c>
    </x:row>
    <x:row r="12" ht="84" customHeight="1">
      <x:c r="A12" s="26" t="str">
        <x:v>V17-PS-008</x:v>
      </x:c>
      <x:c r="B12" s="26" t="str">
        <x:v>Haro</x:v>
      </x:c>
      <x:c r="C12" s="26" t="str">
        <x:v>Catalog request fee</x:v>
      </x:c>
      <x:c r="D12" s="26" t="str">
        <x:v>1991</x:v>
      </x:c>
      <x:c r="E12" s="26" t="str">
        <x:v>Catalog/mail-order fee</x:v>
      </x:c>
      <x:c r="F12" s="26" t="str">
        <x:v>$2 for catalog.</x:v>
      </x:c>
      <x:c r="G12" s="26" t="str">
        <x:v>USD / United States</x:v>
      </x:c>
      <x:c r="H12" s="26" t="str">
        <x:v>Period mailer</x:v>
      </x:c>
      <x:c r="I12" s="26" t="str">
        <x:v>Not a bicycle/component price.</x:v>
      </x:c>
      <x:c r="J12" s="26" t="str">
        <x:v>https://www.previouspage.co.uk/issues/131-november-nineteen-ninety-one</x:v>
      </x:c>
      <x:c r="K12" s="26" t="str">
        <x:v>HIGH</x:v>
      </x:c>
    </x:row>
    <x:row r="13" ht="84" customHeight="1">
      <x:c r="A13" s="26" t="str">
        <x:v>V17-PS-009</x:v>
      </x:c>
      <x:c r="B13" s="26" t="str">
        <x:v>Mongoose</x:v>
      </x:c>
      <x:c r="C13" s="26" t="str">
        <x:v>Catalog and sticker-pack fee</x:v>
      </x:c>
      <x:c r="D13" s="26" t="str">
        <x:v>1992</x:v>
      </x:c>
      <x:c r="E13" s="26" t="str">
        <x:v>Catalog/promotional pack fee</x:v>
      </x:c>
      <x:c r="F13" s="26" t="str">
        <x:v>$3 for catalog and sticker pack.</x:v>
      </x:c>
      <x:c r="G13" s="26" t="str">
        <x:v>USD / United States</x:v>
      </x:c>
      <x:c r="H13" s="26" t="str">
        <x:v>Period advertisement</x:v>
      </x:c>
      <x:c r="I13" s="26" t="str">
        <x:v>Not a bicycle/component price.</x:v>
      </x:c>
      <x:c r="J13" s="26" t="str">
        <x:v>https://previouspage.co.uk/magazines/Go/issues/133-february-nineteen-ninety-two</x:v>
      </x:c>
      <x:c r="K13" s="26" t="str">
        <x:v>HIGH</x:v>
      </x:c>
    </x:row>
    <x:row r="14" ht="84" customHeight="1">
      <x:c r="A14" s="26" t="str">
        <x:v>V17-PS-010</x:v>
      </x:c>
      <x:c r="B14" s="26" t="str">
        <x:v>Redline</x:v>
      </x:c>
      <x:c r="C14" s="26" t="str">
        <x:v>Historical dealer-price-sheet workstream</x:v>
      </x:c>
      <x:c r="D14" s="26" t="str">
        <x:v>Period unresolved</x:v>
      </x:c>
      <x:c r="E14" s="26" t="str">
        <x:v>No controlled values yet</x:v>
      </x:c>
      <x:c r="F14" s="26" t="str">
        <x:v>Catalog and dealer brochure coverage exists but no reliable manufacturer price sheet is normalized in this release.</x:v>
      </x:c>
      <x:c r="G14" s="26" t="str">
        <x:v>Unresolved</x:v>
      </x:c>
      <x:c r="H14" s="26" t="str">
        <x:v>Research gap</x:v>
      </x:c>
      <x:c r="I14" s="26" t="str">
        <x:v>Do not infer MSRP from modern reissues or auction prices.</x:v>
      </x:c>
      <x:c r="J14" s="26" t="str">
        <x:v>https://www.redlinevintagebmx.com/redline-history</x:v>
      </x:c>
      <x:c r="K14" s="26" t="str">
        <x:v>OPEN</x:v>
      </x:c>
    </x:row>
    <x:row r="15" ht="84" customHeight="1">
      <x:c r="A15" s="26" t="str">
        <x:v>V17-PS-011</x:v>
      </x:c>
      <x:c r="B15" s="26" t="str">
        <x:v>Auburn</x:v>
      </x:c>
      <x:c r="C15" s="26" t="str">
        <x:v>Historical catalog/price-sheet workstream</x:v>
      </x:c>
      <x:c r="D15" s="26" t="str">
        <x:v>1988–1996</x:v>
      </x:c>
      <x:c r="E15" s="26" t="str">
        <x:v>No controlled values yet</x:v>
      </x:c>
      <x:c r="F15" s="26" t="str">
        <x:v>Ads and catalog specifications recovered; no reliable period price sheet.</x:v>
      </x:c>
      <x:c r="G15" s="26" t="str">
        <x:v>Unresolved</x:v>
      </x:c>
      <x:c r="H15" s="26" t="str">
        <x:v>Research gap</x:v>
      </x:c>
      <x:c r="I15" s="26" t="str">
        <x:v>Community comment valuations and sale asking prices are excluded.</x:v>
      </x:c>
      <x:c r="J15" s="26" t="str">
        <x:v>https://auburnbmx.wordpress.com/</x:v>
      </x:c>
      <x:c r="K15" s="26" t="str">
        <x:v>OPEN</x:v>
      </x:c>
    </x:row>
    <x:row r="16" ht="84" customHeight="1">
      <x:c r="A16" s="26" t="str">
        <x:v>V17-PS-012</x:v>
      </x:c>
      <x:c r="B16" s="26" t="str">
        <x:v>SE Racing</x:v>
      </x:c>
      <x:c r="C16" s="26" t="str">
        <x:v>Historical catalog/price-sheet workstream</x:v>
      </x:c>
      <x:c r="D16" s="26" t="str">
        <x:v>1970s–1990s</x:v>
      </x:c>
      <x:c r="E16" s="26" t="str">
        <x:v>No controlled values yet</x:v>
      </x:c>
      <x:c r="F16" s="26" t="str">
        <x:v>Official history and exact bikes recovered; manufacturer price documentation remains open.</x:v>
      </x:c>
      <x:c r="G16" s="26" t="str">
        <x:v>Unresolved</x:v>
      </x:c>
      <x:c r="H16" s="26" t="str">
        <x:v>Research gap</x:v>
      </x:c>
      <x:c r="I16" s="26" t="str">
        <x:v>Modern heritage prices cannot be substituted.</x:v>
      </x:c>
      <x:c r="J16" s="26" t="str">
        <x:v>https://www.sebikes.com/pages/perry-kramer</x:v>
      </x:c>
      <x:c r="K16" s="26" t="str">
        <x:v>OPEN</x:v>
      </x:c>
    </x:row>
  </x:sheetData>
  <x:mergeCells>
    <x:mergeCell ref="A1:K1"/>
    <x:mergeCell ref="A2:K2"/>
  </x:mergeCells>
  <x:pageMargins left="0.7" right="0.7" top="0.75" bottom="0.75" header="0.3" footer="0.3"/>
  <x:tableParts count="1">
    <x:tablePart xmlns:r="http://schemas.openxmlformats.org/officeDocument/2006/relationships" r:id="R8ef8c34d97dd4b82"/>
  </x:tableParts>
</x:worksheet>
</file>

<file path=xl/worksheets/sheet123.xml><?xml version="1.0" encoding="utf-8"?>
<x:worksheet xmlns:x="http://schemas.openxmlformats.org/spreadsheetml/2006/main">
  <x:sheetFormatPr defaultRowHeight="15"/>
  <x:cols>
    <x:col min="1" max="1" width="15" hidden="0" customWidth="1"/>
    <x:col min="2" max="2" width="15" hidden="0" customWidth="1"/>
    <x:col min="3" max="3" width="16" hidden="0" customWidth="1"/>
    <x:col min="4" max="4" width="36" hidden="0" customWidth="1"/>
    <x:col min="5" max="5" width="22" hidden="0" customWidth="1"/>
    <x:col min="6" max="6" width="18" hidden="0" customWidth="1"/>
    <x:col min="7" max="7" width="16" hidden="0" customWidth="1"/>
    <x:col min="8" max="8" width="16" hidden="0" customWidth="1"/>
    <x:col min="9" max="9" width="20" hidden="0" customWidth="1"/>
    <x:col min="10" max="10" width="38" hidden="0" customWidth="1"/>
    <x:col min="11" max="11" width="22" hidden="0" customWidth="1"/>
    <x:col min="12" max="12" width="34" hidden="0" customWidth="1"/>
    <x:col min="13" max="13" width="20" hidden="0" customWidth="1"/>
    <x:col min="14" max="14" width="60" hidden="0" customWidth="1"/>
    <x:col min="15" max="15" width="48" hidden="0" customWidth="1"/>
    <x:col min="16" max="16" width="22" hidden="0" customWidth="1"/>
  </x:cols>
  <x:sheetData>
    <x:row r="1" ht="31" customHeight="1">
      <x:c r="A1" s="621" t="str">
        <x:v>v1.7 Normalized Price Observations</x:v>
      </x:c>
      <x:c r="B1" s="621"/>
      <x:c r="C1" s="621"/>
      <x:c r="D1" s="621"/>
      <x:c r="E1" s="621"/>
      <x:c r="F1" s="621"/>
      <x:c r="G1" s="621"/>
      <x:c r="H1" s="621"/>
      <x:c r="I1" s="621"/>
      <x:c r="J1" s="621"/>
      <x:c r="K1" s="621"/>
      <x:c r="L1" s="621"/>
      <x:c r="M1" s="621"/>
      <x:c r="N1" s="621"/>
      <x:c r="O1" s="621"/>
      <x:c r="P1" s="621"/>
    </x:row>
    <x:row r="2" ht="31" customHeight="1">
      <x:c r="A2" s="626" t="str">
        <x:v>Every numeric value retains brand, date, currency, geography, source and price basis. No inflation adjustment or cross-source averaging is performed.</x:v>
      </x:c>
      <x:c r="B2" s="626"/>
      <x:c r="C2" s="626"/>
      <x:c r="D2" s="626"/>
      <x:c r="E2" s="626"/>
      <x:c r="F2" s="626"/>
      <x:c r="G2" s="626"/>
      <x:c r="H2" s="626"/>
      <x:c r="I2" s="626"/>
      <x:c r="J2" s="626"/>
      <x:c r="K2" s="626"/>
      <x:c r="L2" s="626"/>
      <x:c r="M2" s="626"/>
      <x:c r="N2" s="626"/>
      <x:c r="O2" s="626"/>
      <x:c r="P2" s="626"/>
    </x:row>
    <x:row r="4">
      <x:c r="A4" s="631" t="str">
        <x:v>Price ID</x:v>
      </x:c>
      <x:c r="B4" s="631" t="str">
        <x:v>Source ID</x:v>
      </x:c>
      <x:c r="C4" s="631" t="str">
        <x:v>Brand</x:v>
      </x:c>
      <x:c r="D4" s="631" t="str">
        <x:v>Product / Object</x:v>
      </x:c>
      <x:c r="E4" s="631" t="str">
        <x:v>Product Type</x:v>
      </x:c>
      <x:c r="F4" s="631" t="str">
        <x:v>Date</x:v>
      </x:c>
      <x:c r="G4" s="631" t="str">
        <x:v>Price Numeric</x:v>
      </x:c>
      <x:c r="H4" s="631" t="str">
        <x:v>Currency</x:v>
      </x:c>
      <x:c r="I4" s="631" t="str">
        <x:v>Displayed Price</x:v>
      </x:c>
      <x:c r="J4" s="631" t="str">
        <x:v>Price Basis</x:v>
      </x:c>
      <x:c r="K4" s="631" t="str">
        <x:v>Geography</x:v>
      </x:c>
      <x:c r="L4" s="631" t="str">
        <x:v>Source Type</x:v>
      </x:c>
      <x:c r="M4" s="631" t="str">
        <x:v>Confidence</x:v>
      </x:c>
      <x:c r="N4" s="631" t="str">
        <x:v>Source URL</x:v>
      </x:c>
      <x:c r="O4" s="631" t="str">
        <x:v>Normalization Note</x:v>
      </x:c>
      <x:c r="P4" s="631" t="str">
        <x:v>Status</x:v>
      </x:c>
    </x:row>
    <x:row r="5" ht="78" customHeight="1">
      <x:c r="A5" s="26" t="str">
        <x:v>V17-PR-001</x:v>
      </x:c>
      <x:c r="B5" s="26" t="str">
        <x:v>V17-PS-001</x:v>
      </x:c>
      <x:c r="C5" s="26" t="str">
        <x:v>Hutch</x:v>
      </x:c>
      <x:c r="D5" s="26" t="str">
        <x:v>Pro Racer</x:v>
      </x:c>
      <x:c r="E5" s="26" t="str">
        <x:v>Complete bicycle</x:v>
      </x:c>
      <x:c r="F5" s="26" t="str">
        <x:v>1981</x:v>
      </x:c>
      <x:c r="G5" s="632" t="n">
        <x:v>419.75</x:v>
      </x:c>
      <x:c r="H5" s="26" t="str">
        <x:v>USD</x:v>
      </x:c>
      <x:c r="I5" s="26" t="str">
        <x:v>$419.75</x:v>
      </x:c>
      <x:c r="J5" s="26" t="str">
        <x:v>Historical retail price stated by current official brand</x:v>
      </x:c>
      <x:c r="K5" s="26" t="str">
        <x:v>United States</x:v>
      </x:c>
      <x:c r="L5" s="26" t="str">
        <x:v>Official retrospective history</x:v>
      </x:c>
      <x:c r="M5" s="26" t="str">
        <x:v>HIGH attributed</x:v>
      </x:c>
      <x:c r="N5" s="26" t="str">
        <x:v>https://hutchbmx.com/store/index.php?id=5&amp;main_page=page</x:v>
      </x:c>
      <x:c r="O5" s="26" t="str">
        <x:v>Original price-sheet/catalog object not yet recovered.</x:v>
      </x:c>
      <x:c r="P5" s="26" t="str">
        <x:v>RETAIN</x:v>
      </x:c>
    </x:row>
    <x:row r="6" ht="78" customHeight="1">
      <x:c r="A6" s="26" t="str">
        <x:v>V17-PR-002</x:v>
      </x:c>
      <x:c r="B6" s="26" t="str">
        <x:v>V17-PS-001</x:v>
      </x:c>
      <x:c r="C6" s="26" t="str">
        <x:v>Hutch</x:v>
      </x:c>
      <x:c r="D6" s="26" t="str">
        <x:v>LiL Hole Shot</x:v>
      </x:c>
      <x:c r="E6" s="26" t="str">
        <x:v>Complete bicycle</x:v>
      </x:c>
      <x:c r="F6" s="26" t="str">
        <x:v>1981</x:v>
      </x:c>
      <x:c r="G6" s="632" t="n">
        <x:v>439.75</x:v>
      </x:c>
      <x:c r="H6" s="26" t="str">
        <x:v>USD</x:v>
      </x:c>
      <x:c r="I6" s="26" t="str">
        <x:v>$439.75</x:v>
      </x:c>
      <x:c r="J6" s="26" t="str">
        <x:v>Historical retail price stated by current official brand</x:v>
      </x:c>
      <x:c r="K6" s="26" t="str">
        <x:v>United States</x:v>
      </x:c>
      <x:c r="L6" s="26" t="str">
        <x:v>Official retrospective history</x:v>
      </x:c>
      <x:c r="M6" s="26" t="str">
        <x:v>HIGH attributed</x:v>
      </x:c>
      <x:c r="N6" s="26" t="str">
        <x:v>https://hutchbmx.com/store/index.php?id=5&amp;main_page=page</x:v>
      </x:c>
      <x:c r="O6" s="26" t="str">
        <x:v>Not proof of every dealer's transaction price.</x:v>
      </x:c>
      <x:c r="P6" s="26" t="str">
        <x:v>RETAIN</x:v>
      </x:c>
    </x:row>
    <x:row r="7" ht="78" customHeight="1">
      <x:c r="A7" s="26" t="str">
        <x:v>V17-PR-003</x:v>
      </x:c>
      <x:c r="B7" s="26" t="str">
        <x:v>V17-PS-006</x:v>
      </x:c>
      <x:c r="C7" s="26" t="str">
        <x:v>Hutch</x:v>
      </x:c>
      <x:c r="D7" s="26" t="str">
        <x:v>Pro or Expert chrome frame/fork</x:v>
      </x:c>
      <x:c r="E7" s="26" t="str">
        <x:v>Frameset</x:v>
      </x:c>
      <x:c r="F7" s="26" t="str">
        <x:v>Jul 1983</x:v>
      </x:c>
      <x:c r="G7" s="632" t="n">
        <x:v>139.95</x:v>
      </x:c>
      <x:c r="H7" s="26" t="str">
        <x:v>GBP</x:v>
      </x:c>
      <x:c r="I7" s="26" t="str">
        <x:v>£139.95</x:v>
      </x:c>
      <x:c r="J7" s="26" t="str">
        <x:v>Advertised retailer price plus postage</x:v>
      </x:c>
      <x:c r="K7" s="26" t="str">
        <x:v>United Kingdom</x:v>
      </x:c>
      <x:c r="L7" s="26" t="str">
        <x:v>Period retailer advertisement</x:v>
      </x:c>
      <x:c r="M7" s="26" t="str">
        <x:v>MEDIUM-HIGH</x:v>
      </x:c>
      <x:c r="N7" s="26" t="str">
        <x:v>https://previouspage.co.uk/magazines/BMX%20Action%20Bike/issues/62-july-nineteen-eighty-three</x:v>
      </x:c>
      <x:c r="O7" s="26" t="str">
        <x:v>Model distinction unresolved in indexed line.</x:v>
      </x:c>
      <x:c r="P7" s="26" t="str">
        <x:v>RETAIN</x:v>
      </x:c>
    </x:row>
    <x:row r="8" ht="78" customHeight="1">
      <x:c r="A8" s="26" t="str">
        <x:v>V17-PR-004</x:v>
      </x:c>
      <x:c r="B8" s="26" t="str">
        <x:v>V17-PS-003</x:v>
      </x:c>
      <x:c r="C8" s="26" t="str">
        <x:v>Haro</x:v>
      </x:c>
      <x:c r="D8" s="26" t="str">
        <x:v>Master frame and fork</x:v>
      </x:c>
      <x:c r="E8" s="26" t="str">
        <x:v>Frameset</x:v>
      </x:c>
      <x:c r="F8" s="26" t="str">
        <x:v>Mar 1986</x:v>
      </x:c>
      <x:c r="G8" s="632" t="n">
        <x:v>174</x:v>
      </x:c>
      <x:c r="H8" s="26" t="str">
        <x:v>USD</x:v>
      </x:c>
      <x:c r="I8" s="26" t="str">
        <x:v>$174.00</x:v>
      </x:c>
      <x:c r="J8" s="26" t="str">
        <x:v>Advertised retailer price</x:v>
      </x:c>
      <x:c r="K8" s="26" t="str">
        <x:v>United States</x:v>
      </x:c>
      <x:c r="L8" s="26" t="str">
        <x:v>Period retailer advertisement</x:v>
      </x:c>
      <x:c r="M8" s="26" t="str">
        <x:v>MEDIUM-HIGH</x:v>
      </x:c>
      <x:c r="N8" s="26" t="str">
        <x:v>https://www.previouspage.co.uk/issues/32-march-nineteen-eighty-six</x:v>
      </x:c>
      <x:c r="O8" s="26" t="str">
        <x:v>Not MSRP; source-specific.</x:v>
      </x:c>
      <x:c r="P8" s="26" t="str">
        <x:v>RETAIN</x:v>
      </x:c>
    </x:row>
    <x:row r="9" ht="78" customHeight="1">
      <x:c r="A9" s="26" t="str">
        <x:v>V17-PR-005</x:v>
      </x:c>
      <x:c r="B9" s="26" t="str">
        <x:v>V17-PS-003</x:v>
      </x:c>
      <x:c r="C9" s="26" t="str">
        <x:v>Haro</x:v>
      </x:c>
      <x:c r="D9" s="26" t="str">
        <x:v>Sport frame and fork</x:v>
      </x:c>
      <x:c r="E9" s="26" t="str">
        <x:v>Frameset</x:v>
      </x:c>
      <x:c r="F9" s="26" t="str">
        <x:v>Mar 1986</x:v>
      </x:c>
      <x:c r="G9" s="632" t="n">
        <x:v>165</x:v>
      </x:c>
      <x:c r="H9" s="26" t="str">
        <x:v>USD</x:v>
      </x:c>
      <x:c r="I9" s="26" t="str">
        <x:v>$165.00</x:v>
      </x:c>
      <x:c r="J9" s="26" t="str">
        <x:v>Advertised retailer price</x:v>
      </x:c>
      <x:c r="K9" s="26" t="str">
        <x:v>United States</x:v>
      </x:c>
      <x:c r="L9" s="26" t="str">
        <x:v>Period retailer advertisement</x:v>
      </x:c>
      <x:c r="M9" s="26" t="str">
        <x:v>MEDIUM-HIGH</x:v>
      </x:c>
      <x:c r="N9" s="26" t="str">
        <x:v>https://www.previouspage.co.uk/issues/32-march-nineteen-eighty-six</x:v>
      </x:c>
      <x:c r="O9" s="26" t="str">
        <x:v>Not MSRP; source-specific.</x:v>
      </x:c>
      <x:c r="P9" s="26" t="str">
        <x:v>RETAIN</x:v>
      </x:c>
    </x:row>
    <x:row r="10" ht="78" customHeight="1">
      <x:c r="A10" s="26" t="str">
        <x:v>V17-PR-006</x:v>
      </x:c>
      <x:c r="B10" s="26" t="str">
        <x:v>V17-PS-002</x:v>
      </x:c>
      <x:c r="C10" s="26" t="str">
        <x:v>Haro</x:v>
      </x:c>
      <x:c r="D10" s="26" t="str">
        <x:v>FST</x:v>
      </x:c>
      <x:c r="E10" s="26" t="str">
        <x:v>Complete bicycle</x:v>
      </x:c>
      <x:c r="F10" s="26" t="str">
        <x:v>Aug 1987</x:v>
      </x:c>
      <x:c r="G10" s="632" t="n">
        <x:v>199.95</x:v>
      </x:c>
      <x:c r="H10" s="26" t="str">
        <x:v>USD</x:v>
      </x:c>
      <x:c r="I10" s="26" t="str">
        <x:v>$199.95</x:v>
      </x:c>
      <x:c r="J10" s="26" t="str">
        <x:v>Advertised retailer/mail-order price</x:v>
      </x:c>
      <x:c r="K10" s="26" t="str">
        <x:v>United States</x:v>
      </x:c>
      <x:c r="L10" s="26" t="str">
        <x:v>Period retailer advertisement</x:v>
      </x:c>
      <x:c r="M10" s="26" t="str">
        <x:v>MEDIUM-HIGH</x:v>
      </x:c>
      <x:c r="N10" s="26" t="str">
        <x:v>https://previouspage.co.uk/issues/245-august-nineteen-eighty-seven</x:v>
      </x:c>
      <x:c r="O10" s="26" t="str">
        <x:v>Separate seller/page from existing Haro observations.</x:v>
      </x:c>
      <x:c r="P10" s="26" t="str">
        <x:v>RETAIN</x:v>
      </x:c>
    </x:row>
    <x:row r="11" ht="78" customHeight="1">
      <x:c r="A11" s="26" t="str">
        <x:v>V17-PR-007</x:v>
      </x:c>
      <x:c r="B11" s="26" t="str">
        <x:v>V17-PS-002</x:v>
      </x:c>
      <x:c r="C11" s="26" t="str">
        <x:v>Haro</x:v>
      </x:c>
      <x:c r="D11" s="26" t="str">
        <x:v>Sport</x:v>
      </x:c>
      <x:c r="E11" s="26" t="str">
        <x:v>Complete bicycle</x:v>
      </x:c>
      <x:c r="F11" s="26" t="str">
        <x:v>Aug 1987</x:v>
      </x:c>
      <x:c r="G11" s="632" t="n">
        <x:v>289.95</x:v>
      </x:c>
      <x:c r="H11" s="26" t="str">
        <x:v>USD</x:v>
      </x:c>
      <x:c r="I11" s="26" t="str">
        <x:v>$289.95</x:v>
      </x:c>
      <x:c r="J11" s="26" t="str">
        <x:v>Advertised retailer/mail-order price</x:v>
      </x:c>
      <x:c r="K11" s="26" t="str">
        <x:v>United States</x:v>
      </x:c>
      <x:c r="L11" s="26" t="str">
        <x:v>Period retailer advertisement</x:v>
      </x:c>
      <x:c r="M11" s="26" t="str">
        <x:v>MEDIUM-HIGH</x:v>
      </x:c>
      <x:c r="N11" s="26" t="str">
        <x:v>https://previouspage.co.uk/issues/245-august-nineteen-eighty-seven</x:v>
      </x:c>
      <x:c r="O11" s="26" t="str">
        <x:v>Not MSRP.</x:v>
      </x:c>
      <x:c r="P11" s="26" t="str">
        <x:v>RETAIN</x:v>
      </x:c>
    </x:row>
    <x:row r="12" ht="78" customHeight="1">
      <x:c r="A12" s="26" t="str">
        <x:v>V17-PR-008</x:v>
      </x:c>
      <x:c r="B12" s="26" t="str">
        <x:v>V17-PS-002</x:v>
      </x:c>
      <x:c r="C12" s="26" t="str">
        <x:v>Haro</x:v>
      </x:c>
      <x:c r="D12" s="26" t="str">
        <x:v>Master</x:v>
      </x:c>
      <x:c r="E12" s="26" t="str">
        <x:v>Complete bicycle</x:v>
      </x:c>
      <x:c r="F12" s="26" t="str">
        <x:v>Aug 1987</x:v>
      </x:c>
      <x:c r="G12" s="632" t="n">
        <x:v>379.95</x:v>
      </x:c>
      <x:c r="H12" s="26" t="str">
        <x:v>USD</x:v>
      </x:c>
      <x:c r="I12" s="26" t="str">
        <x:v>$379.95</x:v>
      </x:c>
      <x:c r="J12" s="26" t="str">
        <x:v>Advertised retailer/mail-order price</x:v>
      </x:c>
      <x:c r="K12" s="26" t="str">
        <x:v>United States</x:v>
      </x:c>
      <x:c r="L12" s="26" t="str">
        <x:v>Period retailer advertisement</x:v>
      </x:c>
      <x:c r="M12" s="26" t="str">
        <x:v>MEDIUM-HIGH</x:v>
      </x:c>
      <x:c r="N12" s="26" t="str">
        <x:v>https://previouspage.co.uk/issues/245-august-nineteen-eighty-seven</x:v>
      </x:c>
      <x:c r="O12" s="26" t="str">
        <x:v>Distinct from another August 1987 seller observation already in register.</x:v>
      </x:c>
      <x:c r="P12" s="26" t="str">
        <x:v>RETAIN</x:v>
      </x:c>
    </x:row>
    <x:row r="13" ht="78" customHeight="1">
      <x:c r="A13" s="26" t="str">
        <x:v>V17-PR-009</x:v>
      </x:c>
      <x:c r="B13" s="26" t="str">
        <x:v>V17-FLY-002</x:v>
      </x:c>
      <x:c r="C13" s="26" t="str">
        <x:v>Haro</x:v>
      </x:c>
      <x:c r="D13" s="26" t="str">
        <x:v>1987 catalog</x:v>
      </x:c>
      <x:c r="E13" s="26" t="str">
        <x:v>Catalog</x:v>
      </x:c>
      <x:c r="F13" s="26" t="str">
        <x:v>Jun 1987</x:v>
      </x:c>
      <x:c r="G13" s="632" t="n">
        <x:v>2</x:v>
      </x:c>
      <x:c r="H13" s="26" t="str">
        <x:v>USD</x:v>
      </x:c>
      <x:c r="I13" s="26" t="str">
        <x:v>$2.00</x:v>
      </x:c>
      <x:c r="J13" s="26" t="str">
        <x:v>Catalog order fee; refundable with next order</x:v>
      </x:c>
      <x:c r="K13" s="26" t="str">
        <x:v>United States</x:v>
      </x:c>
      <x:c r="L13" s="26" t="str">
        <x:v>Period mail-order page</x:v>
      </x:c>
      <x:c r="M13" s="26" t="str">
        <x:v>HIGH</x:v>
      </x:c>
      <x:c r="N13" s="26" t="str">
        <x:v>https://previouspage.co.uk/magazines/BMX%20Plus/issues/242-june-nineteen-eighty-seven</x:v>
      </x:c>
      <x:c r="O13" s="26" t="str">
        <x:v>Not a product price.</x:v>
      </x:c>
      <x:c r="P13" s="26" t="str">
        <x:v>RETAIN</x:v>
      </x:c>
    </x:row>
    <x:row r="14" ht="78" customHeight="1">
      <x:c r="A14" s="26" t="str">
        <x:v>V17-PR-010</x:v>
      </x:c>
      <x:c r="B14" s="26" t="str">
        <x:v>V17-FLY-001</x:v>
      </x:c>
      <x:c r="C14" s="26" t="str">
        <x:v>Haro/Fusion</x:v>
      </x:c>
      <x:c r="D14" s="26" t="str">
        <x:v>1991 catalog</x:v>
      </x:c>
      <x:c r="E14" s="26" t="str">
        <x:v>Catalog</x:v>
      </x:c>
      <x:c r="F14" s="26" t="str">
        <x:v>Nov 1991</x:v>
      </x:c>
      <x:c r="G14" s="632" t="n">
        <x:v>2</x:v>
      </x:c>
      <x:c r="H14" s="26" t="str">
        <x:v>USD</x:v>
      </x:c>
      <x:c r="I14" s="26" t="str">
        <x:v>$2.00</x:v>
      </x:c>
      <x:c r="J14" s="26" t="str">
        <x:v>Catalog request fee</x:v>
      </x:c>
      <x:c r="K14" s="26" t="str">
        <x:v>United States</x:v>
      </x:c>
      <x:c r="L14" s="26" t="str">
        <x:v>Period mailer</x:v>
      </x:c>
      <x:c r="M14" s="26" t="str">
        <x:v>HIGH</x:v>
      </x:c>
      <x:c r="N14" s="26" t="str">
        <x:v>https://www.previouspage.co.uk/issues/131-november-nineteen-ninety-one</x:v>
      </x:c>
      <x:c r="O14" s="26" t="str">
        <x:v>Different edition/offer from 1987.</x:v>
      </x:c>
      <x:c r="P14" s="26" t="str">
        <x:v>RETAIN</x:v>
      </x:c>
    </x:row>
    <x:row r="15" ht="78" customHeight="1">
      <x:c r="A15" s="26" t="str">
        <x:v>V17-PR-011</x:v>
      </x:c>
      <x:c r="B15" s="26" t="str">
        <x:v>V17-PS-005</x:v>
      </x:c>
      <x:c r="C15" s="26" t="str">
        <x:v>Mongoose</x:v>
      </x:c>
      <x:c r="D15" s="26" t="str">
        <x:v>Pro Class</x:v>
      </x:c>
      <x:c r="E15" s="26" t="str">
        <x:v>Complete bicycle</x:v>
      </x:c>
      <x:c r="F15" s="26" t="str">
        <x:v>Aug 1983</x:v>
      </x:c>
      <x:c r="G15" s="632" t="n">
        <x:v>346</x:v>
      </x:c>
      <x:c r="H15" s="26" t="str">
        <x:v>GBP</x:v>
      </x:c>
      <x:c r="I15" s="26" t="str">
        <x:v>£346</x:v>
      </x:c>
      <x:c r="J15" s="26" t="str">
        <x:v>Advertised retailer price</x:v>
      </x:c>
      <x:c r="K15" s="26" t="str">
        <x:v>United Kingdom</x:v>
      </x:c>
      <x:c r="L15" s="26" t="str">
        <x:v>Period retailer advertisement</x:v>
      </x:c>
      <x:c r="M15" s="26" t="str">
        <x:v>MEDIUM-HIGH</x:v>
      </x:c>
      <x:c r="N15" s="26" t="str">
        <x:v>https://previouspage.co.uk/magazines/BMX%20Action%20Bike/issues/63-august-nineteen-eighty-three</x:v>
      </x:c>
      <x:c r="O15" s="26" t="str">
        <x:v>Seller/configuration require page confirmation.</x:v>
      </x:c>
      <x:c r="P15" s="26" t="str">
        <x:v>RETAIN</x:v>
      </x:c>
    </x:row>
    <x:row r="16" ht="78" customHeight="1">
      <x:c r="A16" s="26" t="str">
        <x:v>V17-PR-012</x:v>
      </x:c>
      <x:c r="B16" s="26" t="str">
        <x:v>V17-PS-004</x:v>
      </x:c>
      <x:c r="C16" s="26" t="str">
        <x:v>Mongoose</x:v>
      </x:c>
      <x:c r="D16" s="26" t="str">
        <x:v>Californian full chromoly frame</x:v>
      </x:c>
      <x:c r="E16" s="26" t="str">
        <x:v>Frame</x:v>
      </x:c>
      <x:c r="F16" s="26" t="str">
        <x:v>1985</x:v>
      </x:c>
      <x:c r="G16" s="632" t="n">
        <x:v>76.5</x:v>
      </x:c>
      <x:c r="H16" s="26" t="str">
        <x:v>AUD-LIKELY</x:v>
      </x:c>
      <x:c r="I16" s="26" t="str">
        <x:v>$76.50</x:v>
      </x:c>
      <x:c r="J16" s="26" t="str">
        <x:v>Distributor price-list figure</x:v>
      </x:c>
      <x:c r="K16" s="26" t="str">
        <x:v>Australia</x:v>
      </x:c>
      <x:c r="L16" s="26" t="str">
        <x:v>Collector summary of period list</x:v>
      </x:c>
      <x:c r="M16" s="26" t="str">
        <x:v>MEDIUM</x:v>
      </x:c>
      <x:c r="N16" s="26" t="str">
        <x:v>https://www.bloggingadeadhorse.com/hotfoot2.php</x:v>
      </x:c>
      <x:c r="O16" s="26" t="str">
        <x:v>Currency likely AUD; original legend required.</x:v>
      </x:c>
      <x:c r="P16" s="26" t="str">
        <x:v>RETAIN</x:v>
      </x:c>
    </x:row>
    <x:row r="17" ht="78" customHeight="1">
      <x:c r="A17" s="26" t="str">
        <x:v>V17-PR-013</x:v>
      </x:c>
      <x:c r="B17" s="26" t="str">
        <x:v>V17-PS-004</x:v>
      </x:c>
      <x:c r="C17" s="26" t="str">
        <x:v>Mongoose</x:v>
      </x:c>
      <x:c r="D17" s="26" t="str">
        <x:v>Pro Class rims</x:v>
      </x:c>
      <x:c r="E17" s="26" t="str">
        <x:v>Rims</x:v>
      </x:c>
      <x:c r="F17" s="26" t="str">
        <x:v>1985</x:v>
      </x:c>
      <x:c r="G17" s="632" t="n">
        <x:v>15.5</x:v>
      </x:c>
      <x:c r="H17" s="26" t="str">
        <x:v>AUD-LIKELY</x:v>
      </x:c>
      <x:c r="I17" s="26" t="str">
        <x:v>$15.50</x:v>
      </x:c>
      <x:c r="J17" s="26" t="str">
        <x:v>Distributor price-list figure</x:v>
      </x:c>
      <x:c r="K17" s="26" t="str">
        <x:v>Australia</x:v>
      </x:c>
      <x:c r="L17" s="26" t="str">
        <x:v>Collector summary</x:v>
      </x:c>
      <x:c r="M17" s="26" t="str">
        <x:v>MEDIUM</x:v>
      </x:c>
      <x:c r="N17" s="26" t="str">
        <x:v>https://www.bloggingadeadhorse.com/hotfoot2.php</x:v>
      </x:c>
      <x:c r="O17" s="26" t="str">
        <x:v>Unit/pair basis unresolved.</x:v>
      </x:c>
      <x:c r="P17" s="26" t="str">
        <x:v>RETAIN</x:v>
      </x:c>
    </x:row>
    <x:row r="18" ht="78" customHeight="1">
      <x:c r="A18" s="26" t="str">
        <x:v>V17-PR-014</x:v>
      </x:c>
      <x:c r="B18" s="26" t="str">
        <x:v>V17-PS-004</x:v>
      </x:c>
      <x:c r="C18" s="26" t="str">
        <x:v>Mongoose</x:v>
      </x:c>
      <x:c r="D18" s="26" t="str">
        <x:v>Pad set</x:v>
      </x:c>
      <x:c r="E18" s="26" t="str">
        <x:v>Pad set</x:v>
      </x:c>
      <x:c r="F18" s="26" t="str">
        <x:v>1985</x:v>
      </x:c>
      <x:c r="G18" s="632" t="n">
        <x:v>5.65</x:v>
      </x:c>
      <x:c r="H18" s="26" t="str">
        <x:v>AUD-LIKELY</x:v>
      </x:c>
      <x:c r="I18" s="26" t="str">
        <x:v>$5.65</x:v>
      </x:c>
      <x:c r="J18" s="26" t="str">
        <x:v>Distributor price-list figure</x:v>
      </x:c>
      <x:c r="K18" s="26" t="str">
        <x:v>Australia</x:v>
      </x:c>
      <x:c r="L18" s="26" t="str">
        <x:v>Collector summary</x:v>
      </x:c>
      <x:c r="M18" s="26" t="str">
        <x:v>MEDIUM</x:v>
      </x:c>
      <x:c r="N18" s="26" t="str">
        <x:v>https://www.bloggingadeadhorse.com/hotfoot2.php</x:v>
      </x:c>
      <x:c r="O18" s="26" t="str">
        <x:v>Contents and currency need scan verification.</x:v>
      </x:c>
      <x:c r="P18" s="26" t="str">
        <x:v>RETAIN</x:v>
      </x:c>
    </x:row>
    <x:row r="19" ht="78" customHeight="1">
      <x:c r="A19" s="26" t="str">
        <x:v>V17-PR-015</x:v>
      </x:c>
      <x:c r="B19" s="26" t="str">
        <x:v>V17-FLY-003</x:v>
      </x:c>
      <x:c r="C19" s="26" t="str">
        <x:v>Mongoose</x:v>
      </x:c>
      <x:c r="D19" s="26" t="str">
        <x:v>Catalog and sticker pack</x:v>
      </x:c>
      <x:c r="E19" s="26" t="str">
        <x:v>Catalog/promotional pack</x:v>
      </x:c>
      <x:c r="F19" s="26" t="str">
        <x:v>Feb 1992</x:v>
      </x:c>
      <x:c r="G19" s="632" t="n">
        <x:v>3</x:v>
      </x:c>
      <x:c r="H19" s="26" t="str">
        <x:v>USD</x:v>
      </x:c>
      <x:c r="I19" s="26" t="str">
        <x:v>$3.00</x:v>
      </x:c>
      <x:c r="J19" s="26" t="str">
        <x:v>Catalog and sticker-pack fee</x:v>
      </x:c>
      <x:c r="K19" s="26" t="str">
        <x:v>United States</x:v>
      </x:c>
      <x:c r="L19" s="26" t="str">
        <x:v>Period advertisement</x:v>
      </x:c>
      <x:c r="M19" s="26" t="str">
        <x:v>HIGH</x:v>
      </x:c>
      <x:c r="N19" s="26" t="str">
        <x:v>https://previouspage.co.uk/magazines/Go/issues/133-february-nineteen-ninety-two</x:v>
      </x:c>
      <x:c r="O19" s="26" t="str">
        <x:v>Not a bicycle/component price.</x:v>
      </x:c>
      <x:c r="P19" s="26" t="str">
        <x:v>RETAIN</x:v>
      </x:c>
    </x:row>
    <x:row r="20" ht="78" customHeight="1">
      <x:c r="A20" s="26" t="str">
        <x:v>V17-PR-016</x:v>
      </x:c>
      <x:c r="B20" s="26" t="str">
        <x:v>V17-PS-007</x:v>
      </x:c>
      <x:c r="C20" s="26" t="str">
        <x:v>ELF</x:v>
      </x:c>
      <x:c r="D20" s="26" t="str">
        <x:v>Team Series Double Cross</x:v>
      </x:c>
      <x:c r="E20" s="26" t="str">
        <x:v>Complete bicycle</x:v>
      </x:c>
      <x:c r="F20" s="26" t="str">
        <x:v>1997</x:v>
      </x:c>
      <x:c r="G20" s="632" t="n">
        <x:v>515.95</x:v>
      </x:c>
      <x:c r="H20" s="26" t="str">
        <x:v>USD</x:v>
      </x:c>
      <x:c r="I20" s="26" t="str">
        <x:v>$515.95</x:v>
      </x:c>
      <x:c r="J20" s="26" t="str">
        <x:v>Reported MSRP</x:v>
      </x:c>
      <x:c r="K20" s="26" t="str">
        <x:v>United States</x:v>
      </x:c>
      <x:c r="L20" s="26" t="str">
        <x:v>Secondary specification database</x:v>
      </x:c>
      <x:c r="M20" s="26" t="str">
        <x:v>MEDIUM</x:v>
      </x:c>
      <x:c r="N20" s="26" t="str">
        <x:v>https://www.bikepedia.com/QuickBike/BikeSpecs.aspx?item=66894</x:v>
      </x:c>
      <x:c r="O20" s="26" t="str">
        <x:v>Verify against period ELF catalog or dealer sheet.</x:v>
      </x:c>
      <x:c r="P20" s="26" t="str">
        <x:v>RETAIN WITH CAUTION</x:v>
      </x:c>
    </x:row>
  </x:sheetData>
  <x:mergeCells>
    <x:mergeCell ref="A1:P1"/>
    <x:mergeCell ref="A2:P2"/>
  </x:mergeCells>
  <x:pageMargins left="0.7" right="0.7" top="0.75" bottom="0.75" header="0.3" footer="0.3"/>
  <x:tableParts count="1">
    <x:tablePart xmlns:r="http://schemas.openxmlformats.org/officeDocument/2006/relationships" r:id="Rae32446bb27943a1"/>
  </x:tableParts>
</x:worksheet>
</file>

<file path=xl/worksheets/sheet124.xml><?xml version="1.0" encoding="utf-8"?>
<x:worksheet xmlns:x="http://schemas.openxmlformats.org/spreadsheetml/2006/main">
  <x:sheetFormatPr defaultRowHeight="15"/>
  <x:cols>
    <x:col min="1" max="1" width="15" hidden="0" customWidth="1"/>
    <x:col min="2" max="2" width="16" hidden="0" customWidth="1"/>
    <x:col min="3" max="3" width="32" hidden="0" customWidth="1"/>
    <x:col min="4" max="4" width="22" hidden="0" customWidth="1"/>
    <x:col min="5" max="5" width="40" hidden="0" customWidth="1"/>
    <x:col min="6" max="6" width="44" hidden="0" customWidth="1"/>
    <x:col min="7" max="7" width="20" hidden="0" customWidth="1"/>
    <x:col min="8" max="8" width="52" hidden="0" customWidth="1"/>
    <x:col min="9" max="9" width="60" hidden="0" customWidth="1"/>
    <x:col min="10" max="10" width="24" hidden="0" customWidth="1"/>
  </x:cols>
  <x:sheetData>
    <x:row r="1" ht="31" customHeight="1">
      <x:c r="A1" s="621" t="str">
        <x:v>v1.7 BMXMuseum Exact Objects and Reference Leads</x:v>
      </x:c>
      <x:c r="B1" s="621"/>
      <x:c r="C1" s="621"/>
      <x:c r="D1" s="621"/>
      <x:c r="E1" s="621"/>
      <x:c r="F1" s="621"/>
      <x:c r="G1" s="621"/>
      <x:c r="H1" s="621"/>
      <x:c r="I1" s="621"/>
      <x:c r="J1" s="621"/>
    </x:row>
    <x:row r="2" ht="31" customHeight="1">
      <x:c r="A2" s="626" t="str">
        <x:v>Exact bike IDs, exact reference IDs and title-only catalog leads are different evidence classes and remain visibly separated.</x:v>
      </x:c>
      <x:c r="B2" s="626"/>
      <x:c r="C2" s="626"/>
      <x:c r="D2" s="626"/>
      <x:c r="E2" s="626"/>
      <x:c r="F2" s="626"/>
      <x:c r="G2" s="626"/>
      <x:c r="H2" s="626"/>
      <x:c r="I2" s="626"/>
      <x:c r="J2" s="626"/>
    </x:row>
    <x:row r="4">
      <x:c r="A4" s="631" t="str">
        <x:v>Object ID</x:v>
      </x:c>
      <x:c r="B4" s="631" t="str">
        <x:v>Brand</x:v>
      </x:c>
      <x:c r="C4" s="631" t="str">
        <x:v>BMXMuseum Object</x:v>
      </x:c>
      <x:c r="D4" s="631" t="str">
        <x:v>Type</x:v>
      </x:c>
      <x:c r="E4" s="631" t="str">
        <x:v>Public Identification</x:v>
      </x:c>
      <x:c r="F4" s="631" t="str">
        <x:v>Independent Source Control</x:v>
      </x:c>
      <x:c r="G4" s="631" t="str">
        <x:v>Confidence</x:v>
      </x:c>
      <x:c r="H4" s="631" t="str">
        <x:v>Critical Qualification</x:v>
      </x:c>
      <x:c r="I4" s="631" t="str">
        <x:v>Canonical / Discovery URL</x:v>
      </x:c>
      <x:c r="J4" s="631" t="str">
        <x:v>Status</x:v>
      </x:c>
    </x:row>
    <x:row r="5" ht="84" customHeight="1">
      <x:c r="A5" s="26" t="str">
        <x:v>V17-BMXM-001</x:v>
      </x:c>
      <x:c r="B5" s="26" t="str">
        <x:v>Haro</x:v>
      </x:c>
      <x:c r="C5" s="26" t="str">
        <x:v>Bike 117304</x:v>
      </x:c>
      <x:c r="D5" s="26" t="str">
        <x:v>Bike</x:v>
      </x:c>
      <x:c r="E5" s="26" t="str">
        <x:v>1999 Haro Master</x:v>
      </x:c>
      <x:c r="F5" s="26" t="str">
        <x:v>Official Haro archive and 1999 catalog reconstruction</x:v>
      </x:c>
      <x:c r="G5" s="26" t="str">
        <x:v>A1 exact identity</x:v>
      </x:c>
      <x:c r="H5" s="26" t="str">
        <x:v>Submitted title/year do not prove factory-correct components.</x:v>
      </x:c>
      <x:c r="I5" s="26" t="str">
        <x:v>https://www.bmxmuseum.com/bikes/haro/117304</x:v>
      </x:c>
      <x:c r="J5" s="26" t="str">
        <x:v>EXACT PUBLIC RECORD</x:v>
      </x:c>
    </x:row>
    <x:row r="6" ht="84" customHeight="1">
      <x:c r="A6" s="26" t="str">
        <x:v>V17-BMXM-002</x:v>
      </x:c>
      <x:c r="B6" s="26" t="str">
        <x:v>Haro</x:v>
      </x:c>
      <x:c r="C6" s="26" t="str">
        <x:v>1989 Haro BMX Catalog</x:v>
      </x:c>
      <x:c r="D6" s="26" t="str">
        <x:v>Reference title lead</x:v>
      </x:c>
      <x:c r="E6" s="26" t="str">
        <x:v>Publicly indexed BMXMuseum reference title</x:v>
      </x:c>
      <x:c r="F6" s="26" t="str">
        <x:v>Official Haro archive</x:v>
      </x:c>
      <x:c r="G6" s="26" t="str">
        <x:v>MEDIUM title</x:v>
      </x:c>
      <x:c r="H6" s="26" t="str">
        <x:v>Exact reference ID and edition unresolved.</x:v>
      </x:c>
      <x:c r="I6" s="26" t="str">
        <x:v>https://storage.googleapis.com/dioyjtkukhpqse/haro-bmx-catalog.html</x:v>
      </x:c>
      <x:c r="J6" s="26" t="str">
        <x:v>TITLE ONLY</x:v>
      </x:c>
    </x:row>
    <x:row r="7" ht="84" customHeight="1">
      <x:c r="A7" s="26" t="str">
        <x:v>V17-BMXM-003</x:v>
      </x:c>
      <x:c r="B7" s="26" t="str">
        <x:v>Haro</x:v>
      </x:c>
      <x:c r="C7" s="26" t="str">
        <x:v>1990 Haro BMX Catalog</x:v>
      </x:c>
      <x:c r="D7" s="26" t="str">
        <x:v>Reference title lead</x:v>
      </x:c>
      <x:c r="E7" s="26" t="str">
        <x:v>Publicly indexed BMXMuseum reference title</x:v>
      </x:c>
      <x:c r="F7" s="26" t="str">
        <x:v>Official Haro archive</x:v>
      </x:c>
      <x:c r="G7" s="26" t="str">
        <x:v>MEDIUM title</x:v>
      </x:c>
      <x:c r="H7" s="26" t="str">
        <x:v>Exact reference ID unresolved.</x:v>
      </x:c>
      <x:c r="I7" s="26" t="str">
        <x:v>https://storage.googleapis.com/dioyjtkukhpqse/haro-bmx-catalog.html</x:v>
      </x:c>
      <x:c r="J7" s="26" t="str">
        <x:v>TITLE ONLY</x:v>
      </x:c>
    </x:row>
    <x:row r="8" ht="84" customHeight="1">
      <x:c r="A8" s="26" t="str">
        <x:v>V17-BMXM-004</x:v>
      </x:c>
      <x:c r="B8" s="26" t="str">
        <x:v>Haro</x:v>
      </x:c>
      <x:c r="C8" s="26" t="str">
        <x:v>1991/1992/1993 Part 2/1996 Haro catalogs</x:v>
      </x:c>
      <x:c r="D8" s="26" t="str">
        <x:v>Reference-title cluster</x:v>
      </x:c>
      <x:c r="E8" s="26" t="str">
        <x:v>Multiple public indexed titles</x:v>
      </x:c>
      <x:c r="F8" s="26" t="str">
        <x:v>Official Haro archive and catalog reconstruction</x:v>
      </x:c>
      <x:c r="G8" s="26" t="str">
        <x:v>LOW-MEDIUM</x:v>
      </x:c>
      <x:c r="H8" s="26" t="str">
        <x:v>Do not merge titles or invent IDs.</x:v>
      </x:c>
      <x:c r="I8" s="26" t="str">
        <x:v>https://storage.googleapis.com/dioyjtkukhpqse/haro-bmx-catalog.html</x:v>
      </x:c>
      <x:c r="J8" s="26" t="str">
        <x:v>TITLE CLUSTER</x:v>
      </x:c>
    </x:row>
    <x:row r="9" ht="84" customHeight="1">
      <x:c r="A9" s="26" t="str">
        <x:v>V17-BMXM-005</x:v>
      </x:c>
      <x:c r="B9" s="26" t="str">
        <x:v>Mongoose</x:v>
      </x:c>
      <x:c r="C9" s="26" t="str">
        <x:v>Bike 136118</x:v>
      </x:c>
      <x:c r="D9" s="26" t="str">
        <x:v>Bike</x:v>
      </x:c>
      <x:c r="E9" s="26" t="str">
        <x:v>1983 Minigoose</x:v>
      </x:c>
      <x:c r="F9" s="26" t="str">
        <x:v>1982–83 Vintage Mongoose catalog</x:v>
      </x:c>
      <x:c r="G9" s="26" t="str">
        <x:v>A1 exact identity</x:v>
      </x:c>
      <x:c r="H9" s="26" t="str">
        <x:v>All-original claim remains submitted only.</x:v>
      </x:c>
      <x:c r="I9" s="26" t="str">
        <x:v>https://www.bmxmuseum.com/bikes/mongoose/136118</x:v>
      </x:c>
      <x:c r="J9" s="26" t="str">
        <x:v>EXACT PUBLIC RECORD</x:v>
      </x:c>
    </x:row>
    <x:row r="10" ht="84" customHeight="1">
      <x:c r="A10" s="26" t="str">
        <x:v>V17-BMXM-006</x:v>
      </x:c>
      <x:c r="B10" s="26" t="str">
        <x:v>Mongoose</x:v>
      </x:c>
      <x:c r="C10" s="26" t="str">
        <x:v>Bike 134583</x:v>
      </x:c>
      <x:c r="D10" s="26" t="str">
        <x:v>Bike</x:v>
      </x:c>
      <x:c r="E10" s="26" t="str">
        <x:v>1998 Outer Limit</x:v>
      </x:c>
      <x:c r="F10" s="26" t="str">
        <x:v>Later Mongoose catalog recovery needed</x:v>
      </x:c>
      <x:c r="G10" s="26" t="str">
        <x:v>A1 exact identity</x:v>
      </x:c>
      <x:c r="H10" s="26" t="str">
        <x:v>Preserve exact submitted spelling; specification open.</x:v>
      </x:c>
      <x:c r="I10" s="26" t="str">
        <x:v>https://www.bmxmuseum.com/bikes/mongoose/134583</x:v>
      </x:c>
      <x:c r="J10" s="26" t="str">
        <x:v>EXACT PUBLIC RECORD</x:v>
      </x:c>
    </x:row>
    <x:row r="11" ht="84" customHeight="1">
      <x:c r="A11" s="26" t="str">
        <x:v>V17-BMXM-007</x:v>
      </x:c>
      <x:c r="B11" s="26" t="str">
        <x:v>Mongoose</x:v>
      </x:c>
      <x:c r="C11" s="26" t="str">
        <x:v>Bike 135623</x:v>
      </x:c>
      <x:c r="D11" s="26" t="str">
        <x:v>Bike</x:v>
      </x:c>
      <x:c r="E11" s="26" t="str">
        <x:v>Super Goose; year not exposed</x:v>
      </x:c>
      <x:c r="F11" s="26" t="str">
        <x:v>Official Mongoose heritage + catalog archive</x:v>
      </x:c>
      <x:c r="G11" s="26" t="str">
        <x:v>A1 exact identity</x:v>
      </x:c>
      <x:c r="H11" s="26" t="str">
        <x:v>Milestone-post context is not model-year authentication.</x:v>
      </x:c>
      <x:c r="I11" s="26" t="str">
        <x:v>https://www.bmxmuseum.com/bikes/mongoose/135623</x:v>
      </x:c>
      <x:c r="J11" s="26" t="str">
        <x:v>EXACT PUBLIC RECORD</x:v>
      </x:c>
    </x:row>
    <x:row r="12" ht="84" customHeight="1">
      <x:c r="A12" s="26" t="str">
        <x:v>V17-BMXM-008</x:v>
      </x:c>
      <x:c r="B12" s="26" t="str">
        <x:v>Redline</x:v>
      </x:c>
      <x:c r="C12" s="26" t="str">
        <x:v>Bike 135833</x:v>
      </x:c>
      <x:c r="D12" s="26" t="str">
        <x:v>Bike</x:v>
      </x:c>
      <x:c r="E12" s="26" t="str">
        <x:v>2023 PL-26</x:v>
      </x:c>
      <x:c r="F12" s="26" t="str">
        <x:v>Current product/modern archive</x:v>
      </x:c>
      <x:c r="G12" s="26" t="str">
        <x:v>A1 exact identity</x:v>
      </x:c>
      <x:c r="H12" s="26" t="str">
        <x:v>Modern object; no old-school catalog inference.</x:v>
      </x:c>
      <x:c r="I12" s="26" t="str">
        <x:v>https://www.bmxmuseum.com/bikes/redline/135833</x:v>
      </x:c>
      <x:c r="J12" s="26" t="str">
        <x:v>EXACT PUBLIC RECORD</x:v>
      </x:c>
    </x:row>
    <x:row r="13" ht="84" customHeight="1">
      <x:c r="A13" s="26" t="str">
        <x:v>V17-BMXM-009</x:v>
      </x:c>
      <x:c r="B13" s="26" t="str">
        <x:v>Hutch</x:v>
      </x:c>
      <x:c r="C13" s="26" t="str">
        <x:v>Bike 63255</x:v>
      </x:c>
      <x:c r="D13" s="26" t="str">
        <x:v>Bike comparison</x:v>
      </x:c>
      <x:c r="E13" s="26" t="str">
        <x:v>Hutch model/finish comparison exposed in public forum</x:v>
      </x:c>
      <x:c r="F13" s="26" t="str">
        <x:v>Hutch official history and catalog reconstruction</x:v>
      </x:c>
      <x:c r="G13" s="26" t="str">
        <x:v>A2 exact backlink</x:v>
      </x:c>
      <x:c r="H13" s="26" t="str">
        <x:v>Exact submitted title/year and originality remain open.</x:v>
      </x:c>
      <x:c r="I13" s="26" t="str">
        <x:v>https://bmxmuseum.com/bikes/hutch/63255</x:v>
      </x:c>
      <x:c r="J13" s="26" t="str">
        <x:v>EXACT ID / CONTEXT PARTIAL</x:v>
      </x:c>
    </x:row>
    <x:row r="14" ht="84" customHeight="1">
      <x:c r="A14" s="26" t="str">
        <x:v>V17-BMXM-010</x:v>
      </x:c>
      <x:c r="B14" s="26" t="str">
        <x:v>Auburn</x:v>
      </x:c>
      <x:c r="C14" s="26" t="str">
        <x:v>Bikes 7968, 67331, 11076 and 36235</x:v>
      </x:c>
      <x:c r="D14" s="26" t="str">
        <x:v>Bike cluster</x:v>
      </x:c>
      <x:c r="E14" s="26" t="str">
        <x:v>Exact public Auburn records recovered in v0.4</x:v>
      </x:c>
      <x:c r="F14" s="26" t="str">
        <x:v>Todd Huffman archive and period ads</x:v>
      </x:c>
      <x:c r="G14" s="26" t="str">
        <x:v>A1/A2 exact objects</x:v>
      </x:c>
      <x:c r="H14" s="26" t="str">
        <x:v>Individual originality and model-year details remain record-specific.</x:v>
      </x:c>
      <x:c r="I14" s="26" t="str">
        <x:v>https://bmxmuseum.com/bikes/auburn_racing/</x:v>
      </x:c>
      <x:c r="J14" s="26" t="str">
        <x:v>EXACT CLUSTER</x:v>
      </x:c>
    </x:row>
    <x:row r="15" ht="84" customHeight="1">
      <x:c r="A15" s="26" t="str">
        <x:v>V17-BMXM-011</x:v>
      </x:c>
      <x:c r="B15" s="26" t="str">
        <x:v>ELF</x:v>
      </x:c>
      <x:c r="C15" s="26" t="str">
        <x:v>Bike 136181</x:v>
      </x:c>
      <x:c r="D15" s="26" t="str">
        <x:v>Bike</x:v>
      </x:c>
      <x:c r="E15" s="26" t="str">
        <x:v>1995 ELF Pro</x:v>
      </x:c>
      <x:c r="F15" s="26" t="str">
        <x:v>Official ELF history and future catalog recovery</x:v>
      </x:c>
      <x:c r="G15" s="26" t="str">
        <x:v>A1 exact identity</x:v>
      </x:c>
      <x:c r="H15" s="26" t="str">
        <x:v>Configuration and exact catalog specification remain open.</x:v>
      </x:c>
      <x:c r="I15" s="26" t="str">
        <x:v>https://www.bmxmuseum.com/bikes/elf/136181</x:v>
      </x:c>
      <x:c r="J15" s="26" t="str">
        <x:v>EXACT PUBLIC RECORD</x:v>
      </x:c>
    </x:row>
    <x:row r="16" ht="84" customHeight="1">
      <x:c r="A16" s="26" t="str">
        <x:v>V17-BMXM-012</x:v>
      </x:c>
      <x:c r="B16" s="26" t="str">
        <x:v>SE Racing</x:v>
      </x:c>
      <x:c r="C16" s="26" t="str">
        <x:v>Bike 118961</x:v>
      </x:c>
      <x:c r="D16" s="26" t="str">
        <x:v>Bike</x:v>
      </x:c>
      <x:c r="E16" s="26" t="str">
        <x:v>1979 P.K. Ripper</x:v>
      </x:c>
      <x:c r="F16" s="26" t="str">
        <x:v>Official SE/Perry Kramer heritage</x:v>
      </x:c>
      <x:c r="G16" s="26" t="str">
        <x:v>A1 exact identity</x:v>
      </x:c>
      <x:c r="H16" s="26" t="str">
        <x:v>Exact frame provenance remains open.</x:v>
      </x:c>
      <x:c r="I16" s="26" t="str">
        <x:v>https://www.bmxmuseum.com/bikes/se_racing/118961</x:v>
      </x:c>
      <x:c r="J16" s="26" t="str">
        <x:v>EXACT PUBLIC RECORD</x:v>
      </x:c>
    </x:row>
    <x:row r="17" ht="84" customHeight="1">
      <x:c r="A17" s="26" t="str">
        <x:v>V17-BMXM-013</x:v>
      </x:c>
      <x:c r="B17" s="26" t="str">
        <x:v>SE Racing</x:v>
      </x:c>
      <x:c r="C17" s="26" t="str">
        <x:v>Bike 135922</x:v>
      </x:c>
      <x:c r="D17" s="26" t="str">
        <x:v>Bike</x:v>
      </x:c>
      <x:c r="E17" s="26" t="str">
        <x:v>1983 Quadangle</x:v>
      </x:c>
      <x:c r="F17" s="26" t="str">
        <x:v>Official/public social metadata</x:v>
      </x:c>
      <x:c r="G17" s="26" t="str">
        <x:v>A1 exact identity</x:v>
      </x:c>
      <x:c r="H17" s="26" t="str">
        <x:v>Finish/originality remains submitted claim.</x:v>
      </x:c>
      <x:c r="I17" s="26" t="str">
        <x:v>https://www.bmxmuseum.com/bikes/se_racing/135922</x:v>
      </x:c>
      <x:c r="J17" s="26" t="str">
        <x:v>EXACT PUBLIC RECORD</x:v>
      </x:c>
    </x:row>
    <x:row r="18" ht="84" customHeight="1">
      <x:c r="A18" s="26" t="str">
        <x:v>V17-BMXM-014</x:v>
      </x:c>
      <x:c r="B18" s="26" t="str">
        <x:v>SE Racing</x:v>
      </x:c>
      <x:c r="C18" s="26" t="str">
        <x:v>Bike 135823</x:v>
      </x:c>
      <x:c r="D18" s="26" t="str">
        <x:v>Replica/build</x:v>
      </x:c>
      <x:c r="E18" s="26" t="str">
        <x:v>1991 Quadangle replica/build</x:v>
      </x:c>
      <x:c r="F18" s="26" t="str">
        <x:v>Public post explicitly states replica/build</x:v>
      </x:c>
      <x:c r="G18" s="26" t="str">
        <x:v>A1 exact identity/status</x:v>
      </x:c>
      <x:c r="H18" s="26" t="str">
        <x:v>Must never be used as factory-original specification evidence.</x:v>
      </x:c>
      <x:c r="I18" s="26" t="str">
        <x:v>https://www.bmxmuseum.com/bikes/se_racing/135823</x:v>
      </x:c>
      <x:c r="J18" s="26" t="str">
        <x:v>EXACT REPLICA RECORD</x:v>
      </x:c>
    </x:row>
    <x:row r="19" ht="84" customHeight="1">
      <x:c r="A19" s="26" t="str">
        <x:v>V17-BMXM-015</x:v>
      </x:c>
      <x:c r="B19" s="26" t="str">
        <x:v>Ashtabula</x:v>
      </x:c>
      <x:c r="C19" s="26" t="str">
        <x:v>Reference 5027</x:v>
      </x:c>
      <x:c r="D19" s="26" t="str">
        <x:v>Reference</x:v>
      </x:c>
      <x:c r="E19" s="26" t="str">
        <x:v>Ashtabula component catalog</x:v>
      </x:c>
      <x:c r="F19" s="26" t="str">
        <x:v>External technical citations and Mongoose catalog pages</x:v>
      </x:c>
      <x:c r="G19" s="26" t="str">
        <x:v>HIGH exact ID</x:v>
      </x:c>
      <x:c r="H19" s="26" t="str">
        <x:v>Date and page content remain partial.</x:v>
      </x:c>
      <x:c r="I19" s="26" t="str">
        <x:v>https://bmxmuseum.com/reference/5027</x:v>
      </x:c>
      <x:c r="J19" s="26" t="str">
        <x:v>EXACT REFERENCE</x:v>
      </x:c>
    </x:row>
  </x:sheetData>
  <x:mergeCells>
    <x:mergeCell ref="A1:J1"/>
    <x:mergeCell ref="A2:J2"/>
  </x:mergeCells>
  <x:pageMargins left="0.7" right="0.7" top="0.75" bottom="0.75" header="0.3" footer="0.3"/>
  <x:tableParts count="1">
    <x:tablePart xmlns:r="http://schemas.openxmlformats.org/officeDocument/2006/relationships" r:id="Rc8af1b839e8a454a"/>
  </x:tableParts>
</x:worksheet>
</file>

<file path=xl/worksheets/sheet125.xml><?xml version="1.0" encoding="utf-8"?>
<x:worksheet xmlns:x="http://schemas.openxmlformats.org/spreadsheetml/2006/main">
  <x:sheetFormatPr defaultRowHeight="15"/>
  <x:cols>
    <x:col min="1" max="1" width="15" hidden="0" customWidth="1"/>
    <x:col min="2" max="2" width="34" hidden="0" customWidth="1"/>
    <x:col min="3" max="3" width="18" hidden="0" customWidth="1"/>
    <x:col min="4" max="4" width="48" hidden="0" customWidth="1"/>
    <x:col min="5" max="5" width="54" hidden="0" customWidth="1"/>
    <x:col min="6" max="6" width="62" hidden="0" customWidth="1"/>
    <x:col min="7" max="7" width="48" hidden="0" customWidth="1"/>
    <x:col min="8" max="8" width="44" hidden="0" customWidth="1"/>
    <x:col min="9" max="9" width="24" hidden="0" customWidth="1"/>
  </x:cols>
  <x:sheetData>
    <x:row r="1" ht="31" customHeight="1">
      <x:c r="A1" s="621" t="str">
        <x:v>v1.7 Lititz BMX Artifact and Research Crosswalk</x:v>
      </x:c>
      <x:c r="B1" s="621"/>
      <x:c r="C1" s="621"/>
      <x:c r="D1" s="621"/>
      <x:c r="E1" s="621"/>
      <x:c r="F1" s="621"/>
      <x:c r="G1" s="621"/>
      <x:c r="H1" s="621"/>
      <x:c r="I1" s="621"/>
    </x:row>
    <x:row r="2" ht="31" customHeight="1">
      <x:c r="A2" s="626" t="str">
        <x:v>Physical artifacts, source relationships and documentary gaps are separate crosswalk types.</x:v>
      </x:c>
      <x:c r="B2" s="626"/>
      <x:c r="C2" s="626"/>
      <x:c r="D2" s="626"/>
      <x:c r="E2" s="626"/>
      <x:c r="F2" s="626"/>
      <x:c r="G2" s="626"/>
      <x:c r="H2" s="626"/>
      <x:c r="I2" s="626"/>
    </x:row>
    <x:row r="4">
      <x:c r="A4" s="631" t="str">
        <x:v>Crosswalk ID</x:v>
      </x:c>
      <x:c r="B4" s="631" t="str">
        <x:v>Lititz Object</x:v>
      </x:c>
      <x:c r="C4" s="631" t="str">
        <x:v>Artifact ID</x:v>
      </x:c>
      <x:c r="D4" s="631" t="str">
        <x:v>Brand / Source Relationship</x:v>
      </x:c>
      <x:c r="E4" s="631" t="str">
        <x:v>Current Evidence</x:v>
      </x:c>
      <x:c r="F4" s="631" t="str">
        <x:v>Safe Public Wording</x:v>
      </x:c>
      <x:c r="G4" s="631" t="str">
        <x:v>Evidence Gap</x:v>
      </x:c>
      <x:c r="H4" s="631" t="str">
        <x:v>Roadmap / Next Action</x:v>
      </x:c>
      <x:c r="I4" s="631" t="str">
        <x:v>Status</x:v>
      </x:c>
    </x:row>
    <x:row r="5" ht="90" customHeight="1">
      <x:c r="A5" s="26" t="str">
        <x:v>V17-XW-001</x:v>
      </x:c>
      <x:c r="B5" s="26" t="str">
        <x:v>ELF catalog / mailpiece</x:v>
      </x:c>
      <x:c r="C5" s="26" t="str">
        <x:v>26.0006</x:v>
      </x:c>
      <x:c r="D5" s="26" t="str">
        <x:v>Physical period-publication source for ELF</x:v>
      </x:c>
      <x:c r="E5" s="26" t="str">
        <x:v>Existing image confirms ELF branding and mailing evidence; no date/edition/interior capture.</x:v>
      </x:c>
      <x:c r="F5" s="26" t="str">
        <x:v>Artifact 26.0006 is an ELF-branded mailed catalog or promotional mailpiece; year, edition, page count and contents remain unidentified.</x:v>
      </x:c>
      <x:c r="G5" s="26" t="str">
        <x:v>Complete exterior/interior, imprint and postal capture.</x:v>
      </x:c>
      <x:c r="H5" s="26" t="str">
        <x:v>Existing PHYS-ELF tasks.</x:v>
      </x:c>
      <x:c r="I5" s="26" t="str">
        <x:v>ACTIVE PHYSICAL GATE</x:v>
      </x:c>
    </x:row>
    <x:row r="6" ht="90" customHeight="1">
      <x:c r="A6" s="26" t="str">
        <x:v>V17-XW-002</x:v>
      </x:c>
      <x:c r="B6" s="26" t="str">
        <x:v>Auburn racing jersey</x:v>
      </x:c>
      <x:c r="C6" s="26" t="str">
        <x:v>26.0085</x:v>
      </x:c>
      <x:c r="D6" s="26" t="str">
        <x:v>Textile artifact requiring comparison with 1988–1994 advertisements and team material</x:v>
      </x:c>
      <x:c r="E6" s="26" t="str">
        <x:v>Artifact identity is known; year, team program and wearer are unresolved.</x:v>
      </x:c>
      <x:c r="F6" s="26" t="str">
        <x:v>Artifact 26.0085 is an Auburn racing jersey. Its production year, team issue and wearer remain under research.</x:v>
      </x:c>
      <x:c r="G6" s="26" t="str">
        <x:v>Labels, design comparison, provenance and period team photographs.</x:v>
      </x:c>
      <x:c r="H6" s="26" t="str">
        <x:v>New PHYS-AUB-JERSEY tasks.</x:v>
      </x:c>
      <x:c r="I6" s="26" t="str">
        <x:v>ACTIVE PHYSICAL GATE</x:v>
      </x:c>
    </x:row>
    <x:row r="7" ht="90" customHeight="1">
      <x:c r="A7" s="26" t="str">
        <x:v>V17-XW-003</x:v>
      </x:c>
      <x:c r="B7" s="26" t="str">
        <x:v>Haro/Radical Rick source relationship</x:v>
      </x:c>
      <x:c r="C7" s="26" t="str">
        <x:v>Archive relationship</x:v>
      </x:c>
      <x:c r="D7" s="26" t="str">
        <x:v>Haro official archive supports later Radical Rick product relationships</x:v>
      </x:c>
      <x:c r="E7" s="26" t="str">
        <x:v>Official archive and existing register document Haro Radical Rick products; no period catalog object is implied.</x:v>
      </x:c>
      <x:c r="F7" s="26" t="str">
        <x:v>Haro's official archive is a first-party source for its Radical Rick product relationship and later catalog context.</x:v>
      </x:c>
      <x:c r="G7" s="26" t="str">
        <x:v>Does not transfer Damian Fulton art rights or prove period BMXMuseum reference coverage.</x:v>
      </x:c>
      <x:c r="H7" s="26" t="str">
        <x:v>Link only first-party Haro pages and Lititz Radical Rick artifacts.</x:v>
      </x:c>
      <x:c r="I7" s="26" t="str">
        <x:v>ACTIVE SOURCE EDGE</x:v>
      </x:c>
    </x:row>
    <x:row r="8" ht="90" customHeight="1">
      <x:c r="A8" s="26" t="str">
        <x:v>V17-XW-004</x:v>
      </x:c>
      <x:c r="B8" s="26" t="str">
        <x:v>Mongoose / Ashtabula component research</x:v>
      </x:c>
      <x:c r="C8" s="26" t="str">
        <x:v>Archive relationship</x:v>
      </x:c>
      <x:c r="D8" s="26" t="str">
        <x:v>Mongoose catalogs independently corroborate Ashtabula component listings</x:v>
      </x:c>
      <x:c r="E8" s="26" t="str">
        <x:v>1976–77 and 1979/80 pages document Ashtabula/Cecor pedals and Ashtabula crank lengths.</x:v>
      </x:c>
      <x:c r="F8" s="26" t="str">
        <x:v>Mongoose period catalogs provide cross-brand component evidence useful for identifying Ashtabula-equipped BMX artifacts.</x:v>
      </x:c>
      <x:c r="G8" s="26" t="str">
        <x:v>Does not prove Ashtabula manufactured every co-branded component or date reference 5027 exactly.</x:v>
      </x:c>
      <x:c r="H8" s="26" t="str">
        <x:v>Continue component-level catalog extraction.</x:v>
      </x:c>
      <x:c r="I8" s="26" t="str">
        <x:v>ACTIVE SOURCE EDGE</x:v>
      </x:c>
    </x:row>
    <x:row r="9" ht="90" customHeight="1">
      <x:c r="A9" s="26" t="str">
        <x:v>V17-XW-005</x:v>
      </x:c>
      <x:c r="B9" s="26" t="str">
        <x:v>SE Racing source gap</x:v>
      </x:c>
      <x:c r="C9" s="26" t="str">
        <x:v>Research status</x:v>
      </x:c>
      <x:c r="D9" s="26" t="str">
        <x:v>Historical catalog recovery priority</x:v>
      </x:c>
      <x:c r="E9" s="26" t="str">
        <x:v>Exact SE bikes and official heritage exist, but period catalog coverage is incomplete.</x:v>
      </x:c>
      <x:c r="F9" s="26" t="str">
        <x:v>Lititz BMX records SE Racing as a high-value historical catalog gap rather than filling missing years from modern reissues.</x:v>
      </x:c>
      <x:c r="G9" s="26" t="str">
        <x:v>Missing source is not evidence of missing model/production.</x:v>
      </x:c>
      <x:c r="H9" s="26" t="str">
        <x:v>Target public period magazines and collector catalog indexes.</x:v>
      </x:c>
      <x:c r="I9" s="26" t="str">
        <x:v>OPEN SOURCE GAP</x:v>
      </x:c>
    </x:row>
  </x:sheetData>
  <x:mergeCells>
    <x:mergeCell ref="A1:I1"/>
    <x:mergeCell ref="A2:I2"/>
  </x:mergeCells>
  <x:pageMargins left="0.7" right="0.7" top="0.75" bottom="0.75" header="0.3" footer="0.3"/>
  <x:tableParts count="1">
    <x:tablePart xmlns:r="http://schemas.openxmlformats.org/officeDocument/2006/relationships" r:id="R8448730cf5ae4094"/>
  </x:tableParts>
</x:worksheet>
</file>

<file path=xl/worksheets/sheet126.xml><?xml version="1.0" encoding="utf-8"?>
<x:worksheet xmlns:x="http://schemas.openxmlformats.org/spreadsheetml/2006/main">
  <x:sheetFormatPr defaultRowHeight="15"/>
  <x:cols>
    <x:col min="1" max="1" width="31" hidden="0" customWidth="1"/>
    <x:col min="2" max="2" width="54" hidden="0" customWidth="1"/>
    <x:col min="3" max="3" width="50" hidden="0" customWidth="1"/>
    <x:col min="4" max="4" width="52" hidden="0" customWidth="1"/>
    <x:col min="5" max="5" width="42" hidden="0" customWidth="1"/>
    <x:col min="6" max="6" width="52" hidden="0" customWidth="1"/>
  </x:cols>
  <x:sheetData>
    <x:row r="1" ht="31" customHeight="1">
      <x:c r="A1" s="621" t="str">
        <x:v>v1.7 Source-Type Rights and Reuse Matrix</x:v>
      </x:c>
      <x:c r="B1" s="621"/>
      <x:c r="C1" s="621"/>
      <x:c r="D1" s="621"/>
      <x:c r="E1" s="621"/>
      <x:c r="F1" s="621"/>
    </x:row>
    <x:row r="2" ht="31" customHeight="1">
      <x:c r="A2" s="626" t="str">
        <x:v>The source type determines what can be extracted, preserved and published. Public accessibility alone does not erase copyright, privacy or provenance.</x:v>
      </x:c>
      <x:c r="B2" s="626"/>
      <x:c r="C2" s="626"/>
      <x:c r="D2" s="626"/>
      <x:c r="E2" s="626"/>
      <x:c r="F2" s="626"/>
    </x:row>
    <x:row r="4">
      <x:c r="A4" s="631" t="str">
        <x:v>Source Type</x:v>
      </x:c>
      <x:c r="B4" s="631" t="str">
        <x:v>Permitted Use in Register</x:v>
      </x:c>
      <x:c r="C4" s="631" t="str">
        <x:v>Public Output</x:v>
      </x:c>
      <x:c r="D4" s="631" t="str">
        <x:v>Do Not Do</x:v>
      </x:c>
      <x:c r="E4" s="631" t="str">
        <x:v>Attribution Requirement</x:v>
      </x:c>
      <x:c r="F4" s="631" t="str">
        <x:v>Preservation Treatment</x:v>
      </x:c>
    </x:row>
    <x:row r="5" ht="90" customHeight="1">
      <x:c r="A5" s="26" t="str">
        <x:v>Official manufacturer archive</x:v>
      </x:c>
      <x:c r="B5" s="26" t="str">
        <x:v>Index files/years, cite factual specifications and link canonical pages.</x:v>
      </x:c>
      <x:c r="C5" s="26" t="str">
        <x:v>Original summaries and source-linked facts.</x:v>
      </x:c>
      <x:c r="D5" s="26" t="str">
        <x:v>Do not assume a scan is freely republishable or complete across markets.</x:v>
      </x:c>
      <x:c r="E5" s="26" t="str">
        <x:v>Name manufacturer/archive and exact URL/year.</x:v>
      </x:c>
      <x:c r="F5" s="26" t="str">
        <x:v>Preserve metadata, URLs and hashes only when files are lawfully downloaded.</x:v>
      </x:c>
    </x:row>
    <x:row r="6" ht="90" customHeight="1">
      <x:c r="A6" s="26" t="str">
        <x:v>Period catalog scan hosted by specialist archive</x:v>
      </x:c>
      <x:c r="B6" s="26" t="str">
        <x:v>Inspect pages and transcribe limited factual fields with page/source attribution.</x:v>
      </x:c>
      <x:c r="C6" s="26" t="str">
        <x:v>Bibliographic record, factual summary and model/spec tables.</x:v>
      </x:c>
      <x:c r="D6" s="26" t="str">
        <x:v>Do not embed, redistribute or bulk-download scans absent a rights basis.</x:v>
      </x:c>
      <x:c r="E6" s="26" t="str">
        <x:v>Name original brand/document and hosting archive.</x:v>
      </x:c>
      <x:c r="F6" s="26" t="str">
        <x:v>Record edition, page count, imprint and access date.</x:v>
      </x:c>
    </x:row>
    <x:row r="7" ht="90" customHeight="1">
      <x:c r="A7" s="26" t="str">
        <x:v>Catalog reconstruction</x:v>
      </x:c>
      <x:c r="B7" s="26" t="str">
        <x:v>Use for discovery, normalized model structure and comparison.</x:v>
      </x:c>
      <x:c r="C7" s="26" t="str">
        <x:v>Attributed reconstructed facts with verification status.</x:v>
      </x:c>
      <x:c r="D7" s="26" t="str">
        <x:v>Do not call it the original catalog or factory production ledger.</x:v>
      </x:c>
      <x:c r="E7" s="26" t="str">
        <x:v>Name reconstruction site and underlying year.</x:v>
      </x:c>
      <x:c r="F7" s="26" t="str">
        <x:v>Compare against original/official catalog whenever available.</x:v>
      </x:c>
    </x:row>
    <x:row r="8" ht="90" customHeight="1">
      <x:c r="A8" s="26" t="str">
        <x:v>First-person historical blog/archive</x:v>
      </x:c>
      <x:c r="B8" s="26" t="str">
        <x:v>Use dated recollections, source-object identification and corrections.</x:v>
      </x:c>
      <x:c r="C8" s="26" t="str">
        <x:v>Paraphrased first-person claims clearly attributed.</x:v>
      </x:c>
      <x:c r="D8" s="26" t="str">
        <x:v>Do not convert recollection into independent fact or copy copyrighted images.</x:v>
      </x:c>
      <x:c r="E8" s="26" t="str">
        <x:v>Name author/archive and date.</x:v>
      </x:c>
      <x:c r="F8" s="26" t="str">
        <x:v>Preserve conflicts and later corrections.</x:v>
      </x:c>
    </x:row>
    <x:row r="9" ht="90" customHeight="1">
      <x:c r="A9" s="26" t="str">
        <x:v>Period magazine index/OCR</x:v>
      </x:c>
      <x:c r="B9" s="26" t="str">
        <x:v>Use titles, dates, offers and clearly aligned price/spec fields.</x:v>
      </x:c>
      <x:c r="C9" s="26" t="str">
        <x:v>Bibliographic facts and carefully qualified transcriptions.</x:v>
      </x:c>
      <x:c r="D9" s="26" t="str">
        <x:v>Do not reproduce page images or trust garbled OCR without visual control.</x:v>
      </x:c>
      <x:c r="E9" s="26" t="str">
        <x:v>Name publication, issue and page/source URL when known.</x:v>
      </x:c>
      <x:c r="F9" s="26" t="str">
        <x:v>Store issue object and uncertainty notes.</x:v>
      </x:c>
    </x:row>
    <x:row r="10" ht="90" customHeight="1">
      <x:c r="A10" s="26" t="str">
        <x:v>BMXMuseum exact public metadata</x:v>
      </x:c>
      <x:c r="B10" s="26" t="str">
        <x:v>Record exact ID, canonical URL, submitted title/year and discovery route.</x:v>
      </x:c>
      <x:c r="C10" s="26" t="str">
        <x:v>Link to source and distinguish submitted identification.</x:v>
      </x:c>
      <x:c r="D10" s="26" t="str">
        <x:v>Do not copy images/descriptions/forum bodies or claim completeness/originality.</x:v>
      </x:c>
      <x:c r="E10" s="26" t="str">
        <x:v>Credit BMXMuseum.com at record level.</x:v>
      </x:c>
      <x:c r="F10" s="26" t="str">
        <x:v>Preserve canonical link and independent verification status.</x:v>
      </x:c>
    </x:row>
    <x:row r="11" ht="90" customHeight="1">
      <x:c r="A11" s="26" t="str">
        <x:v>Current official heritage/reissue page</x:v>
      </x:c>
      <x:c r="B11" s="26" t="str">
        <x:v>Use current product and retrospective official claims.</x:v>
      </x:c>
      <x:c r="C11" s="26" t="str">
        <x:v>Clearly labeled modern or retrospective information.</x:v>
      </x:c>
      <x:c r="D11" s="26" t="str">
        <x:v>Do not use current prices/specs as period data or call reissue original.</x:v>
      </x:c>
      <x:c r="E11" s="26" t="str">
        <x:v>Name current manufacturer and access date.</x:v>
      </x:c>
      <x:c r="F11" s="26" t="str">
        <x:v>Separate current product from historical model node.</x:v>
      </x:c>
    </x:row>
    <x:row r="12" ht="90" customHeight="1">
      <x:c r="A12" s="26" t="str">
        <x:v>Retailer/dealer advertisement</x:v>
      </x:c>
      <x:c r="B12" s="26" t="str">
        <x:v>Record source-specific displayed price, seller, date and geography.</x:v>
      </x:c>
      <x:c r="C12" s="26" t="str">
        <x:v>Price observation with explicit basis.</x:v>
      </x:c>
      <x:c r="D12" s="26" t="str">
        <x:v>Do not call MSRP, average prices across sellers or strip postage/conditions silently.</x:v>
      </x:c>
      <x:c r="E12" s="26" t="str">
        <x:v>Name seller/publication/date when available.</x:v>
      </x:c>
      <x:c r="F12" s="26" t="str">
        <x:v>Retain screenshot/page citation only under lawful preservation rules.</x:v>
      </x:c>
    </x:row>
    <x:row r="13" ht="90" customHeight="1">
      <x:c r="A13" s="26" t="str">
        <x:v>Physical Lititz artifact</x:v>
      </x:c>
      <x:c r="B13" s="26" t="str">
        <x:v>Photograph, describe, hash and publish original Lititz documentation subject to third-party rights.</x:v>
      </x:c>
      <x:c r="C13" s="26" t="str">
        <x:v>Artifact metadata, original photographs and evidence-bounded conclusions.</x:v>
      </x:c>
      <x:c r="D13" s="26" t="str">
        <x:v>Do not publish private addresses, donor details or third-party expressive content without basis.</x:v>
      </x:c>
      <x:c r="E13" s="26" t="str">
        <x:v>Credit Lititz BMX and original manufacturer/source.</x:v>
      </x:c>
      <x:c r="F13" s="26" t="str">
        <x:v>Preserve untouched masters, derivatives and evidence manifest.</x:v>
      </x:c>
    </x:row>
  </x:sheetData>
  <x:mergeCells>
    <x:mergeCell ref="A1:F1"/>
    <x:mergeCell ref="A2:F2"/>
  </x:mergeCells>
  <x:pageMargins left="0.7" right="0.7" top="0.75" bottom="0.75" header="0.3" footer="0.3"/>
  <x:tableParts count="1">
    <x:tablePart xmlns:r="http://schemas.openxmlformats.org/officeDocument/2006/relationships" r:id="Rdb9fada6436c43be"/>
  </x:tableParts>
</x:worksheet>
</file>

<file path=xl/worksheets/sheet127.xml><?xml version="1.0" encoding="utf-8"?>
<x:worksheet xmlns:x="http://schemas.openxmlformats.org/spreadsheetml/2006/main">
  <x:sheetFormatPr defaultRowHeight="15"/>
  <x:cols>
    <x:col min="1" max="1" width="15" hidden="0" customWidth="1"/>
    <x:col min="2" max="2" width="50" hidden="0" customWidth="1"/>
    <x:col min="3" max="3" width="55" hidden="0" customWidth="1"/>
    <x:col min="4" max="4" width="65" hidden="0" customWidth="1"/>
    <x:col min="5" max="5" width="16" hidden="0" customWidth="1"/>
    <x:col min="6" max="6" width="20" hidden="0" customWidth="1"/>
    <x:col min="7" max="7" width="46" hidden="0" customWidth="1"/>
  </x:cols>
  <x:sheetData>
    <x:row r="1" ht="31" customHeight="1">
      <x:c r="A1" s="621" t="str">
        <x:v>v1.7 Ephemera and Price-Context Corrections</x:v>
      </x:c>
      <x:c r="B1" s="621"/>
      <x:c r="C1" s="621"/>
      <x:c r="D1" s="621"/>
      <x:c r="E1" s="621"/>
      <x:c r="F1" s="621"/>
      <x:c r="G1" s="621"/>
    </x:row>
    <x:row r="2" ht="31" customHeight="1">
      <x:c r="A2" s="626" t="str">
        <x:v>These locked rules protect the register from treating documentary coverage, public access, retailer pricing, reissues or submitted bicycles as stronger evidence than they are.</x:v>
      </x:c>
      <x:c r="B2" s="626"/>
      <x:c r="C2" s="626"/>
      <x:c r="D2" s="626"/>
      <x:c r="E2" s="626"/>
      <x:c r="F2" s="626"/>
      <x:c r="G2" s="626"/>
    </x:row>
    <x:row r="4">
      <x:c r="A4" s="631" t="str">
        <x:v>Correction ID</x:v>
      </x:c>
      <x:c r="B4" s="631" t="str">
        <x:v>Risky Claim</x:v>
      </x:c>
      <x:c r="C4" s="631" t="str">
        <x:v>Audit Finding</x:v>
      </x:c>
      <x:c r="D4" s="631" t="str">
        <x:v>Locked Replacement Rule</x:v>
      </x:c>
      <x:c r="E4" s="631" t="str">
        <x:v>Severity</x:v>
      </x:c>
      <x:c r="F4" s="631" t="str">
        <x:v>Status</x:v>
      </x:c>
      <x:c r="G4" s="631" t="str">
        <x:v>Follow-up</x:v>
      </x:c>
    </x:row>
    <x:row r="5" ht="86" customHeight="1">
      <x:c r="A5" s="26" t="str">
        <x:v>V17-COR-001</x:v>
      </x:c>
      <x:c r="B5" s="26" t="str">
        <x:v>A catalog model count equals production quantity.</x:v>
      </x:c>
      <x:c r="C5" s="26" t="str">
        <x:v>Catalog counts measure documentary entries, not frames or bicycles produced.</x:v>
      </x:c>
      <x:c r="D5" s="26" t="str">
        <x:v>Never use catalog-entry counts as production totals.</x:v>
      </x:c>
      <x:c r="E5" s="26" t="str">
        <x:v>CRITICAL</x:v>
      </x:c>
      <x:c r="F5" s="26" t="str">
        <x:v>LOCKED</x:v>
      </x:c>
      <x:c r="G5" s="26" t="str">
        <x:v>Apply to all brand dashboards.</x:v>
      </x:c>
    </x:row>
    <x:row r="6" ht="86" customHeight="1">
      <x:c r="A6" s="26" t="str">
        <x:v>V17-COR-002</x:v>
      </x:c>
      <x:c r="B6" s="26" t="str">
        <x:v>A brand index proves a period catalog has been recovered.</x:v>
      </x:c>
      <x:c r="C6" s="26" t="str">
        <x:v>ELF and Auburn index pages can exist without public year/page objects.</x:v>
      </x:c>
      <x:c r="D6" s="26" t="str">
        <x:v>Record index presence and catalog recovery as separate statuses.</x:v>
      </x:c>
      <x:c r="E6" s="26" t="str">
        <x:v>HIGH</x:v>
      </x:c>
      <x:c r="F6" s="26" t="str">
        <x:v>LOCKED</x:v>
      </x:c>
      <x:c r="G6" s="26" t="str">
        <x:v>Use SOURCE GAP status.</x:v>
      </x:c>
    </x:row>
    <x:row r="7" ht="86" customHeight="1">
      <x:c r="A7" s="26" t="str">
        <x:v>V17-COR-003</x:v>
      </x:c>
      <x:c r="B7" s="26" t="str">
        <x:v>An official archive file is automatically free to republish.</x:v>
      </x:c>
      <x:c r="C7" s="26" t="str">
        <x:v>Official hosting confirms provenance, not reuse rights.</x:v>
      </x:c>
      <x:c r="D7" s="26" t="str">
        <x:v>Index and cite official files; republish only with a separate rights basis.</x:v>
      </x:c>
      <x:c r="E7" s="26" t="str">
        <x:v>CRITICAL</x:v>
      </x:c>
      <x:c r="F7" s="26" t="str">
        <x:v>LOCKED</x:v>
      </x:c>
      <x:c r="G7" s="26" t="str">
        <x:v>Apply to Haro and current-brand archives.</x:v>
      </x:c>
    </x:row>
    <x:row r="8" ht="86" customHeight="1">
      <x:c r="A8" s="26" t="str">
        <x:v>V17-COR-004</x:v>
      </x:c>
      <x:c r="B8" s="26" t="str">
        <x:v>A catalog reconstruction is the original manufacturer catalog.</x:v>
      </x:c>
      <x:c r="C8" s="26" t="str">
        <x:v>Reconstruction is a secondary representation based on original material.</x:v>
      </x:c>
      <x:c r="D8" s="26" t="str">
        <x:v>Label every reconstructed page and compare against original/official documents.</x:v>
      </x:c>
      <x:c r="E8" s="26" t="str">
        <x:v>CRITICAL</x:v>
      </x:c>
      <x:c r="F8" s="26" t="str">
        <x:v>LOCKED</x:v>
      </x:c>
      <x:c r="G8" s="26" t="str">
        <x:v>Apply to BMX Catalogue records.</x:v>
      </x:c>
    </x:row>
    <x:row r="9" ht="86" customHeight="1">
      <x:c r="A9" s="26" t="str">
        <x:v>V17-COR-005</x:v>
      </x:c>
      <x:c r="B9" s="26" t="str">
        <x:v>A dealer advertisement is a manufacturer price sheet or MSRP.</x:v>
      </x:c>
      <x:c r="C9" s="26" t="str">
        <x:v>Dealer pricing is seller-, date- and market-specific.</x:v>
      </x:c>
      <x:c r="D9" s="26" t="str">
        <x:v>Preserve price basis, seller, geography and conditions.</x:v>
      </x:c>
      <x:c r="E9" s="26" t="str">
        <x:v>CRITICAL</x:v>
      </x:c>
      <x:c r="F9" s="26" t="str">
        <x:v>LOCKED</x:v>
      </x:c>
      <x:c r="G9" s="26" t="str">
        <x:v>Apply to all normalized prices.</x:v>
      </x:c>
    </x:row>
    <x:row r="10" ht="86" customHeight="1">
      <x:c r="A10" s="26" t="str">
        <x:v>V17-COR-006</x:v>
      </x:c>
      <x:c r="B10" s="26" t="str">
        <x:v>A catalog request fee is a bicycle price.</x:v>
      </x:c>
      <x:c r="C10" s="26" t="str">
        <x:v>Haro and Mongoose mailer fees purchase information packs/catalogs.</x:v>
      </x:c>
      <x:c r="D10" s="26" t="str">
        <x:v>Classify mailer/catalog fees separately from product prices.</x:v>
      </x:c>
      <x:c r="E10" s="26" t="str">
        <x:v>HIGH</x:v>
      </x:c>
      <x:c r="F10" s="26" t="str">
        <x:v>LOCKED</x:v>
      </x:c>
      <x:c r="G10" s="26" t="str">
        <x:v>Keep separate product type.</x:v>
      </x:c>
    </x:row>
    <x:row r="11" ht="86" customHeight="1">
      <x:c r="A11" s="26" t="str">
        <x:v>V17-COR-007</x:v>
      </x:c>
      <x:c r="B11" s="26" t="str">
        <x:v>A modern heritage/reissue page verifies an original bicycle's specification.</x:v>
      </x:c>
      <x:c r="C11" s="26" t="str">
        <x:v>Modern replicas intentionally reinterpret historical designs.</x:v>
      </x:c>
      <x:c r="D11" s="26" t="str">
        <x:v>Use modern pages only for current/reissue facts and high-level heritage statements.</x:v>
      </x:c>
      <x:c r="E11" s="26" t="str">
        <x:v>CRITICAL</x:v>
      </x:c>
      <x:c r="F11" s="26" t="str">
        <x:v>LOCKED</x:v>
      </x:c>
      <x:c r="G11" s="26" t="str">
        <x:v>Apply to Mongoose, Hutch, Redline and ELF revival products.</x:v>
      </x:c>
    </x:row>
    <x:row r="12" ht="86" customHeight="1">
      <x:c r="A12" s="26" t="str">
        <x:v>V17-COR-008</x:v>
      </x:c>
      <x:c r="B12" s="26" t="str">
        <x:v>A public BMXMuseum submission is a factory specification source.</x:v>
      </x:c>
      <x:c r="C12" s="26" t="str">
        <x:v>Submitted bikes may be restored, customized, replicated or misdated.</x:v>
      </x:c>
      <x:c r="D12" s="26" t="str">
        <x:v>Catalogs and physical evidence control specification; BMXMuseum records remain comparison/source claims.</x:v>
      </x:c>
      <x:c r="E12" s="26" t="str">
        <x:v>CRITICAL</x:v>
      </x:c>
      <x:c r="F12" s="26" t="str">
        <x:v>LOCKED</x:v>
      </x:c>
      <x:c r="G12" s="26" t="str">
        <x:v>Apply to all exact IDs.</x:v>
      </x:c>
    </x:row>
    <x:row r="13" ht="86" customHeight="1">
      <x:c r="A13" s="26" t="str">
        <x:v>V17-COR-009</x:v>
      </x:c>
      <x:c r="B13" s="26" t="str">
        <x:v>A missing catalog year means the company produced nothing.</x:v>
      </x:c>
      <x:c r="C13" s="26" t="str">
        <x:v>SE, ELF and other archives have coverage gaps.</x:v>
      </x:c>
      <x:c r="D13" s="26" t="str">
        <x:v>Use 'catalog not recovered' rather than 'no products existed.'</x:v>
      </x:c>
      <x:c r="E13" s="26" t="str">
        <x:v>CRITICAL</x:v>
      </x:c>
      <x:c r="F13" s="26" t="str">
        <x:v>LOCKED</x:v>
      </x:c>
      <x:c r="G13" s="26" t="str">
        <x:v>Apply to open years.</x:v>
      </x:c>
    </x:row>
    <x:row r="14" ht="86" customHeight="1">
      <x:c r="A14" s="26" t="str">
        <x:v>V17-COR-010</x:v>
      </x:c>
      <x:c r="B14" s="26" t="str">
        <x:v>An advertisement's issue date always equals the model year.</x:v>
      </x:c>
      <x:c r="C14" s="26" t="str">
        <x:v>Late-year ads may introduce the next model year; Auburn WorksLink demonstrates this risk.</x:v>
      </x:c>
      <x:c r="D14" s="26" t="str">
        <x:v>Separate publication date, claimed availability and inferred model year.</x:v>
      </x:c>
      <x:c r="E14" s="26" t="str">
        <x:v>HIGH</x:v>
      </x:c>
      <x:c r="F14" s="26" t="str">
        <x:v>LOCKED</x:v>
      </x:c>
      <x:c r="G14" s="26" t="str">
        <x:v>Record timing logic explicitly.</x:v>
      </x:c>
    </x:row>
    <x:row r="15" ht="86" customHeight="1">
      <x:c r="A15" s="26" t="str">
        <x:v>V17-COR-011</x:v>
      </x:c>
      <x:c r="B15" s="26" t="str">
        <x:v>Community comments can supply authoritative historical prices.</x:v>
      </x:c>
      <x:c r="C15" s="26" t="str">
        <x:v>Auburn comments include asking prices and conflicting recollections.</x:v>
      </x:c>
      <x:c r="D15" s="26" t="str">
        <x:v>Exclude comments/asking prices from controlled historical price observations.</x:v>
      </x:c>
      <x:c r="E15" s="26" t="str">
        <x:v>HIGH</x:v>
      </x:c>
      <x:c r="F15" s="26" t="str">
        <x:v>LOCKED</x:v>
      </x:c>
      <x:c r="G15" s="26" t="str">
        <x:v>Retain only as unverified leads if needed.</x:v>
      </x:c>
    </x:row>
    <x:row r="16" ht="86" customHeight="1">
      <x:c r="A16" s="26" t="str">
        <x:v>V17-COR-012</x:v>
      </x:c>
      <x:c r="B16" s="26" t="str">
        <x:v>The first source to mention a model settles its exact launch date.</x:v>
      </x:c>
      <x:c r="C16" s="26" t="str">
        <x:v>First surviving source may postdate introduction and campaign duration can be unknown.</x:v>
      </x:c>
      <x:c r="D16" s="26" t="str">
        <x:v>Use earliest recovered source language and keep launch date qualified.</x:v>
      </x:c>
      <x:c r="E16" s="26" t="str">
        <x:v>HIGH</x:v>
      </x:c>
      <x:c r="F16" s="26" t="str">
        <x:v>LOCKED</x:v>
      </x:c>
      <x:c r="G16" s="26" t="str">
        <x:v>Apply to Redline, Auburn, SE and ELF.</x:v>
      </x:c>
    </x:row>
    <x:row r="17" ht="86" customHeight="1">
      <x:c r="A17" s="26" t="str">
        <x:v>V17-COR-013</x:v>
      </x:c>
      <x:c r="B17" s="26" t="str">
        <x:v>A period test's measured geometry is always the catalog specification.</x:v>
      </x:c>
      <x:c r="C17" s="26" t="str">
        <x:v>Auburn's 1994 test and catalog/owner measurements conflict.</x:v>
      </x:c>
      <x:c r="D17" s="26" t="str">
        <x:v>Keep tested-object measurements, catalog specifications and physical measurements separate.</x:v>
      </x:c>
      <x:c r="E17" s="26" t="str">
        <x:v>HIGH</x:v>
      </x:c>
      <x:c r="F17" s="26" t="str">
        <x:v>LOCKED</x:v>
      </x:c>
      <x:c r="G17" s="26" t="str">
        <x:v>Build comparison table when physical evidence exists.</x:v>
      </x:c>
    </x:row>
    <x:row r="18" ht="86" customHeight="1">
      <x:c r="A18" s="26" t="str">
        <x:v>V17-COR-014</x:v>
      </x:c>
      <x:c r="B18" s="26" t="str">
        <x:v>Hutch current store prices are historical benchmarks.</x:v>
      </x:c>
      <x:c r="C18" s="26" t="str">
        <x:v>Current products are reissues/modern products.</x:v>
      </x:c>
      <x:c r="D18" s="26" t="str">
        <x:v>Use official history's stated 1981 values for historical context; keep current store prices separate.</x:v>
      </x:c>
      <x:c r="E18" s="26" t="str">
        <x:v>HIGH</x:v>
      </x:c>
      <x:c r="F18" s="26" t="str">
        <x:v>LOCKED</x:v>
      </x:c>
      <x:c r="G18" s="26" t="str">
        <x:v>No current price merging.</x:v>
      </x:c>
    </x:row>
    <x:row r="19" ht="86" customHeight="1">
      <x:c r="A19" s="26" t="str">
        <x:v>V17-COR-015</x:v>
      </x:c>
      <x:c r="B19" s="26" t="str">
        <x:v>ELF's current Doublecross history dates artifact 26.0006.</x:v>
      </x:c>
      <x:c r="C19" s="26" t="str">
        <x:v>Brand chronology cannot date an unidentified physical publication.</x:v>
      </x:c>
      <x:c r="D19" s="26" t="str">
        <x:v>Artifact 26.0006 remains undated until imprint/postal/interior evidence is captured.</x:v>
      </x:c>
      <x:c r="E19" s="26" t="str">
        <x:v>HIGH</x:v>
      </x:c>
      <x:c r="F19" s="26" t="str">
        <x:v>LOCKED</x:v>
      </x:c>
      <x:c r="G19" s="26" t="str">
        <x:v>Complete PHYS-ELF tasks.</x:v>
      </x:c>
    </x:row>
  </x:sheetData>
  <x:mergeCells>
    <x:mergeCell ref="A1:G1"/>
    <x:mergeCell ref="A2:G2"/>
  </x:mergeCells>
  <x:pageMargins left="0.7" right="0.7" top="0.75" bottom="0.75" header="0.3" footer="0.3"/>
  <x:tableParts count="1">
    <x:tablePart xmlns:r="http://schemas.openxmlformats.org/officeDocument/2006/relationships" r:id="Rb7529af6900a41d1"/>
  </x:tableParts>
</x:worksheet>
</file>

<file path=xl/worksheets/sheet128.xml><?xml version="1.0" encoding="utf-8"?>
<x:worksheet xmlns:x="http://schemas.openxmlformats.org/spreadsheetml/2006/main">
  <x:sheetFormatPr defaultRowHeight="15"/>
  <x:cols>
    <x:col min="1" max="1" width="15" hidden="0" customWidth="1"/>
    <x:col min="2" max="2" width="38" hidden="0" customWidth="1"/>
    <x:col min="3" max="3" width="20" hidden="0" customWidth="1"/>
    <x:col min="4" max="4" width="32" hidden="0" customWidth="1"/>
    <x:col min="5" max="5" width="28" hidden="0" customWidth="1"/>
    <x:col min="6" max="6" width="50" hidden="0" customWidth="1"/>
    <x:col min="7" max="7" width="50" hidden="0" customWidth="1"/>
    <x:col min="8" max="8" width="40" hidden="0" customWidth="1"/>
    <x:col min="9" max="9" width="62" hidden="0" customWidth="1"/>
    <x:col min="10" max="10" width="14" hidden="0" customWidth="1"/>
  </x:cols>
  <x:sheetData>
    <x:row r="1" ht="31" customHeight="1">
      <x:c r="A1" s="621" t="str">
        <x:v>v1.7 Source and Dependency Register</x:v>
      </x:c>
      <x:c r="B1" s="621"/>
      <x:c r="C1" s="621"/>
      <x:c r="D1" s="621"/>
      <x:c r="E1" s="621"/>
      <x:c r="F1" s="621"/>
      <x:c r="G1" s="621"/>
      <x:c r="H1" s="621"/>
      <x:c r="I1" s="621"/>
      <x:c r="J1" s="621"/>
    </x:row>
    <x:row r="2" ht="31" customHeight="1">
      <x:c r="A2" s="626" t="str">
        <x:v>The source ledger records who created or hosts each item, what role it plays, what it cannot establish and how it may be reused.</x:v>
      </x:c>
      <x:c r="B2" s="626"/>
      <x:c r="C2" s="626"/>
      <x:c r="D2" s="626"/>
      <x:c r="E2" s="626"/>
      <x:c r="F2" s="626"/>
      <x:c r="G2" s="626"/>
      <x:c r="H2" s="626"/>
      <x:c r="I2" s="626"/>
      <x:c r="J2" s="626"/>
    </x:row>
    <x:row r="4">
      <x:c r="A4" s="631" t="str">
        <x:v>Source ID</x:v>
      </x:c>
      <x:c r="B4" s="631" t="str">
        <x:v>Source</x:v>
      </x:c>
      <x:c r="C4" s="631" t="str">
        <x:v>Brand(s)</x:v>
      </x:c>
      <x:c r="D4" s="631" t="str">
        <x:v>Source Class</x:v>
      </x:c>
      <x:c r="E4" s="631" t="str">
        <x:v>Coverage</x:v>
      </x:c>
      <x:c r="F4" s="631" t="str">
        <x:v>Use in v1.7</x:v>
      </x:c>
      <x:c r="G4" s="631" t="str">
        <x:v>Key Limitation</x:v>
      </x:c>
      <x:c r="H4" s="631" t="str">
        <x:v>Rights Treatment</x:v>
      </x:c>
      <x:c r="I4" s="631" t="str">
        <x:v>URL</x:v>
      </x:c>
      <x:c r="J4" s="631" t="str">
        <x:v>Accessed</x:v>
      </x:c>
    </x:row>
    <x:row r="5" ht="84" customHeight="1">
      <x:c r="A5" s="26" t="str">
        <x:v>V17-SRC-001</x:v>
      </x:c>
      <x:c r="B5" s="26" t="str">
        <x:v>Haro official BMX archive</x:v>
      </x:c>
      <x:c r="C5" s="26" t="str">
        <x:v>Haro</x:v>
      </x:c>
      <x:c r="D5" s="26" t="str">
        <x:v>Official manufacturer archive</x:v>
      </x:c>
      <x:c r="E5" s="26" t="str">
        <x:v>1988–2011 PDF archive plus current/web years</x:v>
      </x:c>
      <x:c r="F5" s="26" t="str">
        <x:v>Official catalog existence and year control.</x:v>
      </x:c>
      <x:c r="G5" s="26" t="str">
        <x:v>Historical reference IDs and some earlier-year files remain unresolved.</x:v>
      </x:c>
      <x:c r="H5" s="26" t="str">
        <x:v>Index/cite; no automatic republication.</x:v>
      </x:c>
      <x:c r="I5" s="26" t="str">
        <x:v>https://archive.harobikes.com/bmx</x:v>
      </x:c>
      <x:c r="J5" s="26" t="str">
        <x:v>2026-07-30</x:v>
      </x:c>
    </x:row>
    <x:row r="6" ht="84" customHeight="1">
      <x:c r="A6" s="26" t="str">
        <x:v>V17-SRC-002</x:v>
      </x:c>
      <x:c r="B6" s="26" t="str">
        <x:v>Haro BMX Catalogue reconstruction</x:v>
      </x:c>
      <x:c r="C6" s="26" t="str">
        <x:v>Haro</x:v>
      </x:c>
      <x:c r="D6" s="26" t="str">
        <x:v>Catalog reconstruction</x:v>
      </x:c>
      <x:c r="E6" s="26" t="str">
        <x:v>1984–2002 and selected later years</x:v>
      </x:c>
      <x:c r="F6" s="26" t="str">
        <x:v>Model counts, structures and year-specific comparison.</x:v>
      </x:c>
      <x:c r="G6" s="26" t="str">
        <x:v>Secondary reconstruction; compare with official files.</x:v>
      </x:c>
      <x:c r="H6" s="26" t="str">
        <x:v>Index-only / attributed facts.</x:v>
      </x:c>
      <x:c r="I6" s="26" t="str">
        <x:v>https://www.bmx-catalogue.com/haro/year.html</x:v>
      </x:c>
      <x:c r="J6" s="26" t="str">
        <x:v>2026-07-30</x:v>
      </x:c>
    </x:row>
    <x:row r="7" ht="84" customHeight="1">
      <x:c r="A7" s="26" t="str">
        <x:v>V17-SRC-003</x:v>
      </x:c>
      <x:c r="B7" s="26" t="str">
        <x:v>Vintage Mongoose printed media</x:v>
      </x:c>
      <x:c r="C7" s="26" t="str">
        <x:v>Mongoose</x:v>
      </x:c>
      <x:c r="D7" s="26" t="str">
        <x:v>Specialist catalog archive</x:v>
      </x:c>
      <x:c r="E7" s="26" t="str">
        <x:v>1975–1993 catalogs; 1977 manual</x:v>
      </x:c>
      <x:c r="F7" s="26" t="str">
        <x:v>Edition sequence and page-level period research.</x:v>
      </x:c>
      <x:c r="G7" s="26" t="str">
        <x:v>Hosted scans are copyrighted; completeness not guaranteed.</x:v>
      </x:c>
      <x:c r="H7" s="26" t="str">
        <x:v>Index facts; do not republish scans.</x:v>
      </x:c>
      <x:c r="I7" s="26" t="str">
        <x:v>https://www.vintagemongoose.com/info/catalogs.php</x:v>
      </x:c>
      <x:c r="J7" s="26" t="str">
        <x:v>2026-07-30</x:v>
      </x:c>
    </x:row>
    <x:row r="8" ht="84" customHeight="1">
      <x:c r="A8" s="26" t="str">
        <x:v>V17-SRC-004</x:v>
      </x:c>
      <x:c r="B8" s="26" t="str">
        <x:v>Vintage Mongoose history</x:v>
      </x:c>
      <x:c r="C8" s="26" t="str">
        <x:v>Mongoose</x:v>
      </x:c>
      <x:c r="D8" s="26" t="str">
        <x:v>Specialist/first-person compiled history</x:v>
      </x:c>
      <x:c r="E8" s="26" t="str">
        <x:v>1974 onward</x:v>
      </x:c>
      <x:c r="F8" s="26" t="str">
        <x:v>Skip Hess company chronology and manufacturing context.</x:v>
      </x:c>
      <x:c r="G8" s="26" t="str">
        <x:v>Compiled history includes multiple sources; retain attribution.</x:v>
      </x:c>
      <x:c r="H8" s="26" t="str">
        <x:v>Paraphrase and cite.</x:v>
      </x:c>
      <x:c r="I8" s="26" t="str">
        <x:v>https://www.vintagemongoose.com/company/history/index.php</x:v>
      </x:c>
      <x:c r="J8" s="26" t="str">
        <x:v>2026-07-30</x:v>
      </x:c>
    </x:row>
    <x:row r="9" ht="84" customHeight="1">
      <x:c r="A9" s="26" t="str">
        <x:v>V17-SRC-005</x:v>
      </x:c>
      <x:c r="B9" s="26" t="str">
        <x:v>Official Mongoose legacy</x:v>
      </x:c>
      <x:c r="C9" s="26" t="str">
        <x:v>Mongoose</x:v>
      </x:c>
      <x:c r="D9" s="26" t="str">
        <x:v>Current official heritage</x:v>
      </x:c>
      <x:c r="E9" s="26" t="str">
        <x:v>1974 onward</x:v>
      </x:c>
      <x:c r="F9" s="26" t="str">
        <x:v>Motomag origin, model heritage and modern revival context.</x:v>
      </x:c>
      <x:c r="G9" s="26" t="str">
        <x:v>High-level current marketing history.</x:v>
      </x:c>
      <x:c r="H9" s="26" t="str">
        <x:v>Cite official facts; separate reissues.</x:v>
      </x:c>
      <x:c r="I9" s="26" t="str">
        <x:v>https://www.mongoose.com/pages/mongoose-legacy</x:v>
      </x:c>
      <x:c r="J9" s="26" t="str">
        <x:v>2026-07-30</x:v>
      </x:c>
    </x:row>
    <x:row r="10" ht="84" customHeight="1">
      <x:c r="A10" s="26" t="str">
        <x:v>V17-SRC-006</x:v>
      </x:c>
      <x:c r="B10" s="26" t="str">
        <x:v>Redline Vintage history</x:v>
      </x:c>
      <x:c r="C10" s="26" t="str">
        <x:v>Redline</x:v>
      </x:c>
      <x:c r="D10" s="26" t="str">
        <x:v>Specialist historical archive</x:v>
      </x:c>
      <x:c r="E10" s="26" t="str">
        <x:v>1970s–1980s emphasis</x:v>
      </x:c>
      <x:c r="F10" s="26" t="str">
        <x:v>Early products, advertisements and rider/product context.</x:v>
      </x:c>
      <x:c r="G10" s="26" t="str">
        <x:v>Modern specialist synthesis; original source objects preferred.</x:v>
      </x:c>
      <x:c r="H10" s="26" t="str">
        <x:v>Paraphrase and cite.</x:v>
      </x:c>
      <x:c r="I10" s="26" t="str">
        <x:v>https://www.redlinevintagebmx.com/redline-history</x:v>
      </x:c>
      <x:c r="J10" s="26" t="str">
        <x:v>2026-07-30</x:v>
      </x:c>
    </x:row>
    <x:row r="11" ht="84" customHeight="1">
      <x:c r="A11" s="26" t="str">
        <x:v>V17-SRC-007</x:v>
      </x:c>
      <x:c r="B11" s="26" t="str">
        <x:v>Redline catalog reconstruction</x:v>
      </x:c>
      <x:c r="C11" s="26" t="str">
        <x:v>Redline</x:v>
      </x:c>
      <x:c r="D11" s="26" t="str">
        <x:v>Catalog reconstruction</x:v>
      </x:c>
      <x:c r="E11" s="26" t="str">
        <x:v>1981–2000 selected years</x:v>
      </x:c>
      <x:c r="F11" s="26" t="str">
        <x:v>Model counts and annual structure.</x:v>
      </x:c>
      <x:c r="G11" s="26" t="str">
        <x:v>1985 and later gaps; not original manufacturer files.</x:v>
      </x:c>
      <x:c r="H11" s="26" t="str">
        <x:v>Index-only / attributed facts.</x:v>
      </x:c>
      <x:c r="I11" s="26" t="str">
        <x:v>https://www.bmx-catalogue.com/redline/year.html</x:v>
      </x:c>
      <x:c r="J11" s="26" t="str">
        <x:v>2026-07-30</x:v>
      </x:c>
    </x:row>
    <x:row r="12" ht="84" customHeight="1">
      <x:c r="A12" s="26" t="str">
        <x:v>V17-SRC-008</x:v>
      </x:c>
      <x:c r="B12" s="26" t="str">
        <x:v>Hutch official history</x:v>
      </x:c>
      <x:c r="C12" s="26" t="str">
        <x:v>Hutch</x:v>
      </x:c>
      <x:c r="D12" s="26" t="str">
        <x:v>Current official historical page</x:v>
      </x:c>
      <x:c r="E12" s="26" t="str">
        <x:v>1979 onward</x:v>
      </x:c>
      <x:c r="F12" s="26" t="str">
        <x:v>Mail-order origin, outsourcing, 1981 products and stated retail prices.</x:v>
      </x:c>
      <x:c r="G12" s="26" t="str">
        <x:v>Retrospective; original catalog/ad still preferred.</x:v>
      </x:c>
      <x:c r="H12" s="26" t="str">
        <x:v>Cite factual history; separate current products.</x:v>
      </x:c>
      <x:c r="I12" s="26" t="str">
        <x:v>https://hutchbmx.com/store/index.php?id=5&amp;main_page=page</x:v>
      </x:c>
      <x:c r="J12" s="26" t="str">
        <x:v>2026-07-30</x:v>
      </x:c>
    </x:row>
    <x:row r="13" ht="84" customHeight="1">
      <x:c r="A13" s="26" t="str">
        <x:v>V17-SRC-009</x:v>
      </x:c>
      <x:c r="B13" s="26" t="str">
        <x:v>Hutch catalog reconstruction</x:v>
      </x:c>
      <x:c r="C13" s="26" t="str">
        <x:v>Hutch</x:v>
      </x:c>
      <x:c r="D13" s="26" t="str">
        <x:v>Catalog reconstruction</x:v>
      </x:c>
      <x:c r="E13" s="26" t="str">
        <x:v>1984, 1988 and current reissue years</x:v>
      </x:c>
      <x:c r="F13" s="26" t="str">
        <x:v>Model counts and model-year specifications.</x:v>
      </x:c>
      <x:c r="G13" s="26" t="str">
        <x:v>Original period catalogs not hosted here in full.</x:v>
      </x:c>
      <x:c r="H13" s="26" t="str">
        <x:v>Index-only / attributed facts.</x:v>
      </x:c>
      <x:c r="I13" s="26" t="str">
        <x:v>https://www.bmx-catalogue.com/hutch/year.html</x:v>
      </x:c>
      <x:c r="J13" s="26" t="str">
        <x:v>2026-07-30</x:v>
      </x:c>
    </x:row>
    <x:row r="14" ht="84" customHeight="1">
      <x:c r="A14" s="26" t="str">
        <x:v>V17-SRC-010</x:v>
      </x:c>
      <x:c r="B14" s="26" t="str">
        <x:v>Todd Huffman Auburn archive</x:v>
      </x:c>
      <x:c r="C14" s="26" t="str">
        <x:v>Auburn</x:v>
      </x:c>
      <x:c r="D14" s="26" t="str">
        <x:v>First-person historical archive</x:v>
      </x:c>
      <x:c r="E14" s="26" t="str">
        <x:v>1987–1996</x:v>
      </x:c>
      <x:c r="F14" s="26" t="str">
        <x:v>Ads, tests, catalog transcriptions and corrections.</x:v>
      </x:c>
      <x:c r="G14" s="26" t="str">
        <x:v>Some claims are interpretive and image hosts are lost.</x:v>
      </x:c>
      <x:c r="H14" s="26" t="str">
        <x:v>Paraphrase; images remain copyrighted.</x:v>
      </x:c>
      <x:c r="I14" s="26" t="str">
        <x:v>https://auburnbmx.wordpress.com/</x:v>
      </x:c>
      <x:c r="J14" s="26" t="str">
        <x:v>2026-07-30</x:v>
      </x:c>
    </x:row>
    <x:row r="15" ht="84" customHeight="1">
      <x:c r="A15" s="26" t="str">
        <x:v>V17-SRC-011</x:v>
      </x:c>
      <x:c r="B15" s="26" t="str">
        <x:v>Auburn catalog reconstruction index</x:v>
      </x:c>
      <x:c r="C15" s="26" t="str">
        <x:v>Auburn</x:v>
      </x:c>
      <x:c r="D15" s="26" t="str">
        <x:v>Catalog/serial index</x:v>
      </x:c>
      <x:c r="E15" s="26" t="str">
        <x:v>Brand endpoint</x:v>
      </x:c>
      <x:c r="F15" s="26" t="str">
        <x:v>Future model and serial research.</x:v>
      </x:c>
      <x:c r="G15" s="26" t="str">
        <x:v>No year/model pages exposed in current index result.</x:v>
      </x:c>
      <x:c r="H15" s="26" t="str">
        <x:v>Index-only.</x:v>
      </x:c>
      <x:c r="I15" s="26" t="str">
        <x:v>https://www.bmx-catalogue.com/auburn/year.html</x:v>
      </x:c>
      <x:c r="J15" s="26" t="str">
        <x:v>2026-07-30</x:v>
      </x:c>
    </x:row>
    <x:row r="16" ht="84" customHeight="1">
      <x:c r="A16" s="26" t="str">
        <x:v>V17-SRC-012</x:v>
      </x:c>
      <x:c r="B16" s="26" t="str">
        <x:v>ELF official history</x:v>
      </x:c>
      <x:c r="C16" s="26" t="str">
        <x:v>ELF</x:v>
      </x:c>
      <x:c r="D16" s="26" t="str">
        <x:v>Current first-party history</x:v>
      </x:c>
      <x:c r="E16" s="26" t="str">
        <x:v>1981 origin; 1991 Doublecross</x:v>
      </x:c>
      <x:c r="F16" s="26" t="str">
        <x:v>Brand and design chronology.</x:v>
      </x:c>
      <x:c r="G16" s="26" t="str">
        <x:v>Retrospective and promotional; does not date Lititz catalog.</x:v>
      </x:c>
      <x:c r="H16" s="26" t="str">
        <x:v>Cite factual history only.</x:v>
      </x:c>
      <x:c r="I16" s="26" t="str">
        <x:v>https://www.elfbmxproducts.com/about-elf</x:v>
      </x:c>
      <x:c r="J16" s="26" t="str">
        <x:v>2026-07-30</x:v>
      </x:c>
    </x:row>
    <x:row r="17" ht="84" customHeight="1">
      <x:c r="A17" s="26" t="str">
        <x:v>V17-SRC-013</x:v>
      </x:c>
      <x:c r="B17" s="26" t="str">
        <x:v>ELF catalog index</x:v>
      </x:c>
      <x:c r="C17" s="26" t="str">
        <x:v>ELF</x:v>
      </x:c>
      <x:c r="D17" s="26" t="str">
        <x:v>Catalog/serial index</x:v>
      </x:c>
      <x:c r="E17" s="26" t="str">
        <x:v>Brand endpoint</x:v>
      </x:c>
      <x:c r="F17" s="26" t="str">
        <x:v>Future catalog/serial discovery.</x:v>
      </x:c>
      <x:c r="G17" s="26" t="str">
        <x:v>No public year sequence exposed.</x:v>
      </x:c>
      <x:c r="H17" s="26" t="str">
        <x:v>Index-only.</x:v>
      </x:c>
      <x:c r="I17" s="26" t="str">
        <x:v>https://www.bmx-catalogue.com/elf/year.html</x:v>
      </x:c>
      <x:c r="J17" s="26" t="str">
        <x:v>2026-07-30</x:v>
      </x:c>
    </x:row>
    <x:row r="18" ht="84" customHeight="1">
      <x:c r="A18" s="26" t="str">
        <x:v>V17-SRC-014</x:v>
      </x:c>
      <x:c r="B18" s="26" t="str">
        <x:v>SE catalog reconstruction index</x:v>
      </x:c>
      <x:c r="C18" s="26" t="str">
        <x:v>SE Racing</x:v>
      </x:c>
      <x:c r="D18" s="26" t="str">
        <x:v>Catalog reconstruction endpoint</x:v>
      </x:c>
      <x:c r="E18" s="26" t="str">
        <x:v>Historical gaps; 2014 modern catalog</x:v>
      </x:c>
      <x:c r="F18" s="26" t="str">
        <x:v>Documents current source gap.</x:v>
      </x:c>
      <x:c r="G18" s="26" t="str">
        <x:v>Cannot substitute modern catalog for old-school years.</x:v>
      </x:c>
      <x:c r="H18" s="26" t="str">
        <x:v>Index-only.</x:v>
      </x:c>
      <x:c r="I18" s="26" t="str">
        <x:v>https://www.bmx-catalogue.com/se-racing/year.html</x:v>
      </x:c>
      <x:c r="J18" s="26" t="str">
        <x:v>2026-07-30</x:v>
      </x:c>
    </x:row>
    <x:row r="19" ht="84" customHeight="1">
      <x:c r="A19" s="26" t="str">
        <x:v>V17-SRC-015</x:v>
      </x:c>
      <x:c r="B19" s="26" t="str">
        <x:v>SE Perry Kramer page</x:v>
      </x:c>
      <x:c r="C19" s="26" t="str">
        <x:v>SE Racing</x:v>
      </x:c>
      <x:c r="D19" s="26" t="str">
        <x:v>Current official rider/heritage source</x:v>
      </x:c>
      <x:c r="E19" s="26" t="str">
        <x:v>Since early 1979 context</x:v>
      </x:c>
      <x:c r="F19" s="26" t="str">
        <x:v>PK Ripper naming relationship.</x:v>
      </x:c>
      <x:c r="G19" s="26" t="str">
        <x:v>Approximate timing and retrospective narration.</x:v>
      </x:c>
      <x:c r="H19" s="26" t="str">
        <x:v>Cite official relationship.</x:v>
      </x:c>
      <x:c r="I19" s="26" t="str">
        <x:v>https://www.sebikes.com/pages/perry-kramer</x:v>
      </x:c>
      <x:c r="J19" s="26" t="str">
        <x:v>2026-07-30</x:v>
      </x:c>
    </x:row>
    <x:row r="20" ht="84" customHeight="1">
      <x:c r="A20" s="26" t="str">
        <x:v>V17-SRC-016</x:v>
      </x:c>
      <x:c r="B20" s="26" t="str">
        <x:v>Ashtabula reference 5027</x:v>
      </x:c>
      <x:c r="C20" s="26" t="str">
        <x:v>Ashtabula</x:v>
      </x:c>
      <x:c r="D20" s="26" t="str">
        <x:v>Exact public BMXMuseum reference</x:v>
      </x:c>
      <x:c r="E20" s="26" t="str">
        <x:v>circa 1977 provisional</x:v>
      </x:c>
      <x:c r="F20" s="26" t="str">
        <x:v>Canonical object identity.</x:v>
      </x:c>
      <x:c r="G20" s="26" t="str">
        <x:v>Direct content blocked; page details externally interpreted.</x:v>
      </x:c>
      <x:c r="H20" s="26" t="str">
        <x:v>Index-only.</x:v>
      </x:c>
      <x:c r="I20" s="26" t="str">
        <x:v>https://bmxmuseum.com/reference/5027</x:v>
      </x:c>
      <x:c r="J20" s="26" t="str">
        <x:v>2026-07-30</x:v>
      </x:c>
    </x:row>
    <x:row r="21" ht="84" customHeight="1">
      <x:c r="A21" s="26" t="str">
        <x:v>V17-SRC-017</x:v>
      </x:c>
      <x:c r="B21" s="26" t="str">
        <x:v>Ashtabula technical backlink</x:v>
      </x:c>
      <x:c r="C21" s="26" t="str">
        <x:v>Ashtabula</x:v>
      </x:c>
      <x:c r="D21" s="26" t="str">
        <x:v>External technical discussion</x:v>
      </x:c>
      <x:c r="E21" s="26" t="str">
        <x:v>Component catalog interpretation</x:v>
      </x:c>
      <x:c r="F21" s="26" t="str">
        <x:v>Fork/crank dimension leads.</x:v>
      </x:c>
      <x:c r="G21" s="26" t="str">
        <x:v>Not direct catalog transcription.</x:v>
      </x:c>
      <x:c r="H21" s="26" t="str">
        <x:v>Paraphrase with qualification.</x:v>
      </x:c>
      <x:c r="I21" s="26" t="str">
        <x:v>https://thecabe.com/forum/threads/ashtabula-fork-identification-help.253603/</x:v>
      </x:c>
      <x:c r="J21" s="26" t="str">
        <x:v>2026-07-30</x:v>
      </x:c>
    </x:row>
    <x:row r="22" ht="84" customHeight="1">
      <x:c r="A22" s="26" t="str">
        <x:v>V17-SRC-018</x:v>
      </x:c>
      <x:c r="B22" s="26" t="str">
        <x:v>PreviousPage period-publication archive</x:v>
      </x:c>
      <x:c r="C22" s="26" t="str">
        <x:v>Multiple</x:v>
      </x:c>
      <x:c r="D22" s="26" t="str">
        <x:v>Period magazine index/OCR</x:v>
      </x:c>
      <x:c r="E22" s="26" t="str">
        <x:v>1980s–1990s</x:v>
      </x:c>
      <x:c r="F22" s="26" t="str">
        <x:v>Advertisements, prices, mailers and catalog offers.</x:v>
      </x:c>
      <x:c r="G22" s="26" t="str">
        <x:v>OCR and page alignment require caution.</x:v>
      </x:c>
      <x:c r="H22" s="26" t="str">
        <x:v>Bibliographic/factual extraction; no scan republishing.</x:v>
      </x:c>
      <x:c r="I22" s="26" t="str">
        <x:v>https://previouspage.co.uk/</x:v>
      </x:c>
      <x:c r="J22" s="26" t="str">
        <x:v>2026-07-30</x:v>
      </x:c>
    </x:row>
    <x:row r="23" ht="84" customHeight="1">
      <x:c r="A23" s="26" t="str">
        <x:v>V17-SRC-019</x:v>
      </x:c>
      <x:c r="B23" s="26" t="str">
        <x:v>BikePedia 1997 ELF record</x:v>
      </x:c>
      <x:c r="C23" s="26" t="str">
        <x:v>ELF</x:v>
      </x:c>
      <x:c r="D23" s="26" t="str">
        <x:v>Secondary specification database</x:v>
      </x:c>
      <x:c r="E23" s="26" t="str">
        <x:v>1997</x:v>
      </x:c>
      <x:c r="F23" s="26" t="str">
        <x:v>Reported MSRP and model specifications.</x:v>
      </x:c>
      <x:c r="G23" s="26" t="str">
        <x:v>Not a manufacturer catalog; verify against period source.</x:v>
      </x:c>
      <x:c r="H23" s="26" t="str">
        <x:v>Use with caution.</x:v>
      </x:c>
      <x:c r="I23" s="26" t="str">
        <x:v>https://www.bikepedia.com/QuickBike/BikeSpecs.aspx?item=66894</x:v>
      </x:c>
      <x:c r="J23" s="26" t="str">
        <x:v>2026-07-30</x:v>
      </x:c>
    </x:row>
    <x:row r="24" ht="84" customHeight="1">
      <x:c r="A24" s="26" t="str">
        <x:v>V17-SRC-020</x:v>
      </x:c>
      <x:c r="B24" s="26" t="str">
        <x:v>BMXMuseum public social/object links</x:v>
      </x:c>
      <x:c r="C24" s="26" t="str">
        <x:v>Multiple</x:v>
      </x:c>
      <x:c r="D24" s="26" t="str">
        <x:v>First-party public metadata exposure</x:v>
      </x:c>
      <x:c r="E24" s="26" t="str">
        <x:v>Selected exact records</x:v>
      </x:c>
      <x:c r="F24" s="26" t="str">
        <x:v>Exact IDs, submitted titles and years.</x:v>
      </x:c>
      <x:c r="G24" s="26" t="str">
        <x:v>Incomplete and not authenticity proof.</x:v>
      </x:c>
      <x:c r="H24" s="26" t="str">
        <x:v>Index canonical metadata only.</x:v>
      </x:c>
      <x:c r="I24" s="26" t="str">
        <x:v>https://www.reddit.com/user/bmxmuseum/</x:v>
      </x:c>
      <x:c r="J24" s="26" t="str">
        <x:v>2026-07-30</x:v>
      </x:c>
    </x:row>
  </x:sheetData>
  <x:mergeCells>
    <x:mergeCell ref="A1:J1"/>
    <x:mergeCell ref="A2:J2"/>
  </x:mergeCells>
  <x:pageMargins left="0.7" right="0.7" top="0.75" bottom="0.75" header="0.3" footer="0.3"/>
  <x:tableParts count="1">
    <x:tablePart xmlns:r="http://schemas.openxmlformats.org/officeDocument/2006/relationships" r:id="R24abfc5b836640f9"/>
  </x:tableParts>
</x:worksheet>
</file>

<file path=xl/worksheets/sheet129.xml><?xml version="1.0" encoding="utf-8"?>
<x:worksheet xmlns:x="http://schemas.openxmlformats.org/spreadsheetml/2006/main">
  <x:sheetFormatPr defaultRowHeight="15"/>
  <x:cols>
    <x:col min="1" max="1" width="15" hidden="0" customWidth="1"/>
    <x:col min="2" max="2" width="25" hidden="0" customWidth="1"/>
    <x:col min="3" max="3" width="52" hidden="0" customWidth="1"/>
    <x:col min="4" max="4" width="46" hidden="0" customWidth="1"/>
    <x:col min="5" max="5" width="52" hidden="0" customWidth="1"/>
    <x:col min="6" max="6" width="46" hidden="0" customWidth="1"/>
    <x:col min="7" max="7" width="10" hidden="0" customWidth="1"/>
    <x:col min="8" max="8" width="52" hidden="0" customWidth="1"/>
    <x:col min="9" max="9" width="20" hidden="0" customWidth="1"/>
  </x:cols>
  <x:sheetData>
    <x:row r="1" ht="31" customHeight="1">
      <x:c r="A1" s="621" t="str">
        <x:v>v1.7 Open Questions and Recovery Queue</x:v>
      </x:c>
      <x:c r="B1" s="621"/>
      <x:c r="C1" s="621"/>
      <x:c r="D1" s="621"/>
      <x:c r="E1" s="621"/>
      <x:c r="F1" s="621"/>
      <x:c r="G1" s="621"/>
      <x:c r="H1" s="621"/>
      <x:c r="I1" s="621"/>
    </x:row>
    <x:row r="2" ht="31" customHeight="1">
      <x:c r="A2" s="626" t="str">
        <x:v>Every unresolved catalog, price, advertisement and physical-publication issue has a specific evidence route. No missing source becomes a negative historical claim.</x:v>
      </x:c>
      <x:c r="B2" s="626"/>
      <x:c r="C2" s="626"/>
      <x:c r="D2" s="626"/>
      <x:c r="E2" s="626"/>
      <x:c r="F2" s="626"/>
      <x:c r="G2" s="626"/>
      <x:c r="H2" s="626"/>
      <x:c r="I2" s="626"/>
    </x:row>
    <x:row r="4">
      <x:c r="A4" s="631" t="str">
        <x:v>Question ID</x:v>
      </x:c>
      <x:c r="B4" s="631" t="str">
        <x:v>Brand / Type</x:v>
      </x:c>
      <x:c r="C4" s="631" t="str">
        <x:v>Open Question</x:v>
      </x:c>
      <x:c r="D4" s="631" t="str">
        <x:v>Why It Matters</x:v>
      </x:c>
      <x:c r="E4" s="631" t="str">
        <x:v>Evidence Needed</x:v>
      </x:c>
      <x:c r="F4" s="631" t="str">
        <x:v>Current Position</x:v>
      </x:c>
      <x:c r="G4" s="631" t="str">
        <x:v>Priority</x:v>
      </x:c>
      <x:c r="H4" s="631" t="str">
        <x:v>Next Permission-Free Route</x:v>
      </x:c>
      <x:c r="I4" s="631" t="str">
        <x:v>Status</x:v>
      </x:c>
    </x:row>
    <x:row r="5" ht="86" customHeight="1">
      <x:c r="A5" s="26" t="str">
        <x:v>V17-Q-001</x:v>
      </x:c>
      <x:c r="B5" s="26" t="str">
        <x:v>Haro catalogs</x:v>
      </x:c>
      <x:c r="C5" s="26" t="str">
        <x:v>What are the exact BMXMuseum reference IDs for 1989, 1990, 1991, 1992, 1993 Part 2 and 1996 catalogs?</x:v>
      </x:c>
      <x:c r="D5" s="26" t="str">
        <x:v>Closes canonical source mapping without copying scans.</x:v>
      </x:c>
      <x:c r="E5" s="26" t="str">
        <x:v>Public backlinks, social posts or citations exposing exact IDs.</x:v>
      </x:c>
      <x:c r="F5" s="26" t="str">
        <x:v>Titles are publicly indexed; IDs unresolved.</x:v>
      </x:c>
      <x:c r="G5" s="26" t="str">
        <x:v>P0</x:v>
      </x:c>
      <x:c r="H5" s="26" t="str">
        <x:v>Exact-title searches and outside citations.</x:v>
      </x:c>
      <x:c r="I5" s="26" t="str">
        <x:v>OPEN</x:v>
      </x:c>
    </x:row>
    <x:row r="6" ht="86" customHeight="1">
      <x:c r="A6" s="26" t="str">
        <x:v>V17-Q-002</x:v>
      </x:c>
      <x:c r="B6" s="26" t="str">
        <x:v>Haro editions</x:v>
      </x:c>
      <x:c r="C6" s="26" t="str">
        <x:v>Do official Haro PDFs and publicly indexed BMXMuseum references represent the same market editions and page counts?</x:v>
      </x:c>
      <x:c r="D6" s="26" t="str">
        <x:v>Prevents false merging of US/international catalogs.</x:v>
      </x:c>
      <x:c r="E6" s="26" t="str">
        <x:v>Imprint, page count and file comparison.</x:v>
      </x:c>
      <x:c r="F6" s="26" t="str">
        <x:v>Official existence established.</x:v>
      </x:c>
      <x:c r="G6" s="26" t="str">
        <x:v>P1</x:v>
      </x:c>
      <x:c r="H6" s="26" t="str">
        <x:v>Official files and public bibliographic metadata.</x:v>
      </x:c>
      <x:c r="I6" s="26" t="str">
        <x:v>OPEN</x:v>
      </x:c>
    </x:row>
    <x:row r="7" ht="86" customHeight="1">
      <x:c r="A7" s="26" t="str">
        <x:v>V17-Q-003</x:v>
      </x:c>
      <x:c r="B7" s="26" t="str">
        <x:v>Mongoose printed media</x:v>
      </x:c>
      <x:c r="C7" s="26" t="str">
        <x:v>What are the page counts, imprints and market editions for every 1975–1993 catalog?</x:v>
      </x:c>
      <x:c r="D7" s="26" t="str">
        <x:v>Turns a list into a bibliographic archive.</x:v>
      </x:c>
      <x:c r="E7" s="26" t="str">
        <x:v>Cover, imprint and final page inspection.</x:v>
      </x:c>
      <x:c r="F7" s="26" t="str">
        <x:v>Sixteen editions are indexed.</x:v>
      </x:c>
      <x:c r="G7" s="26" t="str">
        <x:v>P1</x:v>
      </x:c>
      <x:c r="H7" s="26" t="str">
        <x:v>Manual inspection of lawful hosted PDFs.</x:v>
      </x:c>
      <x:c r="I7" s="26" t="str">
        <x:v>OPEN</x:v>
      </x:c>
    </x:row>
    <x:row r="8" ht="86" customHeight="1">
      <x:c r="A8" s="26" t="str">
        <x:v>V17-Q-004</x:v>
      </x:c>
      <x:c r="B8" s="26" t="str">
        <x:v>Mongoose price sheets</x:v>
      </x:c>
      <x:c r="C8" s="26" t="str">
        <x:v>Where are the dealer price sheets described by Vintage Mongoose?</x:v>
      </x:c>
      <x:c r="D8" s="26" t="str">
        <x:v>Would create manufacturer/distributor price chronology.</x:v>
      </x:c>
      <x:c r="E8" s="26" t="str">
        <x:v>Public price-sheet files, bibliographies or dealer scans.</x:v>
      </x:c>
      <x:c r="F8" s="26" t="str">
        <x:v>Archive states it holds dealer price sheets but index is incomplete.</x:v>
      </x:c>
      <x:c r="G8" s="26" t="str">
        <x:v>P0</x:v>
      </x:c>
      <x:c r="H8" s="26" t="str">
        <x:v>Site navigation, public citations and collector indexes.</x:v>
      </x:c>
      <x:c r="I8" s="26" t="str">
        <x:v>OPEN</x:v>
      </x:c>
    </x:row>
    <x:row r="9" ht="86" customHeight="1">
      <x:c r="A9" s="26" t="str">
        <x:v>V17-Q-005</x:v>
      </x:c>
      <x:c r="B9" s="26" t="str">
        <x:v>Mongoose 1998</x:v>
      </x:c>
      <x:c r="C9" s="26" t="str">
        <x:v>Which catalog verifies BMXMuseum record 134583's 'Outer Limit' spelling and specification?</x:v>
      </x:c>
      <x:c r="D9" s="26" t="str">
        <x:v>Exact model/year control.</x:v>
      </x:c>
      <x:c r="E9" s="26" t="str">
        <x:v>1998 catalog or dealer sheet.</x:v>
      </x:c>
      <x:c r="F9" s="26" t="str">
        <x:v>Current printed-media archive stops at 1993.</x:v>
      </x:c>
      <x:c r="G9" s="26" t="str">
        <x:v>P0</x:v>
      </x:c>
      <x:c r="H9" s="26" t="str">
        <x:v>Public later Mongoose catalogs and model databases.</x:v>
      </x:c>
      <x:c r="I9" s="26" t="str">
        <x:v>OPEN</x:v>
      </x:c>
    </x:row>
    <x:row r="10" ht="86" customHeight="1">
      <x:c r="A10" s="26" t="str">
        <x:v>V17-Q-006</x:v>
      </x:c>
      <x:c r="B10" s="26" t="str">
        <x:v>Redline first ad</x:v>
      </x:c>
      <x:c r="C10" s="26" t="str">
        <x:v>What exact publication, issue and page carried the reported December 1976 advertisement?</x:v>
      </x:c>
      <x:c r="D10" s="26" t="str">
        <x:v>Establishes earliest recoverable public marketing object.</x:v>
      </x:c>
      <x:c r="E10" s="26" t="str">
        <x:v>Period magazine/newspaper scan and bibliographic citation.</x:v>
      </x:c>
      <x:c r="F10" s="26" t="str">
        <x:v>Date/image appears in modern history.</x:v>
      </x:c>
      <x:c r="G10" s="26" t="str">
        <x:v>P0</x:v>
      </x:c>
      <x:c r="H10" s="26" t="str">
        <x:v>BMX Weekly indexes and collector citations.</x:v>
      </x:c>
      <x:c r="I10" s="26" t="str">
        <x:v>OPEN</x:v>
      </x:c>
    </x:row>
    <x:row r="11" ht="86" customHeight="1">
      <x:c r="A11" s="26" t="str">
        <x:v>V17-Q-007</x:v>
      </x:c>
      <x:c r="B11" s="26" t="str">
        <x:v>Redline 1985</x:v>
      </x:c>
      <x:c r="C11" s="26" t="str">
        <x:v>Can the 1985 dealer brochure/catalog and original price list be recovered?</x:v>
      </x:c>
      <x:c r="D11" s="26" t="str">
        <x:v>Critical RL20 freestyle chronology and prices.</x:v>
      </x:c>
      <x:c r="E11" s="26" t="str">
        <x:v>Original brochure, dealer sheet and page metadata.</x:v>
      </x:c>
      <x:c r="F11" s="26" t="str">
        <x:v>Modern project page identifies brochure object.</x:v>
      </x:c>
      <x:c r="G11" s="26" t="str">
        <x:v>P0</x:v>
      </x:c>
      <x:c r="H11" s="26" t="str">
        <x:v>Public physical listings and period magazine citations.</x:v>
      </x:c>
      <x:c r="I11" s="26" t="str">
        <x:v>OPEN</x:v>
      </x:c>
    </x:row>
    <x:row r="12" ht="86" customHeight="1">
      <x:c r="A12" s="26" t="str">
        <x:v>V17-Q-008</x:v>
      </x:c>
      <x:c r="B12" s="26" t="str">
        <x:v>Hutch 1981</x:v>
      </x:c>
      <x:c r="C12" s="26" t="str">
        <x:v>Can the original Pro Racer/LiL Hole Shot catalog or price sheet be located?</x:v>
      </x:c>
      <x:c r="D12" s="26" t="str">
        <x:v>Moves retrospective price claims to period documents.</x:v>
      </x:c>
      <x:c r="E12" s="26" t="str">
        <x:v>Original ad/catalog/price list.</x:v>
      </x:c>
      <x:c r="F12" s="26" t="str">
        <x:v>Official history supplies values.</x:v>
      </x:c>
      <x:c r="G12" s="26" t="str">
        <x:v>P0</x:v>
      </x:c>
      <x:c r="H12" s="26" t="str">
        <x:v>Period BMX publications and dealer ephemera.</x:v>
      </x:c>
      <x:c r="I12" s="26" t="str">
        <x:v>OPEN</x:v>
      </x:c>
    </x:row>
    <x:row r="13" ht="86" customHeight="1">
      <x:c r="A13" s="26" t="str">
        <x:v>V17-Q-009</x:v>
      </x:c>
      <x:c r="B13" s="26" t="str">
        <x:v>Hutch manufacturing</x:v>
      </x:c>
      <x:c r="C13" s="26" t="str">
        <x:v>Which specific models/components were built by Profile, Thruster, MCS and VDC?</x:v>
      </x:c>
      <x:c r="D13" s="26" t="str">
        <x:v>Prevents outsourcing relationships from being generalized.</x:v>
      </x:c>
      <x:c r="E13" s="26" t="str">
        <x:v>Invoices, catalogs, interviews and markings.</x:v>
      </x:c>
      <x:c r="F13" s="26" t="str">
        <x:v>Official history names companies broadly.</x:v>
      </x:c>
      <x:c r="G13" s="26" t="str">
        <x:v>P1</x:v>
      </x:c>
      <x:c r="H13" s="26" t="str">
        <x:v>Period tests, maker interviews and official product pages.</x:v>
      </x:c>
      <x:c r="I13" s="26" t="str">
        <x:v>OPEN</x:v>
      </x:c>
    </x:row>
    <x:row r="14" ht="86" customHeight="1">
      <x:c r="A14" s="26" t="str">
        <x:v>V17-Q-010</x:v>
      </x:c>
      <x:c r="B14" s="26" t="str">
        <x:v>Auburn first production</x:v>
      </x:c>
      <x:c r="C14" s="26" t="str">
        <x:v>Was Auburn born in late 1987 or formally launched in 1988?</x:v>
      </x:c>
      <x:c r="D14" s="26" t="str">
        <x:v>Controls company/model chronology.</x:v>
      </x:c>
      <x:c r="E14" s="26" t="str">
        <x:v>March 1988 prototype test, first ad, invoices and company records.</x:v>
      </x:c>
      <x:c r="F14" s="26" t="str">
        <x:v>First-person archive infers late 1987 prototype work.</x:v>
      </x:c>
      <x:c r="G14" s="26" t="str">
        <x:v>P0</x:v>
      </x:c>
      <x:c r="H14" s="26" t="str">
        <x:v>Period issue dates and corporate filings.</x:v>
      </x:c>
      <x:c r="I14" s="26" t="str">
        <x:v>OPEN</x:v>
      </x:c>
    </x:row>
    <x:row r="15" ht="86" customHeight="1">
      <x:c r="A15" s="26" t="str">
        <x:v>V17-Q-011</x:v>
      </x:c>
      <x:c r="B15" s="26" t="str">
        <x:v>Auburn CR20S</x:v>
      </x:c>
      <x:c r="C15" s="26" t="str">
        <x:v>Was the November 1989 ad truly the CR20S debut, and what distinguished CR20/CR20R/CR20S?</x:v>
      </x:c>
      <x:c r="D15" s="26" t="str">
        <x:v>Source and comments conflict.</x:v>
      </x:c>
      <x:c r="E15" s="26" t="str">
        <x:v>Original ad, catalog, price list and employee statements.</x:v>
      </x:c>
      <x:c r="F15" s="26" t="str">
        <x:v>Archive post and comment disagree.</x:v>
      </x:c>
      <x:c r="G15" s="26" t="str">
        <x:v>P0</x:v>
      </x:c>
      <x:c r="H15" s="26" t="str">
        <x:v>Period Go issue and 1989/1990 catalog materials.</x:v>
      </x:c>
      <x:c r="I15" s="26" t="str">
        <x:v>OPEN</x:v>
      </x:c>
    </x:row>
    <x:row r="16" ht="86" customHeight="1">
      <x:c r="A16" s="26" t="str">
        <x:v>V17-Q-012</x:v>
      </x:c>
      <x:c r="B16" s="26" t="str">
        <x:v>Auburn jersey</x:v>
      </x:c>
      <x:c r="C16" s="26" t="str">
        <x:v>What year, team and wearer context belongs to artifact 26.0085?</x:v>
      </x:c>
      <x:c r="D16" s="26" t="str">
        <x:v>Creates a direct Lititz artifact conclusion.</x:v>
      </x:c>
      <x:c r="E16" s="26" t="str">
        <x:v>Full textile capture, labels, ads, rosters and provenance.</x:v>
      </x:c>
      <x:c r="F16" s="26" t="str">
        <x:v>Identity only.</x:v>
      </x:c>
      <x:c r="G16" s="26" t="str">
        <x:v>P0</x:v>
      </x:c>
      <x:c r="H16" s="26" t="str">
        <x:v>Physical roadmap plus 1988–1994 team advertisements.</x:v>
      </x:c>
      <x:c r="I16" s="26" t="str">
        <x:v>OPEN</x:v>
      </x:c>
    </x:row>
    <x:row r="17" ht="86" customHeight="1">
      <x:c r="A17" s="26" t="str">
        <x:v>V17-Q-013</x:v>
      </x:c>
      <x:c r="B17" s="26" t="str">
        <x:v>ELF catalog</x:v>
      </x:c>
      <x:c r="C17" s="26" t="str">
        <x:v>What is artifact 26.0006's year, edition, page count and mailing date?</x:v>
      </x:c>
      <x:c r="D17" s="26" t="str">
        <x:v>Turns the physical object into a citable catalog record.</x:v>
      </x:c>
      <x:c r="E17" s="26" t="str">
        <x:v>Complete page/imprint/postal capture.</x:v>
      </x:c>
      <x:c r="F17" s="26" t="str">
        <x:v>Exterior evidence only.</x:v>
      </x:c>
      <x:c r="G17" s="26" t="str">
        <x:v>P0</x:v>
      </x:c>
      <x:c r="H17" s="26" t="str">
        <x:v>Existing physical roadmap.</x:v>
      </x:c>
      <x:c r="I17" s="26" t="str">
        <x:v>OPEN</x:v>
      </x:c>
    </x:row>
    <x:row r="18" ht="86" customHeight="1">
      <x:c r="A18" s="26" t="str">
        <x:v>V17-Q-014</x:v>
      </x:c>
      <x:c r="B18" s="26" t="str">
        <x:v>ELF period sources</x:v>
      </x:c>
      <x:c r="C18" s="26" t="str">
        <x:v>Where are the original 1991 Doublecross launch ad/catalog and 1997 price source?</x:v>
      </x:c>
      <x:c r="D18" s="26" t="str">
        <x:v>Would independently verify retrospective claims and MSRP.</x:v>
      </x:c>
      <x:c r="E18" s="26" t="str">
        <x:v>Period ads, catalogs and dealer price lists.</x:v>
      </x:c>
      <x:c r="F18" s="26" t="str">
        <x:v>Current first-party history and secondary 1997 record only.</x:v>
      </x:c>
      <x:c r="G18" s="26" t="str">
        <x:v>P0</x:v>
      </x:c>
      <x:c r="H18" s="26" t="str">
        <x:v>Period BMX publications and collector catalog indexes.</x:v>
      </x:c>
      <x:c r="I18" s="26" t="str">
        <x:v>OPEN</x:v>
      </x:c>
    </x:row>
    <x:row r="19" ht="86" customHeight="1">
      <x:c r="A19" s="26" t="str">
        <x:v>V17-Q-015</x:v>
      </x:c>
      <x:c r="B19" s="26" t="str">
        <x:v>SE Racing catalogs</x:v>
      </x:c>
      <x:c r="C19" s="26" t="str">
        <x:v>Can 1978–1985 SE Racing catalogs and price lists be recovered?</x:v>
      </x:c>
      <x:c r="D19" s="26" t="str">
        <x:v>Major gap for PK Ripper, Quadangle and OM Flyer history.</x:v>
      </x:c>
      <x:c r="E19" s="26" t="str">
        <x:v>Original catalogs, dealer sheets and period ads.</x:v>
      </x:c>
      <x:c r="F19" s="26" t="str">
        <x:v>Current reconstruction explicitly lacks 1985.</x:v>
      </x:c>
      <x:c r="G19" s="26" t="str">
        <x:v>P0</x:v>
      </x:c>
      <x:c r="H19" s="26" t="str">
        <x:v>Official SE archive, period magazines and collector sources.</x:v>
      </x:c>
      <x:c r="I19" s="26" t="str">
        <x:v>OPEN</x:v>
      </x:c>
    </x:row>
    <x:row r="20" ht="86" customHeight="1">
      <x:c r="A20" s="26" t="str">
        <x:v>V17-Q-016</x:v>
      </x:c>
      <x:c r="B20" s="26" t="str">
        <x:v>SE replica control</x:v>
      </x:c>
      <x:c r="C20" s="26" t="str">
        <x:v>Can public exact SE records be classified as original, restored, replica or modern heritage from outside evidence?</x:v>
      </x:c>
      <x:c r="D20" s="26" t="str">
        <x:v>Prevents replicas from becoming specification authorities.</x:v>
      </x:c>
      <x:c r="E20" s="26" t="str">
        <x:v>Owner statements, serials, catalogs and provenance.</x:v>
      </x:c>
      <x:c r="F20" s="26" t="str">
        <x:v>135823 is explicitly replica; others remain open.</x:v>
      </x:c>
      <x:c r="G20" s="26" t="str">
        <x:v>P1</x:v>
      </x:c>
      <x:c r="H20" s="26" t="str">
        <x:v>Public owner posts and catalog comparison.</x:v>
      </x:c>
      <x:c r="I20" s="26" t="str">
        <x:v>OPEN</x:v>
      </x:c>
    </x:row>
    <x:row r="21" ht="86" customHeight="1">
      <x:c r="A21" s="26" t="str">
        <x:v>V17-Q-017</x:v>
      </x:c>
      <x:c r="B21" s="26" t="str">
        <x:v>Ashtabula 5027</x:v>
      </x:c>
      <x:c r="C21" s="26" t="str">
        <x:v>What is the exact catalog date, title, page count and full component range?</x:v>
      </x:c>
      <x:c r="D21" s="26" t="str">
        <x:v>Completes the only exact component-reference object in this phase.</x:v>
      </x:c>
      <x:c r="E21" s="26" t="str">
        <x:v>Public bibliographic citation or page-level access.</x:v>
      </x:c>
      <x:c r="F21" s="26" t="str">
        <x:v>ID exact; date/content partial.</x:v>
      </x:c>
      <x:c r="G21" s="26" t="str">
        <x:v>P0</x:v>
      </x:c>
      <x:c r="H21" s="26" t="str">
        <x:v>Technical citations and public reposts.</x:v>
      </x:c>
      <x:c r="I21" s="26" t="str">
        <x:v>OPEN</x:v>
      </x:c>
    </x:row>
    <x:row r="22" ht="86" customHeight="1">
      <x:c r="A22" s="26" t="str">
        <x:v>V17-Q-018</x:v>
      </x:c>
      <x:c r="B22" s="26" t="str">
        <x:v>Price basis</x:v>
      </x:c>
      <x:c r="C22" s="26" t="str">
        <x:v>Can manufacturer MSRP be recovered for Haro, Mongoose, Redline, Hutch, Auburn, ELF and SE separately from dealer prices?</x:v>
      </x:c>
      <x:c r="D22" s="26" t="str">
        <x:v>Enables defensible historical price analysis.</x:v>
      </x:c>
      <x:c r="E22" s="26" t="str">
        <x:v>Manufacturer price sheets and dealer documents with labeled columns.</x:v>
      </x:c>
      <x:c r="F22" s="26" t="str">
        <x:v>Current values mix several price roles.</x:v>
      </x:c>
      <x:c r="G22" s="26" t="str">
        <x:v>P1</x:v>
      </x:c>
      <x:c r="H22" s="26" t="str">
        <x:v>Public dealer/manufacturer ephemera.</x:v>
      </x:c>
      <x:c r="I22" s="26" t="str">
        <x:v>OPEN</x:v>
      </x:c>
    </x:row>
    <x:row r="23" ht="86" customHeight="1">
      <x:c r="A23" s="26" t="str">
        <x:v>V17-Q-019</x:v>
      </x:c>
      <x:c r="B23" s="26" t="str">
        <x:v>Market editions</x:v>
      </x:c>
      <x:c r="C23" s="26" t="str">
        <x:v>Which catalogs and advertisements are US, UK, Australian or other market editions?</x:v>
      </x:c>
      <x:c r="D23" s="26" t="str">
        <x:v>Models, prices and parts may differ by market.</x:v>
      </x:c>
      <x:c r="E23" s="26" t="str">
        <x:v>Imprints, currency and distributor statements.</x:v>
      </x:c>
      <x:c r="F23" s="26" t="str">
        <x:v>Many catalog indexes omit market metadata.</x:v>
      </x:c>
      <x:c r="G23" s="26" t="str">
        <x:v>P1</x:v>
      </x:c>
      <x:c r="H23" s="26" t="str">
        <x:v>Full-cover/imprint capture.</x:v>
      </x:c>
      <x:c r="I23" s="26" t="str">
        <x:v>OPEN</x:v>
      </x:c>
    </x:row>
    <x:row r="24" ht="86" customHeight="1">
      <x:c r="A24" s="26" t="str">
        <x:v>V17-Q-020</x:v>
      </x:c>
      <x:c r="B24" s="26" t="str">
        <x:v>Preservation</x:v>
      </x:c>
      <x:c r="C24" s="26" t="str">
        <x:v>Which lawfully hosted catalogs may be downloaded for private preservation, and under what terms?</x:v>
      </x:c>
      <x:c r="D24" s="26" t="str">
        <x:v>Separates indexing from file preservation.</x:v>
      </x:c>
      <x:c r="E24" s="26" t="str">
        <x:v>Site terms, explicit licenses or owner permission.</x:v>
      </x:c>
      <x:c r="F24" s="26" t="str">
        <x:v>Current release indexes without assuming download/republication rights.</x:v>
      </x:c>
      <x:c r="G24" s="26" t="str">
        <x:v>P2</x:v>
      </x:c>
      <x:c r="H24" s="26" t="str">
        <x:v>Rights audit by source/domain.</x:v>
      </x:c>
      <x:c r="I24" s="26" t="str">
        <x:v>OPEN</x:v>
      </x:c>
    </x:row>
  </x:sheetData>
  <x:mergeCells>
    <x:mergeCell ref="A1:I1"/>
    <x:mergeCell ref="A2:I2"/>
  </x:mergeCells>
  <x:conditionalFormatting sqref="G5:G24">
    <x:cfRule type="expression" dxfId="44" priority="1">
      <x:formula>G5="P0"</x:formula>
    </x:cfRule>
  </x:conditionalFormatting>
  <x:dataValidations count="1">
    <x:dataValidation type="list" sqref="G5:G24">
      <x:formula1>"P0,P1,P2,P3"</x:formula1>
    </x:dataValidation>
  </x:dataValidations>
  <x:pageMargins left="0.7" right="0.7" top="0.75" bottom="0.75" header="0.3" footer="0.3"/>
  <x:tableParts count="1">
    <x:tablePart xmlns:r="http://schemas.openxmlformats.org/officeDocument/2006/relationships" r:id="R94bb03a4a7e4437e"/>
  </x:tableParts>
</x:worksheet>
</file>

<file path=xl/worksheets/sheet130.xml><?xml version="1.0" encoding="utf-8"?>
<x:worksheet xmlns:x="http://schemas.openxmlformats.org/spreadsheetml/2006/main">
  <x:sheetFormatPr defaultRowHeight="15"/>
  <x:cols>
    <x:col min="1" max="1" width="30" hidden="0" customWidth="1"/>
    <x:col min="2" max="2" width="14" hidden="0" customWidth="1"/>
    <x:col min="4" max="4" width="27" hidden="0" customWidth="1"/>
    <x:col min="5" max="5" width="72" hidden="0" customWidth="1"/>
    <x:col min="8" max="8" width="29" hidden="0" customWidth="1"/>
    <x:col min="9" max="9" width="50" hidden="0" customWidth="1"/>
  </x:cols>
  <x:sheetData>
    <x:row r="1">
      <x:c r="A1" s="621" t="str">
        <x:v>BMXMuseum Public Knowledge Register v1.7 — Broad Catalog, Advertisement, Flyer and Price-Sheet Expansion</x:v>
      </x:c>
      <x:c r="B1" s="621"/>
      <x:c r="C1" s="621"/>
      <x:c r="D1" s="621"/>
      <x:c r="E1" s="621"/>
      <x:c r="F1" s="621"/>
      <x:c r="G1" s="621"/>
      <x:c r="H1" s="621"/>
      <x:c r="I1" s="621"/>
      <x:c r="J1" s="621"/>
      <x:c r="K1" s="621"/>
      <x:c r="L1" s="621"/>
      <x:c r="M1" s="621"/>
      <x:c r="N1" s="621"/>
    </x:row>
    <x:row r="2">
      <x:c r="A2" s="626" t="str">
        <x:v>Permission-free research only. Eight brands are organized by documentary coverage, source role, price basis, rights status, exact BMXMuseum objects, Lititz relevance and explicit gaps.</x:v>
      </x:c>
      <x:c r="B2" s="626"/>
      <x:c r="C2" s="626"/>
      <x:c r="D2" s="626"/>
      <x:c r="E2" s="626"/>
      <x:c r="F2" s="626"/>
      <x:c r="G2" s="626"/>
      <x:c r="H2" s="626"/>
      <x:c r="I2" s="626"/>
      <x:c r="J2" s="626"/>
      <x:c r="K2" s="626"/>
      <x:c r="L2" s="626"/>
      <x:c r="M2" s="626"/>
      <x:c r="N2" s="626"/>
    </x:row>
    <x:row r="4">
      <x:c r="A4" s="631" t="str">
        <x:v>Work Product</x:v>
      </x:c>
      <x:c r="B4" s="631" t="str">
        <x:v>Count</x:v>
      </x:c>
      <x:c r="D4" s="631" t="str">
        <x:v>Major Result</x:v>
      </x:c>
      <x:c r="E4" s="631" t="str">
        <x:v>Determination</x:v>
      </x:c>
      <x:c r="H4" s="631" t="str">
        <x:v>Boundary</x:v>
      </x:c>
      <x:c r="I4" s="631" t="str">
        <x:v>Locked Rule</x:v>
      </x:c>
    </x:row>
    <x:row r="5" ht="48" customHeight="1">
      <x:c r="A5" s="26" t="str">
        <x:v>Priority brands</x:v>
      </x:c>
      <x:c r="B5" s="26" t="n">
        <x:f>COUNTA('v1.7 Brand Coverage'!A5:A100)</x:f>
        <x:v>8</x:v>
      </x:c>
      <x:c r="D5" s="634" t="str">
        <x:v>Haro</x:v>
      </x:c>
      <x:c r="E5" s="26" t="str">
        <x:v>Official archive and broad model-year reconstruction are strong; exact BMXMuseum catalog IDs remain the main gap.</x:v>
      </x:c>
      <x:c r="H5" s="636" t="str">
        <x:v>Catalog count</x:v>
      </x:c>
      <x:c r="I5" s="26" t="str">
        <x:v>Document entries—not production quantity.</x:v>
      </x:c>
    </x:row>
    <x:row r="6" ht="48" customHeight="1">
      <x:c r="A6" s="26" t="str">
        <x:v>Catalog/manual objects</x:v>
      </x:c>
      <x:c r="B6" s="26" t="n">
        <x:f>COUNTA('v1.7 Catalog Register'!A5:A200)</x:f>
        <x:v>32</x:v>
      </x:c>
      <x:c r="D6" s="634" t="str">
        <x:v>Mongoose</x:v>
      </x:c>
      <x:c r="E6" s="26" t="str">
        <x:v>Sixteen catalogs plus a manual form the strongest printed-media sequence in this release.</x:v>
      </x:c>
      <x:c r="H6" s="636" t="str">
        <x:v>Public archive</x:v>
      </x:c>
      <x:c r="I6" s="26" t="str">
        <x:v>Provenance—not automatic republication permission.</x:v>
      </x:c>
    </x:row>
    <x:row r="7" ht="48" customHeight="1">
      <x:c r="A7" s="26" t="str">
        <x:v>Advertisements/tests</x:v>
      </x:c>
      <x:c r="B7" s="26" t="n">
        <x:f>COUNTA('v1.7 Advertisements'!A5:A200)</x:f>
        <x:v>17</x:v>
      </x:c>
      <x:c r="D7" s="634" t="str">
        <x:v>Redline</x:v>
      </x:c>
      <x:c r="E7" s="26" t="str">
        <x:v>Catalog structure and early-ad history are useful, but original dealer price sheets remain open.</x:v>
      </x:c>
      <x:c r="H7" s="636" t="str">
        <x:v>Catalog reconstruction</x:v>
      </x:c>
      <x:c r="I7" s="26" t="str">
        <x:v>Secondary source—not original factory file.</x:v>
      </x:c>
    </x:row>
    <x:row r="8" ht="48" customHeight="1">
      <x:c r="A8" s="26" t="str">
        <x:v>Flyers/mailers</x:v>
      </x:c>
      <x:c r="B8" s="26" t="n">
        <x:f>COUNTA('v1.7 Flyers &amp; Mailers'!A5:A200)</x:f>
        <x:v>10</x:v>
      </x:c>
      <x:c r="D8" s="634" t="str">
        <x:v>Hutch</x:v>
      </x:c>
      <x:c r="E8" s="26" t="str">
        <x:v>Official history supplies rare 1981 price claims; original launch catalog/price sheet is still needed.</x:v>
      </x:c>
      <x:c r="H8" s="636" t="str">
        <x:v>Dealer price</x:v>
      </x:c>
      <x:c r="I8" s="26" t="str">
        <x:v>Not MSRP.</x:v>
      </x:c>
    </x:row>
    <x:row r="9" ht="48" customHeight="1">
      <x:c r="A9" s="26" t="str">
        <x:v>Price-sheet contexts</x:v>
      </x:c>
      <x:c r="B9" s="26" t="n">
        <x:f>COUNTA('v1.7 Price Sheet Register'!A5:A200)</x:f>
        <x:v>12</x:v>
      </x:c>
      <x:c r="D9" s="634" t="str">
        <x:v>Auburn</x:v>
      </x:c>
      <x:c r="E9" s="26" t="str">
        <x:v>A first-person advertisement/test/catalog chronology now creates a direct comparison route for jersey 26.0085.</x:v>
      </x:c>
      <x:c r="H9" s="636" t="str">
        <x:v>Catalog fee</x:v>
      </x:c>
      <x:c r="I9" s="26" t="str">
        <x:v>Not product price.</x:v>
      </x:c>
    </x:row>
    <x:row r="10" ht="48" customHeight="1">
      <x:c r="A10" s="26" t="str">
        <x:v>Price observations</x:v>
      </x:c>
      <x:c r="B10" s="26" t="n">
        <x:f>COUNTA('v1.7 Price Observations'!A5:A200)</x:f>
        <x:v>16</x:v>
      </x:c>
      <x:c r="D10" s="634" t="str">
        <x:v>ELF</x:v>
      </x:c>
      <x:c r="E10" s="26" t="str">
        <x:v>The physical Lititz catalog is more important than the currently thin public period-source coverage.</x:v>
      </x:c>
      <x:c r="H10" s="636" t="str">
        <x:v>Modern reissue</x:v>
      </x:c>
      <x:c r="I10" s="26" t="str">
        <x:v>Not original-period evidence.</x:v>
      </x:c>
    </x:row>
    <x:row r="11" ht="48" customHeight="1">
      <x:c r="A11" s="26" t="str">
        <x:v>BMXMuseum objects/leads</x:v>
      </x:c>
      <x:c r="B11" s="26" t="n">
        <x:f>COUNTA('v1.7 BMXM Source Leads'!A5:A200)</x:f>
        <x:v>15</x:v>
      </x:c>
      <x:c r="D11" s="634" t="str">
        <x:v>SE Racing</x:v>
      </x:c>
      <x:c r="E11" s="26" t="str">
        <x:v>Exact bikes and official heritage exist, but old-school catalog coverage remains a major source gap.</x:v>
      </x:c>
      <x:c r="H11" s="636" t="str">
        <x:v>BMXMuseum exact bike</x:v>
      </x:c>
      <x:c r="I11" s="26" t="str">
        <x:v>Submitted record—not factory specification.</x:v>
      </x:c>
    </x:row>
    <x:row r="12" ht="48" customHeight="1">
      <x:c r="A12" s="26" t="str">
        <x:v>Lititz crosswalks</x:v>
      </x:c>
      <x:c r="B12" s="26" t="n">
        <x:f>COUNTA('v1.7 Lititz Crosswalk'!A5:A100)</x:f>
        <x:v>5</x:v>
      </x:c>
      <x:c r="D12" s="634" t="str">
        <x:v>Ashtabula</x:v>
      </x:c>
      <x:c r="E12" s="26" t="str">
        <x:v>Reference 5027 remains exact; edition and page-level content remain partial.</x:v>
      </x:c>
      <x:c r="H12" s="636" t="str">
        <x:v>Missing year</x:v>
      </x:c>
      <x:c r="I12" s="26" t="str">
        <x:v>Catalog not recovered—not no production.</x:v>
      </x:c>
    </x:row>
    <x:row r="13" ht="54" customHeight="1">
      <x:c r="A13" s="26" t="str">
        <x:v>Rights rules</x:v>
      </x:c>
      <x:c r="B13" s="26" t="n">
        <x:f>COUNTA('v1.7 Rights Matrix'!A5:A100)</x:f>
        <x:v>9</x:v>
      </x:c>
      <x:c r="D13" s="634" t="str">
        <x:v>Price policy</x:v>
      </x:c>
      <x:c r="E13" s="26" t="str">
        <x:v>Manufacturer, distributor, retailer, mailer and modern prices remain separate.</x:v>
      </x:c>
    </x:row>
    <x:row r="14">
      <x:c r="A14" s="26" t="str">
        <x:v>Locked corrections</x:v>
      </x:c>
      <x:c r="B14" s="26" t="n">
        <x:f>COUNTA('v1.7 Corrections'!A5:A100)</x:f>
        <x:v>15</x:v>
      </x:c>
    </x:row>
    <x:row r="15">
      <x:c r="A15" s="26" t="str">
        <x:v>Source records</x:v>
      </x:c>
      <x:c r="B15" s="26" t="n">
        <x:f>COUNTA('v1.7 Sources'!A5:A200)</x:f>
        <x:v>20</x:v>
      </x:c>
    </x:row>
    <x:row r="16">
      <x:c r="A16" s="26" t="str">
        <x:v>Open questions</x:v>
      </x:c>
      <x:c r="B16" s="26" t="n">
        <x:f>COUNTA('v1.7 Open Questions'!A5:A200)</x:f>
        <x:v>20</x:v>
      </x:c>
    </x:row>
    <x:row r="17">
      <x:c r="A17" s="26" t="str">
        <x:v>New physical tasks</x:v>
      </x:c>
      <x:c r="B17" s="26" t="n">
        <x:f>4</x:f>
        <x:v>4</x:v>
      </x:c>
    </x:row>
    <x:row r="21">
      <x:c r="A21" s="631" t="str">
        <x:v>Research Position</x:v>
      </x:c>
      <x:c r="B21" s="631"/>
      <x:c r="C21" s="631"/>
      <x:c r="D21" s="631"/>
      <x:c r="E21" s="631"/>
      <x:c r="F21" s="631"/>
      <x:c r="G21" s="631"/>
      <x:c r="H21" s="631"/>
      <x:c r="I21" s="631"/>
    </x:row>
    <x:row r="22" ht="78" customHeight="1">
      <x:c r="A22" s="626" t="str">
        <x:v>The ephemera register now distinguishes complete archives from partial indexes, original period documents from reconstructions, and historical prices from mailer fees and modern retail. This makes the material usable for authentication and educational publishing without pretending the source universe is complete or that publicly hosted scans are free to republish.</x:v>
      </x:c>
      <x:c r="B22" s="626"/>
      <x:c r="C22" s="626"/>
      <x:c r="D22" s="626"/>
      <x:c r="E22" s="626"/>
      <x:c r="F22" s="626"/>
      <x:c r="G22" s="626"/>
      <x:c r="H22" s="626"/>
      <x:c r="I22" s="626"/>
    </x:row>
    <x:row r="23" ht="78" customHeight="1">
      <x:c r="A23" s="626"/>
      <x:c r="B23" s="626"/>
      <x:c r="C23" s="626"/>
      <x:c r="D23" s="626"/>
      <x:c r="E23" s="626"/>
      <x:c r="F23" s="626"/>
      <x:c r="G23" s="626"/>
      <x:c r="H23" s="626"/>
      <x:c r="I23" s="626"/>
    </x:row>
    <x:row r="24" ht="78" customHeight="1">
      <x:c r="A24" s="626"/>
      <x:c r="B24" s="626"/>
      <x:c r="C24" s="626"/>
      <x:c r="D24" s="626"/>
      <x:c r="E24" s="626"/>
      <x:c r="F24" s="626"/>
      <x:c r="G24" s="626"/>
      <x:c r="H24" s="626"/>
      <x:c r="I24" s="626"/>
    </x:row>
    <x:row r="25" ht="78" customHeight="1">
      <x:c r="A25" s="626"/>
      <x:c r="B25" s="626"/>
      <x:c r="C25" s="626"/>
      <x:c r="D25" s="626"/>
      <x:c r="E25" s="626"/>
      <x:c r="F25" s="626"/>
      <x:c r="G25" s="626"/>
      <x:c r="H25" s="626"/>
      <x:c r="I25" s="626"/>
    </x:row>
    <x:row r="26" ht="78" customHeight="1">
      <x:c r="A26" s="626"/>
      <x:c r="B26" s="626"/>
      <x:c r="C26" s="626"/>
      <x:c r="D26" s="626"/>
      <x:c r="E26" s="626"/>
      <x:c r="F26" s="626"/>
      <x:c r="G26" s="626"/>
      <x:c r="H26" s="626"/>
      <x:c r="I26" s="626"/>
    </x:row>
    <x:row r="27" ht="78" customHeight="1">
      <x:c r="A27" s="626"/>
      <x:c r="B27" s="626"/>
      <x:c r="C27" s="626"/>
      <x:c r="D27" s="626"/>
      <x:c r="E27" s="626"/>
      <x:c r="F27" s="626"/>
      <x:c r="G27" s="626"/>
      <x:c r="H27" s="626"/>
      <x:c r="I27" s="626"/>
    </x:row>
  </x:sheetData>
  <x:mergeCells>
    <x:mergeCell ref="A1:N1"/>
    <x:mergeCell ref="A2:N2"/>
    <x:mergeCell ref="A21:I21"/>
    <x:mergeCell ref="A22:I27"/>
  </x:mergeCells>
  <x:pageMargins left="0.7" right="0.7" top="0.75" bottom="0.75" header="0.3" footer="0.3"/>
  <x:drawing xmlns:r="http://schemas.openxmlformats.org/officeDocument/2006/relationships" r:id="R3a1fb05fa3f9419f"/>
</x:worksheet>
</file>

<file path=xl/worksheets/sheet131.xml><?xml version="1.0" encoding="utf-8"?>
<x:worksheet xmlns:x="http://schemas.openxmlformats.org/spreadsheetml/2006/main">
  <x:sheetFormatPr defaultRowHeight="15"/>
  <x:cols>
    <x:col min="1" max="1" width="18" hidden="0" customWidth="1"/>
    <x:col min="2" max="2" width="24" hidden="0" customWidth="1"/>
    <x:col min="3" max="3" width="48" hidden="0" customWidth="1"/>
    <x:col min="4" max="4" width="44" hidden="0" customWidth="1"/>
    <x:col min="5" max="5" width="58" hidden="0" customWidth="1"/>
    <x:col min="6" max="6" width="28" hidden="0" customWidth="1"/>
    <x:col min="7" max="7" width="40" hidden="0" customWidth="1"/>
    <x:col min="8" max="8" width="50" hidden="0" customWidth="1"/>
  </x:cols>
  <x:sheetData>
    <x:row r="1">
      <x:c r="A1" s="643" t="str">
        <x:v>Public Record Types and URL Families</x:v>
      </x:c>
      <x:c r="B1" s="643"/>
      <x:c r="C1" s="643"/>
      <x:c r="D1" s="643"/>
      <x:c r="E1" s="643"/>
      <x:c r="F1" s="643"/>
      <x:c r="G1" s="643"/>
      <x:c r="H1" s="643"/>
    </x:row>
    <x:row r="2">
      <x:c r="A2" s="648" t="str">
        <x:v>Each page type has a distinct evidentiary purpose. The public site should not force every object into an artifact or bike template.</x:v>
      </x:c>
      <x:c r="B2" s="648"/>
      <x:c r="C2" s="648"/>
      <x:c r="D2" s="648"/>
      <x:c r="E2" s="648"/>
      <x:c r="F2" s="648"/>
      <x:c r="G2" s="648"/>
      <x:c r="H2" s="648"/>
    </x:row>
    <x:row r="4">
      <x:c r="A4" s="653" t="str">
        <x:v>Type Code</x:v>
      </x:c>
      <x:c r="B4" s="653" t="str">
        <x:v>Human Label</x:v>
      </x:c>
      <x:c r="C4" s="653" t="str">
        <x:v>Primary Purpose</x:v>
      </x:c>
      <x:c r="D4" s="653" t="str">
        <x:v>Default URL Pattern</x:v>
      </x:c>
      <x:c r="E4" s="653" t="str">
        <x:v>Required Page Sections</x:v>
      </x:c>
      <x:c r="F4" s="653" t="str">
        <x:v>Default Schema.org Type</x:v>
      </x:c>
      <x:c r="G4" s="653" t="str">
        <x:v>Public Example</x:v>
      </x:c>
      <x:c r="H4" s="653" t="str">
        <x:v>Notes</x:v>
      </x:c>
    </x:row>
    <x:row r="5" ht="84" customHeight="1">
      <x:c r="A5" s="26" t="str">
        <x:v>ARTIFACT</x:v>
      </x:c>
      <x:c r="B5" s="26" t="str">
        <x:v>Artifact</x:v>
      </x:c>
      <x:c r="C5" s="26" t="str">
        <x:v>Describe a Lititz-owned physical object and its evidence-bounded significance.</x:v>
      </x:c>
      <x:c r="D5" s="26" t="str">
        <x:v>/artifacts/{artifact-id}/{slug}/</x:v>
      </x:c>
      <x:c r="E5" s="26" t="str">
        <x:v>Overview; At a glance; Claims; Physical evidence; Provenance; Sources; Open questions; Rights; Revision</x:v>
      </x:c>
      <x:c r="F5" s="26" t="str">
        <x:v>CreativeWork / Product</x:v>
      </x:c>
      <x:c r="G5" s="26" t="str">
        <x:v>26.0054 Felicia Stancil 2012 Worlds GT</x:v>
      </x:c>
      <x:c r="H5" s="26" t="str">
        <x:v>Physical identity and historical achievement remain separate evidence layers.</x:v>
      </x:c>
    </x:row>
    <x:row r="6" ht="84" customHeight="1">
      <x:c r="A6" s="26" t="str">
        <x:v>BIKE_RECORD</x:v>
      </x:c>
      <x:c r="B6" s="26" t="str">
        <x:v>Submitted Bike Record</x:v>
      </x:c>
      <x:c r="C6" s="26" t="str">
        <x:v>Index an exact externally submitted bicycle without treating it as a factory specification.</x:v>
      </x:c>
      <x:c r="D6" s="26" t="str">
        <x:v>/records/bikes/{source}/{external-id}/{slug}/</x:v>
      </x:c>
      <x:c r="E6" s="26" t="str">
        <x:v>Submitted identification; Independent context; Limitations; Canonical source; Related records</x:v>
      </x:c>
      <x:c r="F6" s="26" t="str">
        <x:v>Product</x:v>
      </x:c>
      <x:c r="G6" s="26" t="str">
        <x:v>BMXMuseum 119290 — 1984 JMC Darrell Young</x:v>
      </x:c>
      <x:c r="H6" s="26" t="str">
        <x:v>Usually a comparison/source page, not a full authentication page.</x:v>
      </x:c>
    </x:row>
    <x:row r="7" ht="84" customHeight="1">
      <x:c r="A7" s="26" t="str">
        <x:v>BRAND</x:v>
      </x:c>
      <x:c r="B7" s="26" t="str">
        <x:v>Brand / Company</x:v>
      </x:c>
      <x:c r="C7" s="26" t="str">
        <x:v>Present a sourced company chronology, products, people and open questions.</x:v>
      </x:c>
      <x:c r="D7" s="26" t="str">
        <x:v>/brands/{slug}/</x:v>
      </x:c>
      <x:c r="E7" s="26" t="str">
        <x:v>Overview; Timeline; Products; People; Claims; Sources; Related records; Corrections</x:v>
      </x:c>
      <x:c r="F7" s="26" t="str">
        <x:v>Organization</x:v>
      </x:c>
      <x:c r="G7" s="26" t="str">
        <x:v>JMC Racing</x:v>
      </x:c>
      <x:c r="H7" s="26" t="str">
        <x:v>Company origin, BMX entry and production launch remain separate when evidence requires it.</x:v>
      </x:c>
    </x:row>
    <x:row r="8" ht="84" customHeight="1">
      <x:c r="A8" s="26" t="str">
        <x:v>MODEL</x:v>
      </x:c>
      <x:c r="B8" s="26" t="str">
        <x:v>Model / Product Family</x:v>
      </x:c>
      <x:c r="C8" s="26" t="str">
        <x:v>Control year-specific model names, specifications and changes.</x:v>
      </x:c>
      <x:c r="D8" s="26" t="str">
        <x:v>/models/{brand-slug}/{model-slug}/</x:v>
      </x:c>
      <x:c r="E8" s="26" t="str">
        <x:v>Overview; Model years; Specifications by year; Serial notes; Claims; Sources; Comparisons</x:v>
      </x:c>
      <x:c r="F8" s="26" t="str">
        <x:v>ProductModel</x:v>
      </x:c>
      <x:c r="G8" s="26" t="str">
        <x:v>Dyno Compe</x:v>
      </x:c>
      <x:c r="H8" s="26" t="str">
        <x:v>A model family is not a universal specification.</x:v>
      </x:c>
    </x:row>
    <x:row r="9" ht="84" customHeight="1">
      <x:c r="A9" s="26" t="str">
        <x:v>PERSON</x:v>
      </x:c>
      <x:c r="B9" s="26" t="str">
        <x:v>Person / Rider</x:v>
      </x:c>
      <x:c r="C9" s="26" t="str">
        <x:v>Document public BMX roles, achievements and relationships.</x:v>
      </x:c>
      <x:c r="D9" s="26" t="str">
        <x:v>/people/{slug}/</x:v>
      </x:c>
      <x:c r="E9" s="26" t="str">
        <x:v>Overview; Roles; Timeline; Results; Relationships; Sources; Open questions</x:v>
      </x:c>
      <x:c r="F9" s="26" t="str">
        <x:v>Person</x:v>
      </x:c>
      <x:c r="G9" s="26" t="str">
        <x:v>Harry Leary</x:v>
      </x:c>
      <x:c r="H9" s="26" t="str">
        <x:v>Avoid collecting private contact/profile data.</x:v>
      </x:c>
    </x:row>
    <x:row r="10" ht="84" customHeight="1">
      <x:c r="A10" s="26" t="str">
        <x:v>TEAM</x:v>
      </x:c>
      <x:c r="B10" s="26" t="str">
        <x:v>Team</x:v>
      </x:c>
      <x:c r="C10" s="26" t="str">
        <x:v>Document a dated team roster and brand/track relationships.</x:v>
      </x:c>
      <x:c r="D10" s="26" t="str">
        <x:v>/teams/{slug}/</x:v>
      </x:c>
      <x:c r="E10" s="26" t="str">
        <x:v>Overview; Date scope; Roster; Results; Sources; Limitations</x:v>
      </x:c>
      <x:c r="F10" s="26" t="str">
        <x:v>SportsTeam / Organization</x:v>
      </x:c>
      <x:c r="G10" s="26" t="str">
        <x:v>DIRTWERX Sycamore team, March 2000</x:v>
      </x:c>
      <x:c r="H10" s="26" t="str">
        <x:v>A dated roster must not become a timeless nationwide roster.</x:v>
      </x:c>
    </x:row>
    <x:row r="11" ht="84" customHeight="1">
      <x:c r="A11" s="26" t="str">
        <x:v>RESULT</x:v>
      </x:c>
      <x:c r="B11" s="26" t="str">
        <x:v>Result / Record</x:v>
      </x:c>
      <x:c r="C11" s="26" t="str">
        <x:v>Present an official or period-confirmed competition result.</x:v>
      </x:c>
      <x:c r="D11" s="26" t="str">
        <x:v>/results/{date}/{slug}/</x:v>
      </x:c>
      <x:c r="E11" s="26" t="str">
        <x:v>Result; Event; Class; Rider/team; Official source; Related artifact; Limitations</x:v>
      </x:c>
      <x:c r="F11" s="26" t="str">
        <x:v>SportsEvent</x:v>
      </x:c>
      <x:c r="G11" s="26" t="str">
        <x:v>Felicia Stancil 2012 Junior Women race title</x:v>
      </x:c>
      <x:c r="H11" s="26" t="str">
        <x:v>Results authenticate achievements, not surviving objects.</x:v>
      </x:c>
    </x:row>
    <x:row r="12" ht="84" customHeight="1">
      <x:c r="A12" s="26" t="str">
        <x:v>EVENT</x:v>
      </x:c>
      <x:c r="B12" s="26" t="str">
        <x:v>Event</x:v>
      </x:c>
      <x:c r="C12" s="26" t="str">
        <x:v>Describe a race, contest, tour or exhibition.</x:v>
      </x:c>
      <x:c r="D12" s="26" t="str">
        <x:v>/events/{date-or-year}/{slug}/</x:v>
      </x:c>
      <x:c r="E12" s="26" t="str">
        <x:v>Overview; Dates; Venue; Promoter; Participants; Results; Sources; Open questions</x:v>
      </x:c>
      <x:c r="F12" s="26" t="str">
        <x:v>SportsEvent / Event</x:v>
      </x:c>
      <x:c r="G12" s="26" t="str">
        <x:v>1986 F-1 Challenge — unresolved event identity</x:v>
      </x:c>
      <x:c r="H12" s="26" t="str">
        <x:v>Do not infer a complete event from a trophy inscription alone.</x:v>
      </x:c>
    </x:row>
    <x:row r="13" ht="84" customHeight="1">
      <x:c r="A13" s="26" t="str">
        <x:v>TRACK</x:v>
      </x:c>
      <x:c r="B13" s="26" t="str">
        <x:v>Track / Venue</x:v>
      </x:c>
      <x:c r="C13" s="26" t="str">
        <x:v>Document a public BMX location and dated events.</x:v>
      </x:c>
      <x:c r="D13" s="26" t="str">
        <x:v>/tracks/{country}/{region}/{slug}/</x:v>
      </x:c>
      <x:c r="E13" s="26" t="str">
        <x:v>Overview; Location; Operating period; Events; Riders; Sources</x:v>
      </x:c>
      <x:c r="F13" s="26" t="str">
        <x:v>Place / SportsActivityLocation</x:v>
      </x:c>
      <x:c r="G13" s="26" t="str">
        <x:v>Sycamore BMX</x:v>
      </x:c>
      <x:c r="H13" s="26" t="str">
        <x:v>Avoid private residential locations and personal contact data.</x:v>
      </x:c>
    </x:row>
    <x:row r="14" ht="84" customHeight="1">
      <x:c r="A14" s="26" t="str">
        <x:v>CATALOG</x:v>
      </x:c>
      <x:c r="B14" s="26" t="str">
        <x:v>Catalog / Product Guide</x:v>
      </x:c>
      <x:c r="C14" s="26" t="str">
        <x:v>Create a bibliographic page for a catalog without republishing it.</x:v>
      </x:c>
      <x:c r="D14" s="26" t="str">
        <x:v>/sources/catalogs/{brand}/{year}/{slug}/</x:v>
      </x:c>
      <x:c r="E14" s="26" t="str">
        <x:v>Bibliographic identity; Coverage; Verified facts; Rights; Source links; Related models; Open questions</x:v>
      </x:c>
      <x:c r="F14" s="26" t="str">
        <x:v>CreativeWork</x:v>
      </x:c>
      <x:c r="G14" s="26" t="str">
        <x:v>1990 Haro BMX Catalog</x:v>
      </x:c>
      <x:c r="H14" s="26" t="str">
        <x:v>Exact edition, market and page count remain explicit fields.</x:v>
      </x:c>
    </x:row>
    <x:row r="15" ht="84" customHeight="1">
      <x:c r="A15" s="26" t="str">
        <x:v>ADVERTISEMENT</x:v>
      </x:c>
      <x:c r="B15" s="26" t="str">
        <x:v>Advertisement</x:v>
      </x:c>
      <x:c r="C15" s="26" t="str">
        <x:v>Index a dated advertisement and the facts it can support.</x:v>
      </x:c>
      <x:c r="D15" s="26" t="str">
        <x:v>/sources/advertisements/{year}/{slug}/</x:v>
      </x:c>
      <x:c r="E15" s="26" t="str">
        <x:v>Bibliographic identity; Claims supported; Limitations; Rights; Related records</x:v>
      </x:c>
      <x:c r="F15" s="26" t="str">
        <x:v>Advertisement / CreativeWork</x:v>
      </x:c>
      <x:c r="G15" s="26" t="str">
        <x:v>December 1976 Redline advertisement</x:v>
      </x:c>
      <x:c r="H15" s="26" t="str">
        <x:v>Publication date and model year are separate.</x:v>
      </x:c>
    </x:row>
    <x:row r="16" ht="84" customHeight="1">
      <x:c r="A16" s="26" t="str">
        <x:v>FLYER</x:v>
      </x:c>
      <x:c r="B16" s="26" t="str">
        <x:v>Flyer / Mailer / Brochure</x:v>
      </x:c>
      <x:c r="C16" s="26" t="str">
        <x:v>Index an event flyer, catalog offer or dealer brochure.</x:v>
      </x:c>
      <x:c r="D16" s="26" t="str">
        <x:v>/sources/flyers/{year}/{slug}/</x:v>
      </x:c>
      <x:c r="E16" s="26" t="str">
        <x:v>Object type; Offer/event; Date; Promoter; Rights; Related records</x:v>
      </x:c>
      <x:c r="F16" s="26" t="str">
        <x:v>CreativeWork</x:v>
      </x:c>
      <x:c r="G16" s="26" t="str">
        <x:v>1991 Haro/Fusion catalog mailer</x:v>
      </x:c>
      <x:c r="H16" s="26" t="str">
        <x:v>Catalog fees are not bicycle prices.</x:v>
      </x:c>
    </x:row>
    <x:row r="17" ht="84" customHeight="1">
      <x:c r="A17" s="26" t="str">
        <x:v>PRICE_OBSERVATION</x:v>
      </x:c>
      <x:c r="B17" s="26" t="str">
        <x:v>Price Observation</x:v>
      </x:c>
      <x:c r="C17" s="26" t="str">
        <x:v>Preserve one historical price with its basis and source.</x:v>
      </x:c>
      <x:c r="D17" s="26" t="str">
        <x:v>/prices/{year}/{brand}/{slug}/</x:v>
      </x:c>
      <x:c r="E17" s="26" t="str">
        <x:v>Product; Displayed price; Currency; Basis; Seller/market; Source; Limitations</x:v>
      </x:c>
      <x:c r="F17" s="26" t="str">
        <x:v>Offer</x:v>
      </x:c>
      <x:c r="G17" s="26" t="str">
        <x:v>1981 Hutch Pro Racer — $419.75 attributed official-history price</x:v>
      </x:c>
      <x:c r="H17" s="26" t="str">
        <x:v>Never merge MSRP, retailer, distributor and mailer fees.</x:v>
      </x:c>
    </x:row>
    <x:row r="18" ht="84" customHeight="1">
      <x:c r="A18" s="26" t="str">
        <x:v>REFERENCE</x:v>
      </x:c>
      <x:c r="B18" s="26" t="str">
        <x:v>Reference Object</x:v>
      </x:c>
      <x:c r="C18" s="26" t="str">
        <x:v>Index an exact external reference page or document record.</x:v>
      </x:c>
      <x:c r="D18" s="26" t="str">
        <x:v>/references/{source}/{external-id}/{slug}/</x:v>
      </x:c>
      <x:c r="E18" s="26" t="str">
        <x:v>Identity; What it can support; Independent corroboration; Rights; Canonical link</x:v>
      </x:c>
      <x:c r="F18" s="26" t="str">
        <x:v>CreativeWork</x:v>
      </x:c>
      <x:c r="G18" s="26" t="str">
        <x:v>Ashtabula reference 5027</x:v>
      </x:c>
      <x:c r="H18" s="26" t="str">
        <x:v>Exact ID does not guarantee complete content access.</x:v>
      </x:c>
    </x:row>
    <x:row r="19" ht="84" customHeight="1">
      <x:c r="A19" s="26" t="str">
        <x:v>THREAD</x:v>
      </x:c>
      <x:c r="B19" s="26" t="str">
        <x:v>Forum / Discussion Topic</x:v>
      </x:c>
      <x:c r="C19" s="26" t="str">
        <x:v>Index a public topic by ID/title without mirroring its body.</x:v>
      </x:c>
      <x:c r="D19" s="26" t="str">
        <x:v>/references/threads/{source}/{external-id}/{slug}/</x:v>
      </x:c>
      <x:c r="E19" s="26" t="str">
        <x:v>Topic identity; Research role; Cautions; Canonical link</x:v>
      </x:c>
      <x:c r="F19" s="26" t="str">
        <x:v>DiscussionForumPosting</x:v>
      </x:c>
      <x:c r="G19" s="26" t="str">
        <x:v>Dyno serial guidance forum 528632</x:v>
      </x:c>
      <x:c r="H19" s="26" t="str">
        <x:v>Do not reproduce member posts or harvest profiles.</x:v>
      </x:c>
    </x:row>
    <x:row r="20" ht="84" customHeight="1">
      <x:c r="A20" s="26" t="str">
        <x:v>SOURCE</x:v>
      </x:c>
      <x:c r="B20" s="26" t="str">
        <x:v>General Source Object</x:v>
      </x:c>
      <x:c r="C20" s="26" t="str">
        <x:v>Describe an interview, official page, period test or archive hub.</x:v>
      </x:c>
      <x:c r="D20" s="26" t="str">
        <x:v>/sources/{source-type}/{slug}/</x:v>
      </x:c>
      <x:c r="E20" s="26" t="str">
        <x:v>Bibliographic identity; Source role; Claims supported; Rights; Dependencies</x:v>
      </x:c>
      <x:c r="F20" s="26" t="str">
        <x:v>CreativeWork</x:v>
      </x:c>
      <x:c r="G20" s="26" t="str">
        <x:v>Bob Morales first-person company history</x:v>
      </x:c>
      <x:c r="H20" s="26" t="str">
        <x:v>Source pages expose provenance and limitations.</x:v>
      </x:c>
    </x:row>
    <x:row r="21" ht="84" customHeight="1">
      <x:c r="A21" s="26" t="str">
        <x:v>RELATIONSHIP</x:v>
      </x:c>
      <x:c r="B21" s="26" t="str">
        <x:v>Relationship Record</x:v>
      </x:c>
      <x:c r="C21" s="26" t="str">
        <x:v>Make one evidence-bearing edge inspectable.</x:v>
      </x:c>
      <x:c r="D21" s="26" t="str">
        <x:v>/relationships/{subject}/{predicate}/{object}/</x:v>
      </x:c>
      <x:c r="E21" s="26" t="str">
        <x:v>Subject; Predicate; Object; Date scope; Evidence; Qualification</x:v>
      </x:c>
      <x:c r="F21" s="26" t="str">
        <x:v>Thing</x:v>
      </x:c>
      <x:c r="G21" s="26" t="str">
        <x:v>Harry Leary — associated with — JMC XP2 Long prototype</x:v>
      </x:c>
      <x:c r="H21" s="26" t="str">
        <x:v>Never hide relationship qualifiers inside prose.</x:v>
      </x:c>
    </x:row>
    <x:row r="22" ht="84" customHeight="1">
      <x:c r="A22" s="26" t="str">
        <x:v>COLLECTION</x:v>
      </x:c>
      <x:c r="B22" s="26" t="str">
        <x:v>Collection / Research Cluster</x:v>
      </x:c>
      <x:c r="C22" s="26" t="str">
        <x:v>Provide a curated entry point to related pages.</x:v>
      </x:c>
      <x:c r="D22" s="26" t="str">
        <x:v>/collections/{slug}/</x:v>
      </x:c>
      <x:c r="E22" s="26" t="str">
        <x:v>Scope; Inclusion rules; Records; Sources; Rights; Revision</x:v>
      </x:c>
      <x:c r="F22" s="26" t="str">
        <x:v>CollectionPage</x:v>
      </x:c>
      <x:c r="G22" s="26" t="str">
        <x:v>DIRTWERX and GHP research cluster</x:v>
      </x:c>
      <x:c r="H22" s="26" t="str">
        <x:v>A collection page may summarize but must link to claim-level records.</x:v>
      </x:c>
    </x:row>
  </x:sheetData>
  <x:mergeCells>
    <x:mergeCell ref="A1:H1"/>
    <x:mergeCell ref="A2:H2"/>
  </x:mergeCells>
  <x:pageMargins left="0.7" right="0.7" top="0.75" bottom="0.75" header="0.3" footer="0.3"/>
  <x:tableParts count="1">
    <x:tablePart xmlns:r="http://schemas.openxmlformats.org/officeDocument/2006/relationships" r:id="R82ed35a7a00e4a82"/>
  </x:tableParts>
</x:worksheet>
</file>

<file path=xl/worksheets/sheet132.xml><?xml version="1.0" encoding="utf-8"?>
<x:worksheet xmlns:x="http://schemas.openxmlformats.org/spreadsheetml/2006/main">
  <x:sheetFormatPr defaultRowHeight="15"/>
  <x:cols>
    <x:col min="1" max="1" width="24" hidden="0" customWidth="1"/>
    <x:col min="2" max="2" width="27" hidden="0" customWidth="1"/>
    <x:col min="3" max="3" width="13" hidden="0" customWidth="1"/>
    <x:col min="4" max="4" width="20" hidden="0" customWidth="1"/>
    <x:col min="5" max="5" width="24" hidden="0" customWidth="1"/>
    <x:col min="6" max="6" width="55" hidden="0" customWidth="1"/>
    <x:col min="7" max="7" width="42" hidden="0" customWidth="1"/>
    <x:col min="8" max="8" width="52" hidden="0" customWidth="1"/>
    <x:col min="9" max="9" width="42" hidden="0" customWidth="1"/>
  </x:cols>
  <x:sheetData>
    <x:row r="1">
      <x:c r="A1" s="643" t="str">
        <x:v>Public Release Field Dictionary</x:v>
      </x:c>
      <x:c r="B1" s="643"/>
      <x:c r="C1" s="643"/>
      <x:c r="D1" s="643"/>
      <x:c r="E1" s="643"/>
      <x:c r="F1" s="643"/>
      <x:c r="G1" s="643"/>
      <x:c r="H1" s="643"/>
      <x:c r="I1" s="643"/>
    </x:row>
    <x:row r="2">
      <x:c r="A2" s="648" t="str">
        <x:v>Every public fact should be traceable to a claim, source, relationship or physical-evidence record. Free-form prose cannot bypass the evidence model.</x:v>
      </x:c>
      <x:c r="B2" s="648"/>
      <x:c r="C2" s="648"/>
      <x:c r="D2" s="648"/>
      <x:c r="E2" s="648"/>
      <x:c r="F2" s="648"/>
      <x:c r="G2" s="648"/>
      <x:c r="H2" s="648"/>
      <x:c r="I2" s="648"/>
    </x:row>
    <x:row r="4">
      <x:c r="A4" s="653" t="str">
        <x:v>Field</x:v>
      </x:c>
      <x:c r="B4" s="653" t="str">
        <x:v>Applies To</x:v>
      </x:c>
      <x:c r="C4" s="653" t="str">
        <x:v>Required</x:v>
      </x:c>
      <x:c r="D4" s="653" t="str">
        <x:v>Data Type</x:v>
      </x:c>
      <x:c r="E4" s="653" t="str">
        <x:v>Public Label</x:v>
      </x:c>
      <x:c r="F4" s="653" t="str">
        <x:v>Definition</x:v>
      </x:c>
      <x:c r="G4" s="653" t="str">
        <x:v>Allowed Values / Format</x:v>
      </x:c>
      <x:c r="H4" s="653" t="str">
        <x:v>Publication Rule</x:v>
      </x:c>
      <x:c r="I4" s="653" t="str">
        <x:v>Example</x:v>
      </x:c>
    </x:row>
    <x:row r="5" ht="78" customHeight="1">
      <x:c r="A5" s="26" t="str">
        <x:v>record_id</x:v>
      </x:c>
      <x:c r="B5" s="26" t="str">
        <x:v>ALL</x:v>
      </x:c>
      <x:c r="C5" s="26" t="str">
        <x:v>Yes</x:v>
      </x:c>
      <x:c r="D5" s="26" t="str">
        <x:v>string</x:v>
      </x:c>
      <x:c r="E5" s="26" t="str">
        <x:v>Record ID</x:v>
      </x:c>
      <x:c r="F5" s="26" t="str">
        <x:v>Stable internal identifier that never changes when the title or slug changes.</x:v>
      </x:c>
      <x:c r="G5" s="26" t="str">
        <x:v>Uppercase type prefix or Lititz artifact ID</x:v>
      </x:c>
      <x:c r="H5" s="26" t="str">
        <x:v>Always public unless privacy/security requires otherwise.</x:v>
      </x:c>
      <x:c r="I5" s="26" t="str">
        <x:v>ART-26-0054</x:v>
      </x:c>
    </x:row>
    <x:row r="6" ht="78" customHeight="1">
      <x:c r="A6" s="26" t="str">
        <x:v>record_type</x:v>
      </x:c>
      <x:c r="B6" s="26" t="str">
        <x:v>ALL</x:v>
      </x:c>
      <x:c r="C6" s="26" t="str">
        <x:v>Yes</x:v>
      </x:c>
      <x:c r="D6" s="26" t="str">
        <x:v>enum</x:v>
      </x:c>
      <x:c r="E6" s="26" t="str">
        <x:v>Record type</x:v>
      </x:c>
      <x:c r="F6" s="26" t="str">
        <x:v>Controls page template, URL family and JSON-LD mapping.</x:v>
      </x:c>
      <x:c r="G6" s="26" t="str">
        <x:v>See Public Record Types</x:v>
      </x:c>
      <x:c r="H6" s="26" t="str">
        <x:v>Must match one approved type.</x:v>
      </x:c>
      <x:c r="I6" s="26" t="str">
        <x:v>ARTIFACT</x:v>
      </x:c>
    </x:row>
    <x:row r="7" ht="78" customHeight="1">
      <x:c r="A7" s="26" t="str">
        <x:v>title</x:v>
      </x:c>
      <x:c r="B7" s="26" t="str">
        <x:v>ALL</x:v>
      </x:c>
      <x:c r="C7" s="26" t="str">
        <x:v>Yes</x:v>
      </x:c>
      <x:c r="D7" s="26" t="str">
        <x:v>string</x:v>
      </x:c>
      <x:c r="E7" s="26" t="str">
        <x:v>Title</x:v>
      </x:c>
      <x:c r="F7" s="26" t="str">
        <x:v>Human-readable H1.</x:v>
      </x:c>
      <x:c r="G7" s="26" t="str">
        <x:v>Plain text; unique within type</x:v>
      </x:c>
      <x:c r="H7" s="26" t="str">
        <x:v>No unsupported superlatives.</x:v>
      </x:c>
      <x:c r="I7" s="26" t="str">
        <x:v>Felicia Stancil's 2012 Worlds GT</x:v>
      </x:c>
    </x:row>
    <x:row r="8" ht="78" customHeight="1">
      <x:c r="A8" s="26" t="str">
        <x:v>subtitle</x:v>
      </x:c>
      <x:c r="B8" s="26" t="str">
        <x:v>ALL</x:v>
      </x:c>
      <x:c r="C8" s="26" t="str">
        <x:v>No</x:v>
      </x:c>
      <x:c r="D8" s="26" t="str">
        <x:v>string</x:v>
      </x:c>
      <x:c r="E8" s="26" t="str">
        <x:v>Subtitle</x:v>
      </x:c>
      <x:c r="F8" s="26" t="str">
        <x:v>Brief clarifying line below H1.</x:v>
      </x:c>
      <x:c r="G8" s="26" t="str">
        <x:v>&lt;= 160 characters</x:v>
      </x:c>
      <x:c r="H8" s="26" t="str">
        <x:v>Use for qualified identity, not marketing copy.</x:v>
      </x:c>
      <x:c r="I8" s="26" t="str">
        <x:v>Achievement verified; exact surviving bicycle remains under authentication.</x:v>
      </x:c>
    </x:row>
    <x:row r="9" ht="78" customHeight="1">
      <x:c r="A9" s="26" t="str">
        <x:v>slug</x:v>
      </x:c>
      <x:c r="B9" s="26" t="str">
        <x:v>ALL</x:v>
      </x:c>
      <x:c r="C9" s="26" t="str">
        <x:v>Yes</x:v>
      </x:c>
      <x:c r="D9" s="26" t="str">
        <x:v>slug</x:v>
      </x:c>
      <x:c r="E9" s="26" t="str">
        <x:v>URL slug</x:v>
      </x:c>
      <x:c r="F9" s="26" t="str">
        <x:v>Stable lowercase path segment.</x:v>
      </x:c>
      <x:c r="G9" s="26" t="str">
        <x:v>a-z, 0-9 and hyphens only</x:v>
      </x:c>
      <x:c r="H9" s="26" t="str">
        <x:v>Change only with redirect record.</x:v>
      </x:c>
      <x:c r="I9" s="26" t="str">
        <x:v>felicia-stancil-2012-worlds-gt</x:v>
      </x:c>
    </x:row>
    <x:row r="10" ht="78" customHeight="1">
      <x:c r="A10" s="26" t="str">
        <x:v>canonical_url</x:v>
      </x:c>
      <x:c r="B10" s="26" t="str">
        <x:v>ALL</x:v>
      </x:c>
      <x:c r="C10" s="26" t="str">
        <x:v>Yes</x:v>
      </x:c>
      <x:c r="D10" s="26" t="str">
        <x:v>url</x:v>
      </x:c>
      <x:c r="E10" s="26" t="str">
        <x:v>Canonical URL</x:v>
      </x:c>
      <x:c r="F10" s="26" t="str">
        <x:v>Public Lititz BMX page URL.</x:v>
      </x:c>
      <x:c r="G10" s="26" t="str">
        <x:v>Absolute HTTPS URL</x:v>
      </x:c>
      <x:c r="H10" s="26" t="str">
        <x:v>One canonical per record.</x:v>
      </x:c>
      <x:c r="I10" s="26" t="str">
        <x:v>https://example.org/artifacts/26-0054/felicia-stancil-2012-worlds-gt/</x:v>
      </x:c>
    </x:row>
    <x:row r="11" ht="78" customHeight="1">
      <x:c r="A11" s="26" t="str">
        <x:v>summary</x:v>
      </x:c>
      <x:c r="B11" s="26" t="str">
        <x:v>ALL</x:v>
      </x:c>
      <x:c r="C11" s="26" t="str">
        <x:v>Yes</x:v>
      </x:c>
      <x:c r="D11" s="26" t="str">
        <x:v>string</x:v>
      </x:c>
      <x:c r="E11" s="26" t="str">
        <x:v>Overview</x:v>
      </x:c>
      <x:c r="F11" s="26" t="str">
        <x:v>Original Lititz BMX summary of what the record is and why it matters.</x:v>
      </x:c>
      <x:c r="G11" s="26" t="str">
        <x:v>40–90 words preferred</x:v>
      </x:c>
      <x:c r="H11" s="26" t="str">
        <x:v>Must distinguish verified fact, attribution and unresolved identity.</x:v>
      </x:c>
      <x:c r="I11" s="26" t="str">
        <x:v>Strongly attributed physical race bicycle...</x:v>
      </x:c>
    </x:row>
    <x:row r="12" ht="78" customHeight="1">
      <x:c r="A12" s="26" t="str">
        <x:v>public_status</x:v>
      </x:c>
      <x:c r="B12" s="26" t="str">
        <x:v>ALL</x:v>
      </x:c>
      <x:c r="C12" s="26" t="str">
        <x:v>Yes</x:v>
      </x:c>
      <x:c r="D12" s="26" t="str">
        <x:v>enum</x:v>
      </x:c>
      <x:c r="E12" s="26" t="str">
        <x:v>Publication status</x:v>
      </x:c>
      <x:c r="F12" s="26" t="str">
        <x:v>Workflow/publication state.</x:v>
      </x:c>
      <x:c r="G12" s="26" t="str">
        <x:v>INTERNAL; DRAFT; READY; READY-QUALIFIED; HOLD-EVIDENCE; BLOCKED-RIGHTS; RETIRED</x:v>
      </x:c>
      <x:c r="H12" s="26" t="str">
        <x:v>Only READY and READY-QUALIFIED are indexable.</x:v>
      </x:c>
      <x:c r="I12" s="26" t="str">
        <x:v>READY-QUALIFIED</x:v>
      </x:c>
    </x:row>
    <x:row r="13" ht="78" customHeight="1">
      <x:c r="A13" s="26" t="str">
        <x:v>evidence_grade</x:v>
      </x:c>
      <x:c r="B13" s="26" t="str">
        <x:v>ARTIFACT, CLAIM, RELATIONSHIP</x:v>
      </x:c>
      <x:c r="C13" s="26" t="str">
        <x:v>No</x:v>
      </x:c>
      <x:c r="D13" s="26" t="str">
        <x:v>enum</x:v>
      </x:c>
      <x:c r="E13" s="26" t="str">
        <x:v>Evidence grade</x:v>
      </x:c>
      <x:c r="F13" s="26" t="str">
        <x:v>Current authentication or evidence grade.</x:v>
      </x:c>
      <x:c r="G13" s="26" t="str">
        <x:v>A; A-; B+; B; B-; C; D; OPEN; N/A</x:v>
      </x:c>
      <x:c r="H13" s="26" t="str">
        <x:v>Always show a plain-language explanation.</x:v>
      </x:c>
      <x:c r="I13" s="26" t="str">
        <x:v>B-</x:v>
      </x:c>
    </x:row>
    <x:row r="14" ht="78" customHeight="1">
      <x:c r="A14" s="26" t="str">
        <x:v>last_reviewed</x:v>
      </x:c>
      <x:c r="B14" s="26" t="str">
        <x:v>ALL</x:v>
      </x:c>
      <x:c r="C14" s="26" t="str">
        <x:v>Yes</x:v>
      </x:c>
      <x:c r="D14" s="26" t="str">
        <x:v>date</x:v>
      </x:c>
      <x:c r="E14" s="26" t="str">
        <x:v>Last reviewed</x:v>
      </x:c>
      <x:c r="F14" s="26" t="str">
        <x:v>Date evidence and wording were last audited.</x:v>
      </x:c>
      <x:c r="G14" s="26" t="str">
        <x:v>YYYY-MM-DD</x:v>
      </x:c>
      <x:c r="H14" s="26" t="str">
        <x:v>Display publicly.</x:v>
      </x:c>
      <x:c r="I14" s="26" t="str">
        <x:v>2026-07-30</x:v>
      </x:c>
    </x:row>
    <x:row r="15" ht="78" customHeight="1">
      <x:c r="A15" s="26" t="str">
        <x:v>review_owner</x:v>
      </x:c>
      <x:c r="B15" s="26" t="str">
        <x:v>ALL</x:v>
      </x:c>
      <x:c r="C15" s="26" t="str">
        <x:v>Yes</x:v>
      </x:c>
      <x:c r="D15" s="26" t="str">
        <x:v>string</x:v>
      </x:c>
      <x:c r="E15" s="26" t="str">
        <x:v>Reviewed by</x:v>
      </x:c>
      <x:c r="F15" s="26" t="str">
        <x:v>Responsible Lititz BMX role/person.</x:v>
      </x:c>
      <x:c r="G15" s="26" t="str">
        <x:v>Plain text</x:v>
      </x:c>
      <x:c r="H15" s="26" t="str">
        <x:v>Do not expose private emails.</x:v>
      </x:c>
      <x:c r="I15" s="26" t="str">
        <x:v>Lititz BMX Research</x:v>
      </x:c>
    </x:row>
    <x:row r="16" ht="78" customHeight="1">
      <x:c r="A16" s="26" t="str">
        <x:v>identifiers</x:v>
      </x:c>
      <x:c r="B16" s="26" t="str">
        <x:v>ALL</x:v>
      </x:c>
      <x:c r="C16" s="26" t="str">
        <x:v>No</x:v>
      </x:c>
      <x:c r="D16" s="26" t="str">
        <x:v>object</x:v>
      </x:c>
      <x:c r="E16" s="26" t="str">
        <x:v>Identifiers</x:v>
      </x:c>
      <x:c r="F16" s="26" t="str">
        <x:v>Artifact number, serial, external ID and other identifiers.</x:v>
      </x:c>
      <x:c r="G16" s="26" t="str">
        <x:v>Key/value array</x:v>
      </x:c>
      <x:c r="H16" s="26" t="str">
        <x:v>Redact private/internal identifiers as needed.</x:v>
      </x:c>
      <x:c r="I16" s="26" t="str">
        <x:v>Artifact ID: 26.0054</x:v>
      </x:c>
    </x:row>
    <x:row r="17" ht="78" customHeight="1">
      <x:c r="A17" s="26" t="str">
        <x:v>at_a_glance</x:v>
      </x:c>
      <x:c r="B17" s="26" t="str">
        <x:v>ALL</x:v>
      </x:c>
      <x:c r="C17" s="26" t="str">
        <x:v>No</x:v>
      </x:c>
      <x:c r="D17" s="26" t="str">
        <x:v>array</x:v>
      </x:c>
      <x:c r="E17" s="26" t="str">
        <x:v>At a glance</x:v>
      </x:c>
      <x:c r="F17" s="26" t="str">
        <x:v>Label/value facts shown before claim cards.</x:v>
      </x:c>
      <x:c r="G17" s="26" t="str">
        <x:v>Array of label, value, source IDs</x:v>
      </x:c>
      <x:c r="H17" s="26" t="str">
        <x:v>Every nontrivial fact should point to a source or claim.</x:v>
      </x:c>
      <x:c r="I17" s="26" t="str">
        <x:v>Brand: GT</x:v>
      </x:c>
    </x:row>
    <x:row r="18" ht="78" customHeight="1">
      <x:c r="A18" s="26" t="str">
        <x:v>claim_id</x:v>
      </x:c>
      <x:c r="B18" s="26" t="str">
        <x:v>CLAIM</x:v>
      </x:c>
      <x:c r="C18" s="26" t="str">
        <x:v>Yes</x:v>
      </x:c>
      <x:c r="D18" s="26" t="str">
        <x:v>string</x:v>
      </x:c>
      <x:c r="E18" s="26" t="str">
        <x:v>Claim ID</x:v>
      </x:c>
      <x:c r="F18" s="26" t="str">
        <x:v>Stable ID for one inspectable assertion.</x:v>
      </x:c>
      <x:c r="G18" s="26" t="str">
        <x:v>CLAIM-{record}-{sequence}</x:v>
      </x:c>
      <x:c r="H18" s="26" t="str">
        <x:v>One assertion per claim card.</x:v>
      </x:c>
      <x:c r="I18" s="26" t="str">
        <x:v>CLAIM-26-0054-001</x:v>
      </x:c>
    </x:row>
    <x:row r="19" ht="78" customHeight="1">
      <x:c r="A19" s="26" t="str">
        <x:v>claim_statement</x:v>
      </x:c>
      <x:c r="B19" s="26" t="str">
        <x:v>CLAIM</x:v>
      </x:c>
      <x:c r="C19" s="26" t="str">
        <x:v>Yes</x:v>
      </x:c>
      <x:c r="D19" s="26" t="str">
        <x:v>string</x:v>
      </x:c>
      <x:c r="E19" s="26" t="str">
        <x:v>Claim</x:v>
      </x:c>
      <x:c r="F19" s="26" t="str">
        <x:v>The proposition being evaluated.</x:v>
      </x:c>
      <x:c r="G19" s="26" t="str">
        <x:v>One sentence preferred</x:v>
      </x:c>
      <x:c r="H19" s="26" t="str">
        <x:v>Avoid compound claims when evidence differs.</x:v>
      </x:c>
      <x:c r="I19" s="26" t="str">
        <x:v>Stancil won both Junior Women world titles in Birmingham in 2012.</x:v>
      </x:c>
    </x:row>
    <x:row r="20" ht="78" customHeight="1">
      <x:c r="A20" s="26" t="str">
        <x:v>claim_status</x:v>
      </x:c>
      <x:c r="B20" s="26" t="str">
        <x:v>CLAIM</x:v>
      </x:c>
      <x:c r="C20" s="26" t="str">
        <x:v>Yes</x:v>
      </x:c>
      <x:c r="D20" s="26" t="str">
        <x:v>enum</x:v>
      </x:c>
      <x:c r="E20" s="26" t="str">
        <x:v>Status</x:v>
      </x:c>
      <x:c r="F20" s="26" t="str">
        <x:v>Current determination.</x:v>
      </x:c>
      <x:c r="G20" s="26" t="str">
        <x:v>VERIFIED; ATTRIBUTED; QUALIFIED; OPEN; REJECTED; SUPERSEDED</x:v>
      </x:c>
      <x:c r="H20" s="26" t="str">
        <x:v>Show status on every claim card.</x:v>
      </x:c>
      <x:c r="I20" s="26" t="str">
        <x:v>VERIFIED</x:v>
      </x:c>
    </x:row>
    <x:row r="21" ht="78" customHeight="1">
      <x:c r="A21" s="26" t="str">
        <x:v>claim_type</x:v>
      </x:c>
      <x:c r="B21" s="26" t="str">
        <x:v>CLAIM</x:v>
      </x:c>
      <x:c r="C21" s="26" t="str">
        <x:v>Yes</x:v>
      </x:c>
      <x:c r="D21" s="26" t="str">
        <x:v>enum</x:v>
      </x:c>
      <x:c r="E21" s="26" t="str">
        <x:v>Claim type</x:v>
      </x:c>
      <x:c r="F21" s="26" t="str">
        <x:v>Nature of the assertion.</x:v>
      </x:c>
      <x:c r="G21" s="26" t="str">
        <x:v>IDENTITY; DATE; PROVENANCE; RESULT; RARITY; SPECIFICATION; RELATIONSHIP; RIGHTS; PRICE; CONTEXT</x:v>
      </x:c>
      <x:c r="H21" s="26" t="str">
        <x:v>Used for filters and audits.</x:v>
      </x:c>
      <x:c r="I21" s="26" t="str">
        <x:v>RESULT</x:v>
      </x:c>
    </x:row>
    <x:row r="22" ht="78" customHeight="1">
      <x:c r="A22" s="26" t="str">
        <x:v>public_wording</x:v>
      </x:c>
      <x:c r="B22" s="26" t="str">
        <x:v>CLAIM</x:v>
      </x:c>
      <x:c r="C22" s="26" t="str">
        <x:v>Yes</x:v>
      </x:c>
      <x:c r="D22" s="26" t="str">
        <x:v>string</x:v>
      </x:c>
      <x:c r="E22" s="26" t="str">
        <x:v>Public wording</x:v>
      </x:c>
      <x:c r="F22" s="26" t="str">
        <x:v>Approved sentence displayed to readers.</x:v>
      </x:c>
      <x:c r="G22" s="26" t="str">
        <x:v>Original phrasing</x:v>
      </x:c>
      <x:c r="H22" s="26" t="str">
        <x:v>Must match current evidence and corrections ledger.</x:v>
      </x:c>
      <x:c r="I22" s="26" t="str">
        <x:v>Official reporting verifies...</x:v>
      </x:c>
    </x:row>
    <x:row r="23" ht="78" customHeight="1">
      <x:c r="A23" s="26" t="str">
        <x:v>evidence_summary</x:v>
      </x:c>
      <x:c r="B23" s="26" t="str">
        <x:v>CLAIM</x:v>
      </x:c>
      <x:c r="C23" s="26" t="str">
        <x:v>Yes</x:v>
      </x:c>
      <x:c r="D23" s="26" t="str">
        <x:v>string</x:v>
      </x:c>
      <x:c r="E23" s="26" t="str">
        <x:v>Why this status</x:v>
      </x:c>
      <x:c r="F23" s="26" t="str">
        <x:v>Plain-language reasoning connecting sources to determination.</x:v>
      </x:c>
      <x:c r="G23" s="26" t="str">
        <x:v>1–3 sentences</x:v>
      </x:c>
      <x:c r="H23" s="26" t="str">
        <x:v>No hidden reasoning; cite evidence objects.</x:v>
      </x:c>
      <x:c r="I23" s="26" t="str">
        <x:v>USA BMX reported both titles...</x:v>
      </x:c>
    </x:row>
    <x:row r="24" ht="78" customHeight="1">
      <x:c r="A24" s="26" t="str">
        <x:v>does_not_prove</x:v>
      </x:c>
      <x:c r="B24" s="26" t="str">
        <x:v>CLAIM</x:v>
      </x:c>
      <x:c r="C24" s="26" t="str">
        <x:v>No</x:v>
      </x:c>
      <x:c r="D24" s="26" t="str">
        <x:v>string</x:v>
      </x:c>
      <x:c r="E24" s="26" t="str">
        <x:v>What this does not prove</x:v>
      </x:c>
      <x:c r="F24" s="26" t="str">
        <x:v>Explicit boundary for the claim.</x:v>
      </x:c>
      <x:c r="G24" s="26" t="str">
        <x:v>Plain text</x:v>
      </x:c>
      <x:c r="H24" s="26" t="str">
        <x:v>Required for submitted-bike, result-to-artifact and rarity claims.</x:v>
      </x:c>
      <x:c r="I24" s="26" t="str">
        <x:v>The result does not authenticate the surviving frame.</x:v>
      </x:c>
    </x:row>
    <x:row r="25" ht="78" customHeight="1">
      <x:c r="A25" s="26" t="str">
        <x:v>source_ids</x:v>
      </x:c>
      <x:c r="B25" s="26" t="str">
        <x:v>CLAIM, TIMELINE, RELATIONSHIP</x:v>
      </x:c>
      <x:c r="C25" s="26" t="str">
        <x:v>Yes</x:v>
      </x:c>
      <x:c r="D25" s="26" t="str">
        <x:v>array</x:v>
      </x:c>
      <x:c r="E25" s="26" t="str">
        <x:v>Sources</x:v>
      </x:c>
      <x:c r="F25" s="26" t="str">
        <x:v>IDs of source cards supporting the item.</x:v>
      </x:c>
      <x:c r="G25" s="26" t="str">
        <x:v>One or more source IDs</x:v>
      </x:c>
      <x:c r="H25" s="26" t="str">
        <x:v>Sources must exist and be public or safely summarized.</x:v>
      </x:c>
      <x:c r="I25" s="26" t="str">
        <x:v>SRC-USA-BMX-2012</x:v>
      </x:c>
    </x:row>
    <x:row r="26" ht="78" customHeight="1">
      <x:c r="A26" s="26" t="str">
        <x:v>confidence</x:v>
      </x:c>
      <x:c r="B26" s="26" t="str">
        <x:v>CLAIM, RELATIONSHIP</x:v>
      </x:c>
      <x:c r="C26" s="26" t="str">
        <x:v>No</x:v>
      </x:c>
      <x:c r="D26" s="26" t="str">
        <x:v>enum</x:v>
      </x:c>
      <x:c r="E26" s="26" t="str">
        <x:v>Confidence</x:v>
      </x:c>
      <x:c r="F26" s="26" t="str">
        <x:v>Source-level or inference confidence.</x:v>
      </x:c>
      <x:c r="G26" s="26" t="str">
        <x:v>HIGH; MEDIUM-HIGH; MEDIUM; LOW-MEDIUM; LOW</x:v>
      </x:c>
      <x:c r="H26" s="26" t="str">
        <x:v>Not a substitute for claim status.</x:v>
      </x:c>
      <x:c r="I26" s="26" t="str">
        <x:v>HIGH</x:v>
      </x:c>
    </x:row>
    <x:row r="27" ht="78" customHeight="1">
      <x:c r="A27" s="26" t="str">
        <x:v>source_id</x:v>
      </x:c>
      <x:c r="B27" s="26" t="str">
        <x:v>SOURCE</x:v>
      </x:c>
      <x:c r="C27" s="26" t="str">
        <x:v>Yes</x:v>
      </x:c>
      <x:c r="D27" s="26" t="str">
        <x:v>string</x:v>
      </x:c>
      <x:c r="E27" s="26" t="str">
        <x:v>Source ID</x:v>
      </x:c>
      <x:c r="F27" s="26" t="str">
        <x:v>Stable identifier for a source card.</x:v>
      </x:c>
      <x:c r="G27" s="26" t="str">
        <x:v>SRC-{domain/topic}</x:v>
      </x:c>
      <x:c r="H27" s="26" t="str">
        <x:v>One card per distinct source object.</x:v>
      </x:c>
      <x:c r="I27" s="26" t="str">
        <x:v>SRC-USA-BMX-2012</x:v>
      </x:c>
    </x:row>
    <x:row r="28" ht="78" customHeight="1">
      <x:c r="A28" s="26" t="str">
        <x:v>source_title</x:v>
      </x:c>
      <x:c r="B28" s="26" t="str">
        <x:v>SOURCE</x:v>
      </x:c>
      <x:c r="C28" s="26" t="str">
        <x:v>Yes</x:v>
      </x:c>
      <x:c r="D28" s="26" t="str">
        <x:v>string</x:v>
      </x:c>
      <x:c r="E28" s="26" t="str">
        <x:v>Source title</x:v>
      </x:c>
      <x:c r="F28" s="26" t="str">
        <x:v>Title of the page, document, interview or object.</x:v>
      </x:c>
      <x:c r="G28" s="26" t="str">
        <x:v>Plain text</x:v>
      </x:c>
      <x:c r="H28" s="26" t="str">
        <x:v>Preserve original title where known.</x:v>
      </x:c>
      <x:c r="I28" s="26" t="str">
        <x:v>UCI Worlds Update</x:v>
      </x:c>
    </x:row>
    <x:row r="29" ht="78" customHeight="1">
      <x:c r="A29" s="26" t="str">
        <x:v>source_creator</x:v>
      </x:c>
      <x:c r="B29" s="26" t="str">
        <x:v>SOURCE</x:v>
      </x:c>
      <x:c r="C29" s="26" t="str">
        <x:v>No</x:v>
      </x:c>
      <x:c r="D29" s="26" t="str">
        <x:v>string</x:v>
      </x:c>
      <x:c r="E29" s="26" t="str">
        <x:v>Creator / publisher</x:v>
      </x:c>
      <x:c r="F29" s="26" t="str">
        <x:v>Organization, publication or named author.</x:v>
      </x:c>
      <x:c r="G29" s="26" t="str">
        <x:v>Plain text</x:v>
      </x:c>
      <x:c r="H29" s="26" t="str">
        <x:v>Use source attribution, not guessed ownership.</x:v>
      </x:c>
      <x:c r="I29" s="26" t="str">
        <x:v>USA BMX</x:v>
      </x:c>
    </x:row>
    <x:row r="30" ht="78" customHeight="1">
      <x:c r="A30" s="26" t="str">
        <x:v>source_date</x:v>
      </x:c>
      <x:c r="B30" s="26" t="str">
        <x:v>SOURCE</x:v>
      </x:c>
      <x:c r="C30" s="26" t="str">
        <x:v>No</x:v>
      </x:c>
      <x:c r="D30" s="26" t="str">
        <x:v>date/string</x:v>
      </x:c>
      <x:c r="E30" s="26" t="str">
        <x:v>Source date</x:v>
      </x:c>
      <x:c r="F30" s="26" t="str">
        <x:v>Publication date or documented period.</x:v>
      </x:c>
      <x:c r="G30" s="26" t="str">
        <x:v>YYYY-MM-DD or qualified text</x:v>
      </x:c>
      <x:c r="H30" s="26" t="str">
        <x:v>Keep uncertain dates qualified.</x:v>
      </x:c>
      <x:c r="I30" s="26" t="str">
        <x:v>2012-05-27</x:v>
      </x:c>
    </x:row>
    <x:row r="31" ht="78" customHeight="1">
      <x:c r="A31" s="26" t="str">
        <x:v>source_url</x:v>
      </x:c>
      <x:c r="B31" s="26" t="str">
        <x:v>SOURCE</x:v>
      </x:c>
      <x:c r="C31" s="26" t="str">
        <x:v>Yes</x:v>
      </x:c>
      <x:c r="D31" s="26" t="str">
        <x:v>url</x:v>
      </x:c>
      <x:c r="E31" s="26" t="str">
        <x:v>Source link</x:v>
      </x:c>
      <x:c r="F31" s="26" t="str">
        <x:v>Canonical or best public source URL.</x:v>
      </x:c>
      <x:c r="G31" s="26" t="str">
        <x:v>Absolute HTTPS URL</x:v>
      </x:c>
      <x:c r="H31" s="26" t="str">
        <x:v>No tracking parameters when avoidable.</x:v>
      </x:c>
      <x:c r="I31" s="26" t="str">
        <x:v>https://www.usabmx.com/...</x:v>
      </x:c>
    </x:row>
    <x:row r="32" ht="78" customHeight="1">
      <x:c r="A32" s="26" t="str">
        <x:v>source_class</x:v>
      </x:c>
      <x:c r="B32" s="26" t="str">
        <x:v>SOURCE</x:v>
      </x:c>
      <x:c r="C32" s="26" t="str">
        <x:v>Yes</x:v>
      </x:c>
      <x:c r="D32" s="26" t="str">
        <x:v>enum</x:v>
      </x:c>
      <x:c r="E32" s="26" t="str">
        <x:v>Source class</x:v>
      </x:c>
      <x:c r="F32" s="26" t="str">
        <x:v>Evidence-role classification.</x:v>
      </x:c>
      <x:c r="G32" s="26" t="str">
        <x:v>OFFICIAL; FIRST-PERSON; PERIOD-PUBLICATION; PERIOD-CATALOG; CURRENT-FIRST-PARTY; INDEPENDENT; SUBMITTED-METADATA; PUBLIC-BACKLINK; PHYSICAL-EVIDENCE</x:v>
      </x:c>
      <x:c r="H32" s="26" t="str">
        <x:v>Display as reader context.</x:v>
      </x:c>
      <x:c r="I32" s="26" t="str">
        <x:v>OFFICIAL</x:v>
      </x:c>
    </x:row>
    <x:row r="33" ht="78" customHeight="1">
      <x:c r="A33" s="26" t="str">
        <x:v>rights_code</x:v>
      </x:c>
      <x:c r="B33" s="26" t="str">
        <x:v>SOURCE, MEDIA</x:v>
      </x:c>
      <x:c r="C33" s="26" t="str">
        <x:v>Yes</x:v>
      </x:c>
      <x:c r="D33" s="26" t="str">
        <x:v>enum</x:v>
      </x:c>
      <x:c r="E33" s="26" t="str">
        <x:v>Rights / reuse</x:v>
      </x:c>
      <x:c r="F33" s="26" t="str">
        <x:v>What Lititz BMX may do with the source.</x:v>
      </x:c>
      <x:c r="G33" s="26" t="str">
        <x:v>LINK-ONLY; INDEX-ONLY; FACTUAL-PARAPHRASE; LITITZ-OWNED; LICENSED; PUBLIC-DOMAIN; PERMISSION-REQUIRED</x:v>
      </x:c>
      <x:c r="H33" s="26" t="str">
        <x:v>Controls media and quotation behavior.</x:v>
      </x:c>
      <x:c r="I33" s="26" t="str">
        <x:v>FACTUAL-PARAPHRASE</x:v>
      </x:c>
    </x:row>
    <x:row r="34" ht="78" customHeight="1">
      <x:c r="A34" s="26" t="str">
        <x:v>source_note</x:v>
      </x:c>
      <x:c r="B34" s="26" t="str">
        <x:v>SOURCE</x:v>
      </x:c>
      <x:c r="C34" s="26" t="str">
        <x:v>No</x:v>
      </x:c>
      <x:c r="D34" s="26" t="str">
        <x:v>string</x:v>
      </x:c>
      <x:c r="E34" s="26" t="str">
        <x:v>Source note</x:v>
      </x:c>
      <x:c r="F34" s="26" t="str">
        <x:v>What the source contributes and its limitation.</x:v>
      </x:c>
      <x:c r="G34" s="26" t="str">
        <x:v>Plain text</x:v>
      </x:c>
      <x:c r="H34" s="26" t="str">
        <x:v>Required when the source is retrospective or indirect.</x:v>
      </x:c>
      <x:c r="I34" s="26" t="str">
        <x:v>Official result, not bicycle authentication.</x:v>
      </x:c>
    </x:row>
    <x:row r="35" ht="78" customHeight="1">
      <x:c r="A35" s="26" t="str">
        <x:v>relationship_id</x:v>
      </x:c>
      <x:c r="B35" s="26" t="str">
        <x:v>RELATIONSHIP</x:v>
      </x:c>
      <x:c r="C35" s="26" t="str">
        <x:v>Yes</x:v>
      </x:c>
      <x:c r="D35" s="26" t="str">
        <x:v>string</x:v>
      </x:c>
      <x:c r="E35" s="26" t="str">
        <x:v>Relationship ID</x:v>
      </x:c>
      <x:c r="F35" s="26" t="str">
        <x:v>Stable edge identifier.</x:v>
      </x:c>
      <x:c r="G35" s="26" t="str">
        <x:v>REL-{sequence}</x:v>
      </x:c>
      <x:c r="H35" s="26" t="str">
        <x:v>One predicate per relationship record.</x:v>
      </x:c>
      <x:c r="I35" s="26" t="str">
        <x:v>REL-JMC-004</x:v>
      </x:c>
    </x:row>
    <x:row r="36" ht="78" customHeight="1">
      <x:c r="A36" s="26" t="str">
        <x:v>subject_id</x:v>
      </x:c>
      <x:c r="B36" s="26" t="str">
        <x:v>RELATIONSHIP</x:v>
      </x:c>
      <x:c r="C36" s="26" t="str">
        <x:v>Yes</x:v>
      </x:c>
      <x:c r="D36" s="26" t="str">
        <x:v>record ID</x:v>
      </x:c>
      <x:c r="E36" s="26" t="str">
        <x:v>Subject</x:v>
      </x:c>
      <x:c r="F36" s="26" t="str">
        <x:v>Record at the start of the edge.</x:v>
      </x:c>
      <x:c r="G36" s="26" t="str">
        <x:v>Existing record ID</x:v>
      </x:c>
      <x:c r="H36" s="26" t="str">
        <x:v>Must resolve to a public or internal record.</x:v>
      </x:c>
      <x:c r="I36" s="26" t="str">
        <x:v>PERSON-HARRY-LEARY</x:v>
      </x:c>
    </x:row>
    <x:row r="37" ht="78" customHeight="1">
      <x:c r="A37" s="26" t="str">
        <x:v>predicate</x:v>
      </x:c>
      <x:c r="B37" s="26" t="str">
        <x:v>RELATIONSHIP</x:v>
      </x:c>
      <x:c r="C37" s="26" t="str">
        <x:v>Yes</x:v>
      </x:c>
      <x:c r="D37" s="26" t="str">
        <x:v>controlled string</x:v>
      </x:c>
      <x:c r="E37" s="26" t="str">
        <x:v>Relationship</x:v>
      </x:c>
      <x:c r="F37" s="26" t="str">
        <x:v>Controlled verb phrase.</x:v>
      </x:c>
      <x:c r="G37" s="26" t="str">
        <x:v>founded; designed; rode-for; associated-with; submitted-as; tribute-to; located-at; occurred-at; verified-by</x:v>
      </x:c>
      <x:c r="H37" s="26" t="str">
        <x:v>Avoid vague 'related to'.</x:v>
      </x:c>
      <x:c r="I37" s="26" t="str">
        <x:v>associated-with</x:v>
      </x:c>
    </x:row>
    <x:row r="38" ht="78" customHeight="1">
      <x:c r="A38" s="26" t="str">
        <x:v>object_id</x:v>
      </x:c>
      <x:c r="B38" s="26" t="str">
        <x:v>RELATIONSHIP</x:v>
      </x:c>
      <x:c r="C38" s="26" t="str">
        <x:v>Yes</x:v>
      </x:c>
      <x:c r="D38" s="26" t="str">
        <x:v>record ID</x:v>
      </x:c>
      <x:c r="E38" s="26" t="str">
        <x:v>Object</x:v>
      </x:c>
      <x:c r="F38" s="26" t="str">
        <x:v>Record at the end of the edge.</x:v>
      </x:c>
      <x:c r="G38" s="26" t="str">
        <x:v>Existing record ID</x:v>
      </x:c>
      <x:c r="H38" s="26" t="str">
        <x:v>Must resolve to a record.</x:v>
      </x:c>
      <x:c r="I38" s="26" t="str">
        <x:v>MODEL-JMC-XP2</x:v>
      </x:c>
    </x:row>
    <x:row r="39" ht="78" customHeight="1">
      <x:c r="A39" s="26" t="str">
        <x:v>date_scope</x:v>
      </x:c>
      <x:c r="B39" s="26" t="str">
        <x:v>RELATIONSHIP</x:v>
      </x:c>
      <x:c r="C39" s="26" t="str">
        <x:v>No</x:v>
      </x:c>
      <x:c r="D39" s="26" t="str">
        <x:v>string</x:v>
      </x:c>
      <x:c r="E39" s="26" t="str">
        <x:v>Date / period</x:v>
      </x:c>
      <x:c r="F39" s="26" t="str">
        <x:v>Date range for the relationship.</x:v>
      </x:c>
      <x:c r="G39" s="26" t="str">
        <x:v>ISO date or qualified period</x:v>
      </x:c>
      <x:c r="H39" s="26" t="str">
        <x:v>Do not make temporary relationships timeless.</x:v>
      </x:c>
      <x:c r="I39" s="26" t="str">
        <x:v>1976</x:v>
      </x:c>
    </x:row>
    <x:row r="40" ht="78" customHeight="1">
      <x:c r="A40" s="26" t="str">
        <x:v>timeline_date</x:v>
      </x:c>
      <x:c r="B40" s="26" t="str">
        <x:v>TIMELINE</x:v>
      </x:c>
      <x:c r="C40" s="26" t="str">
        <x:v>Yes</x:v>
      </x:c>
      <x:c r="D40" s="26" t="str">
        <x:v>date/string</x:v>
      </x:c>
      <x:c r="E40" s="26" t="str">
        <x:v>Date / period</x:v>
      </x:c>
      <x:c r="F40" s="26" t="str">
        <x:v>When the event occurred.</x:v>
      </x:c>
      <x:c r="G40" s="26" t="str">
        <x:v>ISO date or qualified text</x:v>
      </x:c>
      <x:c r="H40" s="26" t="str">
        <x:v>Separate publication date from inferred model year.</x:v>
      </x:c>
      <x:c r="I40" s="26" t="str">
        <x:v>March 1977</x:v>
      </x:c>
    </x:row>
    <x:row r="41" ht="78" customHeight="1">
      <x:c r="A41" s="26" t="str">
        <x:v>timeline_event</x:v>
      </x:c>
      <x:c r="B41" s="26" t="str">
        <x:v>TIMELINE</x:v>
      </x:c>
      <x:c r="C41" s="26" t="str">
        <x:v>Yes</x:v>
      </x:c>
      <x:c r="D41" s="26" t="str">
        <x:v>string</x:v>
      </x:c>
      <x:c r="E41" s="26" t="str">
        <x:v>Timeline event</x:v>
      </x:c>
      <x:c r="F41" s="26" t="str">
        <x:v>Original concise event summary.</x:v>
      </x:c>
      <x:c r="G41" s="26" t="str">
        <x:v>Plain text</x:v>
      </x:c>
      <x:c r="H41" s="26" t="str">
        <x:v>Every timeline row requires sources.</x:v>
      </x:c>
      <x:c r="I41" s="26" t="str">
        <x:v>JMC1 became the first production short frame.</x:v>
      </x:c>
    </x:row>
    <x:row r="42" ht="78" customHeight="1">
      <x:c r="A42" s="26" t="str">
        <x:v>open_question</x:v>
      </x:c>
      <x:c r="B42" s="26" t="str">
        <x:v>ALL</x:v>
      </x:c>
      <x:c r="C42" s="26" t="str">
        <x:v>No</x:v>
      </x:c>
      <x:c r="D42" s="26" t="str">
        <x:v>array</x:v>
      </x:c>
      <x:c r="E42" s="26" t="str">
        <x:v>What remains open</x:v>
      </x:c>
      <x:c r="F42" s="26" t="str">
        <x:v>Unresolved research questions shown publicly when useful.</x:v>
      </x:c>
      <x:c r="G42" s="26" t="str">
        <x:v>Question + importance + next evidence</x:v>
      </x:c>
      <x:c r="H42" s="26" t="str">
        <x:v>Do not expose private investigative details.</x:v>
      </x:c>
      <x:c r="I42" s="26" t="str">
        <x:v>What serial identifies the surviving frame?</x:v>
      </x:c>
    </x:row>
    <x:row r="43" ht="78" customHeight="1">
      <x:c r="A43" s="26" t="str">
        <x:v>correction_note</x:v>
      </x:c>
      <x:c r="B43" s="26" t="str">
        <x:v>ALL</x:v>
      </x:c>
      <x:c r="C43" s="26" t="str">
        <x:v>No</x:v>
      </x:c>
      <x:c r="D43" s="26" t="str">
        <x:v>array</x:v>
      </x:c>
      <x:c r="E43" s="26" t="str">
        <x:v>Corrections</x:v>
      </x:c>
      <x:c r="F43" s="26" t="str">
        <x:v>Public change log for material corrections.</x:v>
      </x:c>
      <x:c r="G43" s="26" t="str">
        <x:v>Date, prior wording, corrected wording, reason</x:v>
      </x:c>
      <x:c r="H43" s="26" t="str">
        <x:v>Use when an indexed page changed materially.</x:v>
      </x:c>
      <x:c r="I43" s="26" t="str">
        <x:v>2026-07-30: founding date separated...</x:v>
      </x:c>
    </x:row>
    <x:row r="44" ht="78" customHeight="1">
      <x:c r="A44" s="26" t="str">
        <x:v>rights_notice</x:v>
      </x:c>
      <x:c r="B44" s="26" t="str">
        <x:v>ALL</x:v>
      </x:c>
      <x:c r="C44" s="26" t="str">
        <x:v>Yes</x:v>
      </x:c>
      <x:c r="D44" s="26" t="str">
        <x:v>string</x:v>
      </x:c>
      <x:c r="E44" s="26" t="str">
        <x:v>Rights notice</x:v>
      </x:c>
      <x:c r="F44" s="26" t="str">
        <x:v>Record-specific publication/reuse notice.</x:v>
      </x:c>
      <x:c r="G44" s="26" t="str">
        <x:v>Plain text</x:v>
      </x:c>
      <x:c r="H44" s="26" t="str">
        <x:v>Must reflect source/media rights.</x:v>
      </x:c>
      <x:c r="I44" s="26" t="str">
        <x:v>No BMXMuseum images or descriptions are reproduced.</x:v>
      </x:c>
    </x:row>
    <x:row r="45" ht="78" customHeight="1">
      <x:c r="A45" s="26" t="str">
        <x:v>meta_title</x:v>
      </x:c>
      <x:c r="B45" s="26" t="str">
        <x:v>ALL</x:v>
      </x:c>
      <x:c r="C45" s="26" t="str">
        <x:v>Yes</x:v>
      </x:c>
      <x:c r="D45" s="26" t="str">
        <x:v>string</x:v>
      </x:c>
      <x:c r="E45" s="26" t="str">
        <x:v>SEO title</x:v>
      </x:c>
      <x:c r="F45" s="26" t="str">
        <x:v>Search title.</x:v>
      </x:c>
      <x:c r="G45" s="26" t="str">
        <x:v>45–65 characters preferred</x:v>
      </x:c>
      <x:c r="H45" s="26" t="str">
        <x:v>Unique and evidence-bounded.</x:v>
      </x:c>
      <x:c r="I45" s="26" t="str">
        <x:v>Felicia Stancil 2012 Worlds GT | Lititz BMX</x:v>
      </x:c>
    </x:row>
    <x:row r="46" ht="78" customHeight="1">
      <x:c r="A46" s="26" t="str">
        <x:v>meta_description</x:v>
      </x:c>
      <x:c r="B46" s="26" t="str">
        <x:v>ALL</x:v>
      </x:c>
      <x:c r="C46" s="26" t="str">
        <x:v>Yes</x:v>
      </x:c>
      <x:c r="D46" s="26" t="str">
        <x:v>string</x:v>
      </x:c>
      <x:c r="E46" s="26" t="str">
        <x:v>SEO description</x:v>
      </x:c>
      <x:c r="F46" s="26" t="str">
        <x:v>Search description.</x:v>
      </x:c>
      <x:c r="G46" s="26" t="str">
        <x:v>120–165 characters preferred</x:v>
      </x:c>
      <x:c r="H46" s="26" t="str">
        <x:v>No unsupported rarity or ownership claims.</x:v>
      </x:c>
      <x:c r="I46" s="26" t="str">
        <x:v>Evidence-led record of...</x:v>
      </x:c>
    </x:row>
    <x:row r="47" ht="78" customHeight="1">
      <x:c r="A47" s="26" t="str">
        <x:v>robots</x:v>
      </x:c>
      <x:c r="B47" s="26" t="str">
        <x:v>ALL</x:v>
      </x:c>
      <x:c r="C47" s="26" t="str">
        <x:v>Yes</x:v>
      </x:c>
      <x:c r="D47" s="26" t="str">
        <x:v>enum</x:v>
      </x:c>
      <x:c r="E47" s="26" t="str">
        <x:v>Search indexing</x:v>
      </x:c>
      <x:c r="F47" s="26" t="str">
        <x:v>Indexing instruction.</x:v>
      </x:c>
      <x:c r="G47" s="26" t="str">
        <x:v>index,follow; noindex,follow; noindex,nofollow</x:v>
      </x:c>
      <x:c r="H47" s="26" t="str">
        <x:v>Derived from publication status.</x:v>
      </x:c>
      <x:c r="I47" s="26" t="str">
        <x:v>index,follow</x:v>
      </x:c>
    </x:row>
    <x:row r="48" ht="78" customHeight="1">
      <x:c r="A48" s="26" t="str">
        <x:v>jsonld_type</x:v>
      </x:c>
      <x:c r="B48" s="26" t="str">
        <x:v>ALL</x:v>
      </x:c>
      <x:c r="C48" s="26" t="str">
        <x:v>Yes</x:v>
      </x:c>
      <x:c r="D48" s="26" t="str">
        <x:v>string</x:v>
      </x:c>
      <x:c r="E48" s="26" t="str">
        <x:v>Structured-data type</x:v>
      </x:c>
      <x:c r="F48" s="26" t="str">
        <x:v>Primary schema.org type.</x:v>
      </x:c>
      <x:c r="G48" s="26" t="str">
        <x:v>Valid schema.org type</x:v>
      </x:c>
      <x:c r="H48" s="26" t="str">
        <x:v>Do not overstate Product ownership or event details.</x:v>
      </x:c>
      <x:c r="I48" s="26" t="str">
        <x:v>CreativeWork</x:v>
      </x:c>
    </x:row>
    <x:row r="49" ht="78" customHeight="1">
      <x:c r="A49" s="26" t="str">
        <x:v>revision_version</x:v>
      </x:c>
      <x:c r="B49" s="26" t="str">
        <x:v>ALL</x:v>
      </x:c>
      <x:c r="C49" s="26" t="str">
        <x:v>Yes</x:v>
      </x:c>
      <x:c r="D49" s="26" t="str">
        <x:v>string</x:v>
      </x:c>
      <x:c r="E49" s="26" t="str">
        <x:v>Revision</x:v>
      </x:c>
      <x:c r="F49" s="26" t="str">
        <x:v>Public page version.</x:v>
      </x:c>
      <x:c r="G49" s="26" t="str">
        <x:v>Semantic version or integer</x:v>
      </x:c>
      <x:c r="H49" s="26" t="str">
        <x:v>Update on material content change.</x:v>
      </x:c>
      <x:c r="I49" s="26" t="str">
        <x:v>1.0</x:v>
      </x:c>
    </x:row>
    <x:row r="50" ht="78" customHeight="1">
      <x:c r="A50" s="26" t="str">
        <x:v>revision_note</x:v>
      </x:c>
      <x:c r="B50" s="26" t="str">
        <x:v>ALL</x:v>
      </x:c>
      <x:c r="C50" s="26" t="str">
        <x:v>Yes</x:v>
      </x:c>
      <x:c r="D50" s="26" t="str">
        <x:v>string</x:v>
      </x:c>
      <x:c r="E50" s="26" t="str">
        <x:v>Revision note</x:v>
      </x:c>
      <x:c r="F50" s="26" t="str">
        <x:v>What changed in the current version.</x:v>
      </x:c>
      <x:c r="G50" s="26" t="str">
        <x:v>Plain text</x:v>
      </x:c>
      <x:c r="H50" s="26" t="str">
        <x:v>Visible in revision history.</x:v>
      </x:c>
      <x:c r="I50" s="26" t="str">
        <x:v>Initial public qualified release.</x:v>
      </x:c>
    </x:row>
  </x:sheetData>
  <x:mergeCells>
    <x:mergeCell ref="A1:I1"/>
    <x:mergeCell ref="A2:I2"/>
  </x:mergeCells>
  <x:pageMargins left="0.7" right="0.7" top="0.75" bottom="0.75" header="0.3" footer="0.3"/>
  <x:tableParts count="1">
    <x:tablePart xmlns:r="http://schemas.openxmlformats.org/officeDocument/2006/relationships" r:id="Rd88c2503925f4d29"/>
  </x:tableParts>
</x:worksheet>
</file>

<file path=xl/worksheets/sheet133.xml><?xml version="1.0" encoding="utf-8"?>
<x:worksheet xmlns:x="http://schemas.openxmlformats.org/spreadsheetml/2006/main">
  <x:sheetFormatPr defaultRowHeight="15"/>
  <x:cols>
    <x:col min="1" max="1" width="10" hidden="0" customWidth="1"/>
    <x:col min="2" max="2" width="24" hidden="0" customWidth="1"/>
    <x:col min="3" max="3" width="34" hidden="0" customWidth="1"/>
    <x:col min="4" max="4" width="32" hidden="0" customWidth="1"/>
    <x:col min="5" max="5" width="45" hidden="0" customWidth="1"/>
    <x:col min="6" max="6" width="58" hidden="0" customWidth="1"/>
    <x:col min="7" max="7" width="48" hidden="0" customWidth="1"/>
    <x:col min="8" max="8" width="44" hidden="0" customWidth="1"/>
  </x:cols>
  <x:sheetData>
    <x:row r="1">
      <x:c r="A1" s="643" t="str">
        <x:v>Human-Facing Page Section Schema</x:v>
      </x:c>
      <x:c r="B1" s="643"/>
      <x:c r="C1" s="643"/>
      <x:c r="D1" s="643"/>
      <x:c r="E1" s="643"/>
      <x:c r="F1" s="643"/>
      <x:c r="G1" s="643"/>
      <x:c r="H1" s="643"/>
    </x:row>
    <x:row r="2">
      <x:c r="A2" s="648" t="str">
        <x:v>Readers should be able to see the claim, evidence, source, limitation, open question and revision without opening the research workbook.</x:v>
      </x:c>
      <x:c r="B2" s="648"/>
      <x:c r="C2" s="648"/>
      <x:c r="D2" s="648"/>
      <x:c r="E2" s="648"/>
      <x:c r="F2" s="648"/>
      <x:c r="G2" s="648"/>
      <x:c r="H2" s="648"/>
    </x:row>
    <x:row r="4">
      <x:c r="A4" s="653" t="str">
        <x:v>Order</x:v>
      </x:c>
      <x:c r="B4" s="653" t="str">
        <x:v>Section Key</x:v>
      </x:c>
      <x:c r="C4" s="653" t="str">
        <x:v>Human Heading</x:v>
      </x:c>
      <x:c r="D4" s="653" t="str">
        <x:v>Required For</x:v>
      </x:c>
      <x:c r="E4" s="653" t="str">
        <x:v>Purpose</x:v>
      </x:c>
      <x:c r="F4" s="653" t="str">
        <x:v>Content Rule</x:v>
      </x:c>
      <x:c r="G4" s="653" t="str">
        <x:v>Visibility Rule</x:v>
      </x:c>
      <x:c r="H4" s="653" t="str">
        <x:v>Empty-State Wording</x:v>
      </x:c>
    </x:row>
    <x:row r="5" ht="78" customHeight="1">
      <x:c r="A5" s="26" t="n">
        <x:v>1</x:v>
      </x:c>
      <x:c r="B5" s="26" t="str">
        <x:v>breadcrumb</x:v>
      </x:c>
      <x:c r="C5" s="26" t="str">
        <x:v>Breadcrumb</x:v>
      </x:c>
      <x:c r="D5" s="26" t="str">
        <x:v>ALL</x:v>
      </x:c>
      <x:c r="E5" s="26" t="str">
        <x:v>Orient readers in the archive.</x:v>
      </x:c>
      <x:c r="F5" s="26" t="str">
        <x:v>Use real page-type hierarchy and descriptive link text.</x:v>
      </x:c>
      <x:c r="G5" s="26" t="str">
        <x:v>Always visible.</x:v>
      </x:c>
      <x:c r="H5" s="26" t="str">
        <x:v>Not applicable</x:v>
      </x:c>
    </x:row>
    <x:row r="6" ht="78" customHeight="1">
      <x:c r="A6" s="26" t="n">
        <x:v>2</x:v>
      </x:c>
      <x:c r="B6" s="26" t="str">
        <x:v>identity</x:v>
      </x:c>
      <x:c r="C6" s="26" t="str">
        <x:v>Title and Status</x:v>
      </x:c>
      <x:c r="D6" s="26" t="str">
        <x:v>ALL</x:v>
      </x:c>
      <x:c r="E6" s="26" t="str">
        <x:v>Show H1, subtitle, status and grade.</x:v>
      </x:c>
      <x:c r="F6" s="26" t="str">
        <x:v>One H1 only; status and grade require plain-language labels.</x:v>
      </x:c>
      <x:c r="G6" s="26" t="str">
        <x:v>Always visible.</x:v>
      </x:c>
      <x:c r="H6" s="26" t="str">
        <x:v>Not applicable</x:v>
      </x:c>
    </x:row>
    <x:row r="7" ht="78" customHeight="1">
      <x:c r="A7" s="26" t="n">
        <x:v>3</x:v>
      </x:c>
      <x:c r="B7" s="26" t="str">
        <x:v>summary</x:v>
      </x:c>
      <x:c r="C7" s="26" t="str">
        <x:v>Overview</x:v>
      </x:c>
      <x:c r="D7" s="26" t="str">
        <x:v>ALL</x:v>
      </x:c>
      <x:c r="E7" s="26" t="str">
        <x:v>Explain what the record is and why it matters.</x:v>
      </x:c>
      <x:c r="F7" s="26" t="str">
        <x:v>Original Lititz BMX wording; 40–90 words preferred.</x:v>
      </x:c>
      <x:c r="G7" s="26" t="str">
        <x:v>Always visible.</x:v>
      </x:c>
      <x:c r="H7" s="26" t="str">
        <x:v>Research summary pending.</x:v>
      </x:c>
    </x:row>
    <x:row r="8" ht="78" customHeight="1">
      <x:c r="A8" s="26" t="n">
        <x:v>4</x:v>
      </x:c>
      <x:c r="B8" s="26" t="str">
        <x:v>at_a_glance</x:v>
      </x:c>
      <x:c r="C8" s="26" t="str">
        <x:v>At a Glance</x:v>
      </x:c>
      <x:c r="D8" s="26" t="str">
        <x:v>Most</x:v>
      </x:c>
      <x:c r="E8" s="26" t="str">
        <x:v>Show key dates, brand, IDs, category and evidence grade.</x:v>
      </x:c>
      <x:c r="F8" s="26" t="str">
        <x:v>Use definition list; source every nontrivial field.</x:v>
      </x:c>
      <x:c r="G8" s="26" t="str">
        <x:v>Hide if no useful fields.</x:v>
      </x:c>
      <x:c r="H8" s="26" t="str">
        <x:v>No verified summary fields yet.</x:v>
      </x:c>
    </x:row>
    <x:row r="9" ht="78" customHeight="1">
      <x:c r="A9" s="26" t="n">
        <x:v>5</x:v>
      </x:c>
      <x:c r="B9" s="26" t="str">
        <x:v>claims</x:v>
      </x:c>
      <x:c r="C9" s="26" t="str">
        <x:v>What the Evidence Supports</x:v>
      </x:c>
      <x:c r="D9" s="26" t="str">
        <x:v>ALL except collection</x:v>
      </x:c>
      <x:c r="E9" s="26" t="str">
        <x:v>Make each claim inspectable.</x:v>
      </x:c>
      <x:c r="F9" s="26" t="str">
        <x:v>One assertion per card with status, evidence, sources and boundary.</x:v>
      </x:c>
      <x:c r="G9" s="26" t="str">
        <x:v>Always visible when claims exist.</x:v>
      </x:c>
      <x:c r="H9" s="26" t="str">
        <x:v>No public claims have cleared review.</x:v>
      </x:c>
    </x:row>
    <x:row r="10" ht="78" customHeight="1">
      <x:c r="A10" s="26" t="n">
        <x:v>6</x:v>
      </x:c>
      <x:c r="B10" s="26" t="str">
        <x:v>open</x:v>
      </x:c>
      <x:c r="C10" s="26" t="str">
        <x:v>What Remains Open</x:v>
      </x:c>
      <x:c r="D10" s="26" t="str">
        <x:v>Qualified pages</x:v>
      </x:c>
      <x:c r="E10" s="26" t="str">
        <x:v>Prevent uncertainty from being buried.</x:v>
      </x:c>
      <x:c r="F10" s="26" t="str">
        <x:v>Explain why each question matters and what evidence would resolve it.</x:v>
      </x:c>
      <x:c r="G10" s="26" t="str">
        <x:v>Required for READY-QUALIFIED.</x:v>
      </x:c>
      <x:c r="H10" s="26" t="str">
        <x:v>No material open questions recorded.</x:v>
      </x:c>
    </x:row>
    <x:row r="11" ht="78" customHeight="1">
      <x:c r="A11" s="26" t="n">
        <x:v>7</x:v>
      </x:c>
      <x:c r="B11" s="26" t="str">
        <x:v>timeline</x:v>
      </x:c>
      <x:c r="C11" s="26" t="str">
        <x:v>Timeline</x:v>
      </x:c>
      <x:c r="D11" s="26" t="str">
        <x:v>Brand, person, model, artifact, event</x:v>
      </x:c>
      <x:c r="E11" s="26" t="str">
        <x:v>Present dated development without flattening phases.</x:v>
      </x:c>
      <x:c r="F11" s="26" t="str">
        <x:v>Every row needs source IDs and qualification.</x:v>
      </x:c>
      <x:c r="G11" s="26" t="str">
        <x:v>Hide if fewer than two useful events.</x:v>
      </x:c>
      <x:c r="H11" s="26" t="str">
        <x:v>Timeline not yet assembled.</x:v>
      </x:c>
    </x:row>
    <x:row r="12" ht="78" customHeight="1">
      <x:c r="A12" s="26" t="n">
        <x:v>8</x:v>
      </x:c>
      <x:c r="B12" s="26" t="str">
        <x:v>physical</x:v>
      </x:c>
      <x:c r="C12" s="26" t="str">
        <x:v>Physical Evidence</x:v>
      </x:c>
      <x:c r="D12" s="26" t="str">
        <x:v>Artifact</x:v>
      </x:c>
      <x:c r="E12" s="26" t="str">
        <x:v>Show serials, markings, dimensions, condition and capture status.</x:v>
      </x:c>
      <x:c r="F12" s="26" t="str">
        <x:v>Distinguish observed fact from interpretation.</x:v>
      </x:c>
      <x:c r="G12" s="26" t="str">
        <x:v>Required when physical evidence exists.</x:v>
      </x:c>
      <x:c r="H12" s="26" t="str">
        <x:v>Physical evidence is on the roadmap.</x:v>
      </x:c>
    </x:row>
    <x:row r="13" ht="78" customHeight="1">
      <x:c r="A13" s="26" t="n">
        <x:v>9</x:v>
      </x:c>
      <x:c r="B13" s="26" t="str">
        <x:v>relationships</x:v>
      </x:c>
      <x:c r="C13" s="26" t="str">
        <x:v>Related People, Brands, Events and Objects</x:v>
      </x:c>
      <x:c r="D13" s="26" t="str">
        <x:v>ALL</x:v>
      </x:c>
      <x:c r="E13" s="26" t="str">
        <x:v>Expose knowledge-graph edges.</x:v>
      </x:c>
      <x:c r="F13" s="26" t="str">
        <x:v>Use controlled predicates and dated scope.</x:v>
      </x:c>
      <x:c r="G13" s="26" t="str">
        <x:v>Show up to 12 primary relationships; link to full list.</x:v>
      </x:c>
      <x:c r="H13" s="26" t="str">
        <x:v>No public relationships cleared.</x:v>
      </x:c>
    </x:row>
    <x:row r="14" ht="78" customHeight="1">
      <x:c r="A14" s="26" t="n">
        <x:v>10</x:v>
      </x:c>
      <x:c r="B14" s="26" t="str">
        <x:v>sources</x:v>
      </x:c>
      <x:c r="C14" s="26" t="str">
        <x:v>Sources and Provenance</x:v>
      </x:c>
      <x:c r="D14" s="26" t="str">
        <x:v>ALL</x:v>
      </x:c>
      <x:c r="E14" s="26" t="str">
        <x:v>Let readers inspect source identity and limitations.</x:v>
      </x:c>
      <x:c r="F14" s="26" t="str">
        <x:v>Show source class, creator, date, link, rights and source note.</x:v>
      </x:c>
      <x:c r="G14" s="26" t="str">
        <x:v>Always visible.</x:v>
      </x:c>
      <x:c r="H14" s="26" t="str">
        <x:v>Source review pending.</x:v>
      </x:c>
    </x:row>
    <x:row r="15" ht="78" customHeight="1">
      <x:c r="A15" s="26" t="n">
        <x:v>11</x:v>
      </x:c>
      <x:c r="B15" s="26" t="str">
        <x:v>corrections</x:v>
      </x:c>
      <x:c r="C15" s="26" t="str">
        <x:v>Corrections and Revisions</x:v>
      </x:c>
      <x:c r="D15" s="26" t="str">
        <x:v>Pages with changes</x:v>
      </x:c>
      <x:c r="E15" s="26" t="str">
        <x:v>Preserve accountability.</x:v>
      </x:c>
      <x:c r="F15" s="26" t="str">
        <x:v>Show material wording/status changes; not routine typo edits.</x:v>
      </x:c>
      <x:c r="G15" s="26" t="str">
        <x:v>Visible when any correction exists.</x:v>
      </x:c>
      <x:c r="H15" s="26" t="str">
        <x:v>No material corrections.</x:v>
      </x:c>
    </x:row>
    <x:row r="16" ht="78" customHeight="1">
      <x:c r="A16" s="26" t="n">
        <x:v>12</x:v>
      </x:c>
      <x:c r="B16" s="26" t="str">
        <x:v>rights</x:v>
      </x:c>
      <x:c r="C16" s="26" t="str">
        <x:v>Rights and Reuse</x:v>
      </x:c>
      <x:c r="D16" s="26" t="str">
        <x:v>ALL</x:v>
      </x:c>
      <x:c r="E16" s="26" t="str">
        <x:v>Explain what is linked, summarized, owned or excluded.</x:v>
      </x:c>
      <x:c r="F16" s="26" t="str">
        <x:v>Record-specific language plus site policy link.</x:v>
      </x:c>
      <x:c r="G16" s="26" t="str">
        <x:v>Always visible.</x:v>
      </x:c>
      <x:c r="H16" s="26" t="str">
        <x:v>Standard Lititz BMX rights notice applies.</x:v>
      </x:c>
    </x:row>
    <x:row r="17" ht="78" customHeight="1">
      <x:c r="A17" s="26" t="n">
        <x:v>13</x:v>
      </x:c>
      <x:c r="B17" s="26" t="str">
        <x:v>revision</x:v>
      </x:c>
      <x:c r="C17" s="26" t="str">
        <x:v>Review Information</x:v>
      </x:c>
      <x:c r="D17" s="26" t="str">
        <x:v>ALL</x:v>
      </x:c>
      <x:c r="E17" s="26" t="str">
        <x:v>Show version, reviewer and date.</x:v>
      </x:c>
      <x:c r="F17" s="26" t="str">
        <x:v>No private contact details.</x:v>
      </x:c>
      <x:c r="G17" s="26" t="str">
        <x:v>Always visible.</x:v>
      </x:c>
      <x:c r="H17" s="26" t="str">
        <x:v>Review metadata pending.</x:v>
      </x:c>
    </x:row>
  </x:sheetData>
  <x:mergeCells>
    <x:mergeCell ref="A1:H1"/>
    <x:mergeCell ref="A2:H2"/>
  </x:mergeCells>
  <x:pageMargins left="0.7" right="0.7" top="0.75" bottom="0.75" header="0.3" footer="0.3"/>
  <x:tableParts count="1">
    <x:tablePart xmlns:r="http://schemas.openxmlformats.org/officeDocument/2006/relationships" r:id="R77e9c9f6c62b4581"/>
  </x:tableParts>
</x:worksheet>
</file>

<file path=xl/worksheets/sheet134.xml><?xml version="1.0" encoding="utf-8"?>
<x:worksheet xmlns:x="http://schemas.openxmlformats.org/spreadsheetml/2006/main">
  <x:sheetFormatPr defaultRowHeight="15"/>
  <x:cols>
    <x:col min="1" max="1" width="24" hidden="0" customWidth="1"/>
    <x:col min="2" max="2" width="13" hidden="0" customWidth="1"/>
    <x:col min="3" max="3" width="30" hidden="0" customWidth="1"/>
    <x:col min="4" max="4" width="46" hidden="0" customWidth="1"/>
    <x:col min="5" max="5" width="48" hidden="0" customWidth="1"/>
    <x:col min="6" max="6" width="52" hidden="0" customWidth="1"/>
    <x:col min="7" max="7" width="48" hidden="0" customWidth="1"/>
  </x:cols>
  <x:sheetData>
    <x:row r="1">
      <x:c r="A1" s="643" t="str">
        <x:v>Inspectable Claim Card Schema</x:v>
      </x:c>
      <x:c r="B1" s="643"/>
      <x:c r="C1" s="643"/>
      <x:c r="D1" s="643"/>
      <x:c r="E1" s="643"/>
      <x:c r="F1" s="643"/>
      <x:c r="G1" s="643"/>
    </x:row>
    <x:row r="2">
      <x:c r="A2" s="648" t="str">
        <x:v>A reader should never have to trust a colored badge without seeing the wording, reasoning, source and boundary.</x:v>
      </x:c>
      <x:c r="B2" s="648"/>
      <x:c r="C2" s="648"/>
      <x:c r="D2" s="648"/>
      <x:c r="E2" s="648"/>
      <x:c r="F2" s="648"/>
      <x:c r="G2" s="648"/>
    </x:row>
    <x:row r="4">
      <x:c r="A4" s="653" t="str">
        <x:v>Field</x:v>
      </x:c>
      <x:c r="B4" s="653" t="str">
        <x:v>Required</x:v>
      </x:c>
      <x:c r="C4" s="653" t="str">
        <x:v>Display Component</x:v>
      </x:c>
      <x:c r="D4" s="653" t="str">
        <x:v>Purpose</x:v>
      </x:c>
      <x:c r="E4" s="653" t="str">
        <x:v>Allowed Values / Rule</x:v>
      </x:c>
      <x:c r="F4" s="653" t="str">
        <x:v>Example</x:v>
      </x:c>
      <x:c r="G4" s="653" t="str">
        <x:v>Failure Condition</x:v>
      </x:c>
    </x:row>
    <x:row r="5" ht="76" customHeight="1">
      <x:c r="A5" s="26" t="str">
        <x:v>claim_id</x:v>
      </x:c>
      <x:c r="B5" s="26" t="str">
        <x:v>Yes</x:v>
      </x:c>
      <x:c r="C5" s="26" t="str">
        <x:v>Hidden anchor / permalink</x:v>
      </x:c>
      <x:c r="D5" s="26" t="str">
        <x:v>Stable citation target.</x:v>
      </x:c>
      <x:c r="E5" s="26" t="str">
        <x:v>Unique within site.</x:v>
      </x:c>
      <x:c r="F5" s="26" t="str">
        <x:v>CLAIM-26-0054-001</x:v>
      </x:c>
      <x:c r="G5" s="26" t="str">
        <x:v>Duplicate or missing ID.</x:v>
      </x:c>
    </x:row>
    <x:row r="6" ht="76" customHeight="1">
      <x:c r="A6" s="26" t="str">
        <x:v>claim_statement</x:v>
      </x:c>
      <x:c r="B6" s="26" t="str">
        <x:v>Yes</x:v>
      </x:c>
      <x:c r="C6" s="26" t="str">
        <x:v>Claim heading</x:v>
      </x:c>
      <x:c r="D6" s="26" t="str">
        <x:v>State one proposition.</x:v>
      </x:c>
      <x:c r="E6" s="26" t="str">
        <x:v>One sentence; no bundled assertions.</x:v>
      </x:c>
      <x:c r="F6" s="26" t="str">
        <x:v>Stancil won both Junior Women world titles in Birmingham in 2012.</x:v>
      </x:c>
      <x:c r="G6" s="26" t="str">
        <x:v>Contains multiple independently graded claims.</x:v>
      </x:c>
    </x:row>
    <x:row r="7" ht="76" customHeight="1">
      <x:c r="A7" s="26" t="str">
        <x:v>claim_status</x:v>
      </x:c>
      <x:c r="B7" s="26" t="str">
        <x:v>Yes</x:v>
      </x:c>
      <x:c r="C7" s="26" t="str">
        <x:v>Status badge</x:v>
      </x:c>
      <x:c r="D7" s="26" t="str">
        <x:v>Tell reader the determination.</x:v>
      </x:c>
      <x:c r="E7" s="26" t="str">
        <x:v>VERIFIED; ATTRIBUTED; QUALIFIED; OPEN; REJECTED; SUPERSEDED</x:v>
      </x:c>
      <x:c r="F7" s="26" t="str">
        <x:v>VERIFIED</x:v>
      </x:c>
      <x:c r="G7" s="26" t="str">
        <x:v>Badge absent or status hidden in prose.</x:v>
      </x:c>
    </x:row>
    <x:row r="8" ht="76" customHeight="1">
      <x:c r="A8" s="26" t="str">
        <x:v>evidence_grade</x:v>
      </x:c>
      <x:c r="B8" s="26" t="str">
        <x:v>No</x:v>
      </x:c>
      <x:c r="C8" s="26" t="str">
        <x:v>Grade badge</x:v>
      </x:c>
      <x:c r="D8" s="26" t="str">
        <x:v>Show current artifact/claim strength.</x:v>
      </x:c>
      <x:c r="E8" s="26" t="str">
        <x:v>A through D, OPEN or N/A</x:v>
      </x:c>
      <x:c r="F8" s="26" t="str">
        <x:v>A</x:v>
      </x:c>
      <x:c r="G8" s="26" t="str">
        <x:v>Grade shown without explanation.</x:v>
      </x:c>
    </x:row>
    <x:row r="9" ht="76" customHeight="1">
      <x:c r="A9" s="26" t="str">
        <x:v>claim_type</x:v>
      </x:c>
      <x:c r="B9" s="26" t="str">
        <x:v>Yes</x:v>
      </x:c>
      <x:c r="C9" s="26" t="str">
        <x:v>Category label / filter</x:v>
      </x:c>
      <x:c r="D9" s="26" t="str">
        <x:v>Support filtering and audits.</x:v>
      </x:c>
      <x:c r="E9" s="26" t="str">
        <x:v>Controlled enum.</x:v>
      </x:c>
      <x:c r="F9" s="26" t="str">
        <x:v>RESULT</x:v>
      </x:c>
      <x:c r="G9" s="26" t="str">
        <x:v>Free-text categories fragment the register.</x:v>
      </x:c>
    </x:row>
    <x:row r="10" ht="76" customHeight="1">
      <x:c r="A10" s="26" t="str">
        <x:v>public_wording</x:v>
      </x:c>
      <x:c r="B10" s="26" t="str">
        <x:v>Yes</x:v>
      </x:c>
      <x:c r="C10" s="26" t="str">
        <x:v>Approved statement</x:v>
      </x:c>
      <x:c r="D10" s="26" t="str">
        <x:v>Show final evidence-bounded wording.</x:v>
      </x:c>
      <x:c r="E10" s="26" t="str">
        <x:v>Original Lititz BMX sentence.</x:v>
      </x:c>
      <x:c r="F10" s="26" t="str">
        <x:v>Official reporting verifies both titles.</x:v>
      </x:c>
      <x:c r="G10" s="26" t="str">
        <x:v>Uses risky wording from corrections ledger.</x:v>
      </x:c>
    </x:row>
    <x:row r="11" ht="76" customHeight="1">
      <x:c r="A11" s="26" t="str">
        <x:v>evidence_summary</x:v>
      </x:c>
      <x:c r="B11" s="26" t="str">
        <x:v>Yes</x:v>
      </x:c>
      <x:c r="C11" s="26" t="str">
        <x:v>Why this status</x:v>
      </x:c>
      <x:c r="D11" s="26" t="str">
        <x:v>Explain why the claim has its status.</x:v>
      </x:c>
      <x:c r="E11" s="26" t="str">
        <x:v>1–3 plain-language sentences.</x:v>
      </x:c>
      <x:c r="F11" s="26" t="str">
        <x:v>USA BMX reported...</x:v>
      </x:c>
      <x:c r="G11" s="26" t="str">
        <x:v>Only a grade is shown.</x:v>
      </x:c>
    </x:row>
    <x:row r="12" ht="76" customHeight="1">
      <x:c r="A12" s="26" t="str">
        <x:v>source_ids</x:v>
      </x:c>
      <x:c r="B12" s="26" t="str">
        <x:v>Yes</x:v>
      </x:c>
      <x:c r="C12" s="26" t="str">
        <x:v>Source chips/links</x:v>
      </x:c>
      <x:c r="D12" s="26" t="str">
        <x:v>Connect assertion to source cards.</x:v>
      </x:c>
      <x:c r="E12" s="26" t="str">
        <x:v>At least one existing source ID.</x:v>
      </x:c>
      <x:c r="F12" s="26" t="str">
        <x:v>SRC-USA-BMX-2012</x:v>
      </x:c>
      <x:c r="G12" s="26" t="str">
        <x:v>Unresolved source ID.</x:v>
      </x:c>
    </x:row>
    <x:row r="13" ht="76" customHeight="1">
      <x:c r="A13" s="26" t="str">
        <x:v>does_not_prove</x:v>
      </x:c>
      <x:c r="B13" s="26" t="str">
        <x:v>Conditional</x:v>
      </x:c>
      <x:c r="C13" s="26" t="str">
        <x:v>Boundary callout</x:v>
      </x:c>
      <x:c r="D13" s="26" t="str">
        <x:v>Prevent overreading.</x:v>
      </x:c>
      <x:c r="E13" s="26" t="str">
        <x:v>Required for submitted metadata, achievement-to-object and rarity claims.</x:v>
      </x:c>
      <x:c r="F13" s="26" t="str">
        <x:v>This does not authenticate the surviving frame.</x:v>
      </x:c>
      <x:c r="G13" s="26" t="str">
        <x:v>Boundary omitted where readers could overgeneralize.</x:v>
      </x:c>
    </x:row>
    <x:row r="14" ht="76" customHeight="1">
      <x:c r="A14" s="26" t="str">
        <x:v>confidence</x:v>
      </x:c>
      <x:c r="B14" s="26" t="str">
        <x:v>No</x:v>
      </x:c>
      <x:c r="C14" s="26" t="str">
        <x:v>Confidence label</x:v>
      </x:c>
      <x:c r="D14" s="26" t="str">
        <x:v>Express indirect-source confidence.</x:v>
      </x:c>
      <x:c r="E14" s="26" t="str">
        <x:v>HIGH; MEDIUM-HIGH; MEDIUM; LOW-MEDIUM; LOW</x:v>
      </x:c>
      <x:c r="F14" s="26" t="str">
        <x:v>HIGH</x:v>
      </x:c>
      <x:c r="G14" s="26" t="str">
        <x:v>Used instead of status.</x:v>
      </x:c>
    </x:row>
    <x:row r="15" ht="76" customHeight="1">
      <x:c r="A15" s="26" t="str">
        <x:v>date_scope</x:v>
      </x:c>
      <x:c r="B15" s="26" t="str">
        <x:v>No</x:v>
      </x:c>
      <x:c r="C15" s="26" t="str">
        <x:v>Date/period</x:v>
      </x:c>
      <x:c r="D15" s="26" t="str">
        <x:v>Limit claim in time.</x:v>
      </x:c>
      <x:c r="E15" s="26" t="str">
        <x:v>Qualified dates permitted.</x:v>
      </x:c>
      <x:c r="F15" s="26" t="str">
        <x:v>March 2000 roster</x:v>
      </x:c>
      <x:c r="G15" s="26" t="str">
        <x:v>Temporary roster presented as timeless.</x:v>
      </x:c>
    </x:row>
    <x:row r="16" ht="76" customHeight="1">
      <x:c r="A16" s="26" t="str">
        <x:v>rights_note</x:v>
      </x:c>
      <x:c r="B16" s="26" t="str">
        <x:v>No</x:v>
      </x:c>
      <x:c r="C16" s="26" t="str">
        <x:v>Rights note</x:v>
      </x:c>
      <x:c r="D16" s="26" t="str">
        <x:v>Explain quotation/image limits.</x:v>
      </x:c>
      <x:c r="E16" s="26" t="str">
        <x:v>Plain text.</x:v>
      </x:c>
      <x:c r="F16" s="26" t="str">
        <x:v>Source is summarized; scan not reproduced.</x:v>
      </x:c>
      <x:c r="G16" s="26" t="str">
        <x:v>Copyright-sensitive source copied.</x:v>
      </x:c>
    </x:row>
    <x:row r="17" ht="76" customHeight="1">
      <x:c r="A17" s="26" t="str">
        <x:v>correction_state</x:v>
      </x:c>
      <x:c r="B17" s="26" t="str">
        <x:v>No</x:v>
      </x:c>
      <x:c r="C17" s="26" t="str">
        <x:v>Correction indicator</x:v>
      </x:c>
      <x:c r="D17" s="26" t="str">
        <x:v>Show corrected/superseded wording.</x:v>
      </x:c>
      <x:c r="E17" s="26" t="str">
        <x:v>CURRENT; CORRECTED; SUPERSEDED</x:v>
      </x:c>
      <x:c r="F17" s="26" t="str">
        <x:v>CORRECTED</x:v>
      </x:c>
      <x:c r="G17" s="26" t="str">
        <x:v>Prior materially indexed wording disappears.</x:v>
      </x:c>
    </x:row>
    <x:row r="18" ht="76" customHeight="1">
      <x:c r="A18" s="26" t="str">
        <x:v>last_reviewed</x:v>
      </x:c>
      <x:c r="B18" s="26" t="str">
        <x:v>Yes</x:v>
      </x:c>
      <x:c r="C18" s="26" t="str">
        <x:v>Review date</x:v>
      </x:c>
      <x:c r="D18" s="26" t="str">
        <x:v>Show currency.</x:v>
      </x:c>
      <x:c r="E18" s="26" t="str">
        <x:v>YYYY-MM-DD</x:v>
      </x:c>
      <x:c r="F18" s="26" t="str">
        <x:v>2026-07-30</x:v>
      </x:c>
      <x:c r="G18" s="26" t="str">
        <x:v>Missing or stale review.</x:v>
      </x:c>
    </x:row>
    <x:row r="19" ht="76" customHeight="1">
      <x:c r="A19" s="26" t="str">
        <x:v>permalink</x:v>
      </x:c>
      <x:c r="B19" s="26" t="str">
        <x:v>Derived</x:v>
      </x:c>
      <x:c r="C19" s="26" t="str">
        <x:v>Claim link icon</x:v>
      </x:c>
      <x:c r="D19" s="26" t="str">
        <x:v>Allow direct linking.</x:v>
      </x:c>
      <x:c r="E19" s="26" t="str">
        <x:v>#{claim_id}</x:v>
      </x:c>
      <x:c r="F19" s="26" t="str">
        <x:v>#CLAIM-26-0054-001</x:v>
      </x:c>
      <x:c r="G19" s="26" t="str">
        <x:v>Anchor changes with title.</x:v>
      </x:c>
    </x:row>
  </x:sheetData>
  <x:mergeCells>
    <x:mergeCell ref="A1:G1"/>
    <x:mergeCell ref="A2:G2"/>
  </x:mergeCells>
  <x:pageMargins left="0.7" right="0.7" top="0.75" bottom="0.75" header="0.3" footer="0.3"/>
  <x:tableParts count="1">
    <x:tablePart xmlns:r="http://schemas.openxmlformats.org/officeDocument/2006/relationships" r:id="R9b6d692f5ee54e24"/>
  </x:tableParts>
</x:worksheet>
</file>

<file path=xl/worksheets/sheet135.xml><?xml version="1.0" encoding="utf-8"?>
<x:worksheet xmlns:x="http://schemas.openxmlformats.org/spreadsheetml/2006/main">
  <x:sheetFormatPr defaultRowHeight="15"/>
  <x:cols>
    <x:col min="1" max="1" width="24" hidden="0" customWidth="1"/>
    <x:col min="2" max="2" width="13" hidden="0" customWidth="1"/>
    <x:col min="3" max="3" width="31" hidden="0" customWidth="1"/>
    <x:col min="4" max="4" width="46" hidden="0" customWidth="1"/>
    <x:col min="5" max="5" width="52" hidden="0" customWidth="1"/>
    <x:col min="6" max="6" width="52" hidden="0" customWidth="1"/>
    <x:col min="7" max="7" width="48" hidden="0" customWidth="1"/>
  </x:cols>
  <x:sheetData>
    <x:row r="1">
      <x:c r="A1" s="643" t="str">
        <x:v>Inspectable Source Card Schema</x:v>
      </x:c>
      <x:c r="B1" s="643"/>
      <x:c r="C1" s="643"/>
      <x:c r="D1" s="643"/>
      <x:c r="E1" s="643"/>
      <x:c r="F1" s="643"/>
      <x:c r="G1" s="643"/>
    </x:row>
    <x:row r="2">
      <x:c r="A2" s="648" t="str">
        <x:v>A source card identifies the exact object, its evidence role, its limitation, its rights treatment and where readers can inspect it.</x:v>
      </x:c>
      <x:c r="B2" s="648"/>
      <x:c r="C2" s="648"/>
      <x:c r="D2" s="648"/>
      <x:c r="E2" s="648"/>
      <x:c r="F2" s="648"/>
      <x:c r="G2" s="648"/>
    </x:row>
    <x:row r="4">
      <x:c r="A4" s="653" t="str">
        <x:v>Field</x:v>
      </x:c>
      <x:c r="B4" s="653" t="str">
        <x:v>Required</x:v>
      </x:c>
      <x:c r="C4" s="653" t="str">
        <x:v>Display Component</x:v>
      </x:c>
      <x:c r="D4" s="653" t="str">
        <x:v>Purpose</x:v>
      </x:c>
      <x:c r="E4" s="653" t="str">
        <x:v>Rule / Allowed Values</x:v>
      </x:c>
      <x:c r="F4" s="653" t="str">
        <x:v>Example</x:v>
      </x:c>
      <x:c r="G4" s="653" t="str">
        <x:v>Failure Condition</x:v>
      </x:c>
    </x:row>
    <x:row r="5" ht="76" customHeight="1">
      <x:c r="A5" s="26" t="str">
        <x:v>source_id</x:v>
      </x:c>
      <x:c r="B5" s="26" t="str">
        <x:v>Yes</x:v>
      </x:c>
      <x:c r="C5" s="26" t="str">
        <x:v>Anchor / internal key</x:v>
      </x:c>
      <x:c r="D5" s="26" t="str">
        <x:v>Stable source identity.</x:v>
      </x:c>
      <x:c r="E5" s="26" t="str">
        <x:v>Unique sitewide.</x:v>
      </x:c>
      <x:c r="F5" s="26" t="str">
        <x:v>SRC-USA-BMX-2012</x:v>
      </x:c>
      <x:c r="G5" s="26" t="str">
        <x:v>Duplicate or changing ID.</x:v>
      </x:c>
    </x:row>
    <x:row r="6" ht="76" customHeight="1">
      <x:c r="A6" s="26" t="str">
        <x:v>source_title</x:v>
      </x:c>
      <x:c r="B6" s="26" t="str">
        <x:v>Yes</x:v>
      </x:c>
      <x:c r="C6" s="26" t="str">
        <x:v>Linked title</x:v>
      </x:c>
      <x:c r="D6" s="26" t="str">
        <x:v>Name the exact source object.</x:v>
      </x:c>
      <x:c r="E6" s="26" t="str">
        <x:v>Use original title when known.</x:v>
      </x:c>
      <x:c r="F6" s="26" t="str">
        <x:v>UCI Worlds Update</x:v>
      </x:c>
      <x:c r="G6" s="26" t="str">
        <x:v>Generic title such as 'website'.</x:v>
      </x:c>
    </x:row>
    <x:row r="7" ht="76" customHeight="1">
      <x:c r="A7" s="26" t="str">
        <x:v>source_creator</x:v>
      </x:c>
      <x:c r="B7" s="26" t="str">
        <x:v>Conditional</x:v>
      </x:c>
      <x:c r="C7" s="26" t="str">
        <x:v>Creator/publisher</x:v>
      </x:c>
      <x:c r="D7" s="26" t="str">
        <x:v>Show who is responsible for source.</x:v>
      </x:c>
      <x:c r="E7" s="26" t="str">
        <x:v>Required when known.</x:v>
      </x:c>
      <x:c r="F7" s="26" t="str">
        <x:v>USA BMX</x:v>
      </x:c>
      <x:c r="G7" s="26" t="str">
        <x:v>Publisher omitted despite being known.</x:v>
      </x:c>
    </x:row>
    <x:row r="8" ht="76" customHeight="1">
      <x:c r="A8" s="26" t="str">
        <x:v>source_date</x:v>
      </x:c>
      <x:c r="B8" s="26" t="str">
        <x:v>Conditional</x:v>
      </x:c>
      <x:c r="C8" s="26" t="str">
        <x:v>Date</x:v>
      </x:c>
      <x:c r="D8" s="26" t="str">
        <x:v>Place source in time.</x:v>
      </x:c>
      <x:c r="E8" s="26" t="str">
        <x:v>Exact or qualified date.</x:v>
      </x:c>
      <x:c r="F8" s="26" t="str">
        <x:v>2012-05-27</x:v>
      </x:c>
      <x:c r="G8" s="26" t="str">
        <x:v>Access date substituted for publication date.</x:v>
      </x:c>
    </x:row>
    <x:row r="9" ht="76" customHeight="1">
      <x:c r="A9" s="26" t="str">
        <x:v>source_class</x:v>
      </x:c>
      <x:c r="B9" s="26" t="str">
        <x:v>Yes</x:v>
      </x:c>
      <x:c r="C9" s="26" t="str">
        <x:v>Source-class badge</x:v>
      </x:c>
      <x:c r="D9" s="26" t="str">
        <x:v>Explain evidence role.</x:v>
      </x:c>
      <x:c r="E9" s="26" t="str">
        <x:v>OFFICIAL; FIRST-PERSON; PERIOD-PUBLICATION; PERIOD-CATALOG; CURRENT-FIRST-PARTY; INDEPENDENT; SUBMITTED-METADATA; PUBLIC-BACKLINK; PHYSICAL-EVIDENCE</x:v>
      </x:c>
      <x:c r="F9" s="26" t="str">
        <x:v>OFFICIAL</x:v>
      </x:c>
      <x:c r="G9" s="26" t="str">
        <x:v>All sources displayed as equal.</x:v>
      </x:c>
    </x:row>
    <x:row r="10" ht="76" customHeight="1">
      <x:c r="A10" s="26" t="str">
        <x:v>source_url</x:v>
      </x:c>
      <x:c r="B10" s="26" t="str">
        <x:v>Yes</x:v>
      </x:c>
      <x:c r="C10" s="26" t="str">
        <x:v>External link</x:v>
      </x:c>
      <x:c r="D10" s="26" t="str">
        <x:v>Let reader inspect public source.</x:v>
      </x:c>
      <x:c r="E10" s="26" t="str">
        <x:v>HTTPS; canonical/best available.</x:v>
      </x:c>
      <x:c r="F10" s="26" t="str">
        <x:v>https://www.usabmx.com/...</x:v>
      </x:c>
      <x:c r="G10" s="26" t="str">
        <x:v>Broken, tracking-heavy or invented URL.</x:v>
      </x:c>
    </x:row>
    <x:row r="11" ht="76" customHeight="1">
      <x:c r="A11" s="26" t="str">
        <x:v>accessed</x:v>
      </x:c>
      <x:c r="B11" s="26" t="str">
        <x:v>Yes</x:v>
      </x:c>
      <x:c r="C11" s="26" t="str">
        <x:v>Accessed date</x:v>
      </x:c>
      <x:c r="D11" s="26" t="str">
        <x:v>Audit retrieval.</x:v>
      </x:c>
      <x:c r="E11" s="26" t="str">
        <x:v>YYYY-MM-DD</x:v>
      </x:c>
      <x:c r="F11" s="26" t="str">
        <x:v>2026-07-30</x:v>
      </x:c>
      <x:c r="G11" s="26" t="str">
        <x:v>Missing on web sources.</x:v>
      </x:c>
    </x:row>
    <x:row r="12" ht="76" customHeight="1">
      <x:c r="A12" s="26" t="str">
        <x:v>source_note</x:v>
      </x:c>
      <x:c r="B12" s="26" t="str">
        <x:v>Yes</x:v>
      </x:c>
      <x:c r="C12" s="26" t="str">
        <x:v>Contribution and limit</x:v>
      </x:c>
      <x:c r="D12" s="26" t="str">
        <x:v>Explain what source can and cannot prove.</x:v>
      </x:c>
      <x:c r="E12" s="26" t="str">
        <x:v>1–3 sentences.</x:v>
      </x:c>
      <x:c r="F12" s="26" t="str">
        <x:v>Official result; does not authenticate bicycle.</x:v>
      </x:c>
      <x:c r="G12" s="26" t="str">
        <x:v>Source card lacks limitation.</x:v>
      </x:c>
    </x:row>
    <x:row r="13" ht="76" customHeight="1">
      <x:c r="A13" s="26" t="str">
        <x:v>rights_code</x:v>
      </x:c>
      <x:c r="B13" s="26" t="str">
        <x:v>Yes</x:v>
      </x:c>
      <x:c r="C13" s="26" t="str">
        <x:v>Reuse badge</x:v>
      </x:c>
      <x:c r="D13" s="26" t="str">
        <x:v>Control copying/quotation/media.</x:v>
      </x:c>
      <x:c r="E13" s="26" t="str">
        <x:v>LINK-ONLY; INDEX-ONLY; FACTUAL-PARAPHRASE; LITITZ-OWNED; LICENSED; PUBLIC-DOMAIN; PERMISSION-REQUIRED</x:v>
      </x:c>
      <x:c r="F13" s="26" t="str">
        <x:v>FACTUAL-PARAPHRASE</x:v>
      </x:c>
      <x:c r="G13" s="26" t="str">
        <x:v>Public access treated as public domain.</x:v>
      </x:c>
    </x:row>
    <x:row r="14" ht="76" customHeight="1">
      <x:c r="A14" s="26" t="str">
        <x:v>external_id</x:v>
      </x:c>
      <x:c r="B14" s="26" t="str">
        <x:v>No</x:v>
      </x:c>
      <x:c r="C14" s="26" t="str">
        <x:v>Identifier</x:v>
      </x:c>
      <x:c r="D14" s="26" t="str">
        <x:v>Preserve reference, bike, issue or document ID.</x:v>
      </x:c>
      <x:c r="E14" s="26" t="str">
        <x:v>Literal identifier.</x:v>
      </x:c>
      <x:c r="F14" s="26" t="str">
        <x:v>BMXMuseum 5027</x:v>
      </x:c>
      <x:c r="G14" s="26" t="str">
        <x:v>Identifier normalized or silently changed.</x:v>
      </x:c>
    </x:row>
    <x:row r="15" ht="76" customHeight="1">
      <x:c r="A15" s="26" t="str">
        <x:v>archive_copy</x:v>
      </x:c>
      <x:c r="B15" s="26" t="str">
        <x:v>No</x:v>
      </x:c>
      <x:c r="C15" s="26" t="str">
        <x:v>Preservation status</x:v>
      </x:c>
      <x:c r="D15" s="26" t="str">
        <x:v>State whether Lititz holds a lawful copy.</x:v>
      </x:c>
      <x:c r="E15" s="26" t="str">
        <x:v>NONE; METADATA-ONLY; PRIVATE-PRESERVATION; PUBLIC-COPY</x:v>
      </x:c>
      <x:c r="F15" s="26" t="str">
        <x:v>METADATA-ONLY</x:v>
      </x:c>
      <x:c r="G15" s="26" t="str">
        <x:v>Claims archive copy without file/evidence.</x:v>
      </x:c>
    </x:row>
    <x:row r="16" ht="76" customHeight="1">
      <x:c r="A16" s="26" t="str">
        <x:v>citation_text</x:v>
      </x:c>
      <x:c r="B16" s="26" t="str">
        <x:v>Yes</x:v>
      </x:c>
      <x:c r="C16" s="26" t="str">
        <x:v>Citation line</x:v>
      </x:c>
      <x:c r="D16" s="26" t="str">
        <x:v>Provide compact human citation.</x:v>
      </x:c>
      <x:c r="E16" s="26" t="str">
        <x:v>Creator, title, date, publisher.</x:v>
      </x:c>
      <x:c r="F16" s="26" t="str">
        <x:v>USA BMX, 'UCI Worlds Update,' 2012.</x:v>
      </x:c>
      <x:c r="G16" s="26" t="str">
        <x:v>Raw URL only.</x:v>
      </x:c>
    </x:row>
    <x:row r="17" ht="76" customHeight="1">
      <x:c r="A17" s="26" t="str">
        <x:v>dependency_ids</x:v>
      </x:c>
      <x:c r="B17" s="26" t="str">
        <x:v>No</x:v>
      </x:c>
      <x:c r="C17" s="26" t="str">
        <x:v>Source dependencies</x:v>
      </x:c>
      <x:c r="D17" s="26" t="str">
        <x:v>Show when a reconstruction relies on another object.</x:v>
      </x:c>
      <x:c r="E17" s="26" t="str">
        <x:v>Array of source IDs.</x:v>
      </x:c>
      <x:c r="F17" s="26" t="str">
        <x:v>SRC-HARO-OFFICIAL-ARCHIVE</x:v>
      </x:c>
      <x:c r="G17" s="26" t="str">
        <x:v>Reconstruction presented as original.</x:v>
      </x:c>
    </x:row>
    <x:row r="18" ht="76" customHeight="1">
      <x:c r="A18" s="26" t="str">
        <x:v>availability_note</x:v>
      </x:c>
      <x:c r="B18" s="26" t="str">
        <x:v>No</x:v>
      </x:c>
      <x:c r="C18" s="26" t="str">
        <x:v>Availability</x:v>
      </x:c>
      <x:c r="D18" s="26" t="str">
        <x:v>Explain blocked, incomplete or removed sources.</x:v>
      </x:c>
      <x:c r="E18" s="26" t="str">
        <x:v>Plain text.</x:v>
      </x:c>
      <x:c r="F18" s="26" t="str">
        <x:v>Direct BMXMuseum path not crawled; canonical link retained.</x:v>
      </x:c>
      <x:c r="G18" s="26" t="str">
        <x:v>Blocked access concealed.</x:v>
      </x:c>
    </x:row>
  </x:sheetData>
  <x:mergeCells>
    <x:mergeCell ref="A1:G1"/>
    <x:mergeCell ref="A2:G2"/>
  </x:mergeCells>
  <x:pageMargins left="0.7" right="0.7" top="0.75" bottom="0.75" header="0.3" footer="0.3"/>
  <x:tableParts count="1">
    <x:tablePart xmlns:r="http://schemas.openxmlformats.org/officeDocument/2006/relationships" r:id="R522070ec9daf4fb5"/>
  </x:tableParts>
</x:worksheet>
</file>

<file path=xl/worksheets/sheet136.xml><?xml version="1.0" encoding="utf-8"?>
<x:worksheet xmlns:x="http://schemas.openxmlformats.org/spreadsheetml/2006/main">
  <x:sheetFormatPr defaultRowHeight="15"/>
  <x:cols>
    <x:col min="1" max="1" width="25" hidden="0" customWidth="1"/>
    <x:col min="2" max="2" width="13" hidden="0" customWidth="1"/>
    <x:col min="3" max="3" width="45" hidden="0" customWidth="1"/>
    <x:col min="4" max="4" width="52" hidden="0" customWidth="1"/>
    <x:col min="5" max="5" width="52" hidden="0" customWidth="1"/>
    <x:col min="6" max="6" width="42" hidden="0" customWidth="1"/>
  </x:cols>
  <x:sheetData>
    <x:row r="1">
      <x:c r="A1" s="643" t="str">
        <x:v>Inspectable Relationship Schema</x:v>
      </x:c>
      <x:c r="B1" s="643"/>
      <x:c r="C1" s="643"/>
      <x:c r="D1" s="643"/>
      <x:c r="E1" s="643"/>
      <x:c r="F1" s="643"/>
    </x:row>
    <x:row r="2">
      <x:c r="A2" s="648" t="str">
        <x:v>Relationships are first-class records. Dates and limitations must not disappear when pages summarize the knowledge graph.</x:v>
      </x:c>
      <x:c r="B2" s="648"/>
      <x:c r="C2" s="648"/>
      <x:c r="D2" s="648"/>
      <x:c r="E2" s="648"/>
      <x:c r="F2" s="648"/>
    </x:row>
    <x:row r="4">
      <x:c r="A4" s="653" t="str">
        <x:v>Field</x:v>
      </x:c>
      <x:c r="B4" s="653" t="str">
        <x:v>Required</x:v>
      </x:c>
      <x:c r="C4" s="653" t="str">
        <x:v>Purpose</x:v>
      </x:c>
      <x:c r="D4" s="653" t="str">
        <x:v>Rule</x:v>
      </x:c>
      <x:c r="E4" s="653" t="str">
        <x:v>Example</x:v>
      </x:c>
      <x:c r="F4" s="653" t="str">
        <x:v>Public Display</x:v>
      </x:c>
    </x:row>
    <x:row r="5" ht="76" customHeight="1">
      <x:c r="A5" s="26" t="str">
        <x:v>relationship_id</x:v>
      </x:c>
      <x:c r="B5" s="26" t="str">
        <x:v>Yes</x:v>
      </x:c>
      <x:c r="C5" s="26" t="str">
        <x:v>Stable edge ID.</x:v>
      </x:c>
      <x:c r="D5" s="26" t="str">
        <x:v>Unique sitewide.</x:v>
      </x:c>
      <x:c r="E5" s="26" t="str">
        <x:v>REL-HL-JMC-XP2</x:v>
      </x:c>
      <x:c r="F5" s="26" t="str">
        <x:v>Permalink target.</x:v>
      </x:c>
    </x:row>
    <x:row r="6" ht="76" customHeight="1">
      <x:c r="A6" s="26" t="str">
        <x:v>subject_id</x:v>
      </x:c>
      <x:c r="B6" s="26" t="str">
        <x:v>Yes</x:v>
      </x:c>
      <x:c r="C6" s="26" t="str">
        <x:v>Source record.</x:v>
      </x:c>
      <x:c r="D6" s="26" t="str">
        <x:v>Must resolve.</x:v>
      </x:c>
      <x:c r="E6" s="26" t="str">
        <x:v>PERSON-HARRY-LEARY</x:v>
      </x:c>
      <x:c r="F6" s="26" t="str">
        <x:v>Linked subject.</x:v>
      </x:c>
    </x:row>
    <x:row r="7" ht="76" customHeight="1">
      <x:c r="A7" s="26" t="str">
        <x:v>predicate</x:v>
      </x:c>
      <x:c r="B7" s="26" t="str">
        <x:v>Yes</x:v>
      </x:c>
      <x:c r="C7" s="26" t="str">
        <x:v>Controlled relationship.</x:v>
      </x:c>
      <x:c r="D7" s="26" t="str">
        <x:v>Use approved vocabulary; no generic 'related to'.</x:v>
      </x:c>
      <x:c r="E7" s="26" t="str">
        <x:v>associated-with</x:v>
      </x:c>
      <x:c r="F7" s="26" t="str">
        <x:v>Readable verb phrase.</x:v>
      </x:c>
    </x:row>
    <x:row r="8" ht="76" customHeight="1">
      <x:c r="A8" s="26" t="str">
        <x:v>object_id</x:v>
      </x:c>
      <x:c r="B8" s="26" t="str">
        <x:v>Yes</x:v>
      </x:c>
      <x:c r="C8" s="26" t="str">
        <x:v>Target record.</x:v>
      </x:c>
      <x:c r="D8" s="26" t="str">
        <x:v>Must resolve.</x:v>
      </x:c>
      <x:c r="E8" s="26" t="str">
        <x:v>MODEL-JMC-XP2</x:v>
      </x:c>
      <x:c r="F8" s="26" t="str">
        <x:v>Linked object.</x:v>
      </x:c>
    </x:row>
    <x:row r="9" ht="76" customHeight="1">
      <x:c r="A9" s="26" t="str">
        <x:v>date_scope</x:v>
      </x:c>
      <x:c r="B9" s="26" t="str">
        <x:v>Conditional</x:v>
      </x:c>
      <x:c r="C9" s="26" t="str">
        <x:v>Limit relationship in time.</x:v>
      </x:c>
      <x:c r="D9" s="26" t="str">
        <x:v>Required for team, employment, sponsorship and roster edges.</x:v>
      </x:c>
      <x:c r="E9" s="26" t="str">
        <x:v>1976</x:v>
      </x:c>
      <x:c r="F9" s="26" t="str">
        <x:v>Date/period chip.</x:v>
      </x:c>
    </x:row>
    <x:row r="10" ht="76" customHeight="1">
      <x:c r="A10" s="26" t="str">
        <x:v>relationship_status</x:v>
      </x:c>
      <x:c r="B10" s="26" t="str">
        <x:v>Yes</x:v>
      </x:c>
      <x:c r="C10" s="26" t="str">
        <x:v>Determination.</x:v>
      </x:c>
      <x:c r="D10" s="26" t="str">
        <x:v>VERIFIED; ATTRIBUTED; QUALIFIED; OPEN; REJECTED</x:v>
      </x:c>
      <x:c r="E10" s="26" t="str">
        <x:v>ATTRIBUTED</x:v>
      </x:c>
      <x:c r="F10" s="26" t="str">
        <x:v>Status badge.</x:v>
      </x:c>
    </x:row>
    <x:row r="11" ht="76" customHeight="1">
      <x:c r="A11" s="26" t="str">
        <x:v>public_wording</x:v>
      </x:c>
      <x:c r="B11" s="26" t="str">
        <x:v>Yes</x:v>
      </x:c>
      <x:c r="C11" s="26" t="str">
        <x:v>Approved sentence.</x:v>
      </x:c>
      <x:c r="D11" s="26" t="str">
        <x:v>Must preserve date and qualification.</x:v>
      </x:c>
      <x:c r="E11" s="26" t="str">
        <x:v>JMC's archive associates Harry Leary with the 1976 XP2 Long prototype.</x:v>
      </x:c>
      <x:c r="F11" s="26" t="str">
        <x:v>Primary sentence.</x:v>
      </x:c>
    </x:row>
    <x:row r="12" ht="76" customHeight="1">
      <x:c r="A12" s="26" t="str">
        <x:v>source_ids</x:v>
      </x:c>
      <x:c r="B12" s="26" t="str">
        <x:v>Yes</x:v>
      </x:c>
      <x:c r="C12" s="26" t="str">
        <x:v>Evidence.</x:v>
      </x:c>
      <x:c r="D12" s="26" t="str">
        <x:v>At least one source.</x:v>
      </x:c>
      <x:c r="E12" s="26" t="str">
        <x:v>SRC-JMC-ABOUT</x:v>
      </x:c>
      <x:c r="F12" s="26" t="str">
        <x:v>Source links.</x:v>
      </x:c>
    </x:row>
    <x:row r="13" ht="76" customHeight="1">
      <x:c r="A13" s="26" t="str">
        <x:v>does_not_prove</x:v>
      </x:c>
      <x:c r="B13" s="26" t="str">
        <x:v>Conditional</x:v>
      </x:c>
      <x:c r="C13" s="26" t="str">
        <x:v>Boundary.</x:v>
      </x:c>
      <x:c r="D13" s="26" t="str">
        <x:v>Required for prototype association, tribute and collection attribution.</x:v>
      </x:c>
      <x:c r="E13" s="26" t="str">
        <x:v>No surviving-frame ownership chain is implied.</x:v>
      </x:c>
      <x:c r="F13" s="26" t="str">
        <x:v>Boundary callout.</x:v>
      </x:c>
    </x:row>
    <x:row r="14" ht="76" customHeight="1">
      <x:c r="A14" s="26" t="str">
        <x:v>confidence</x:v>
      </x:c>
      <x:c r="B14" s="26" t="str">
        <x:v>No</x:v>
      </x:c>
      <x:c r="C14" s="26" t="str">
        <x:v>Indirect-source confidence.</x:v>
      </x:c>
      <x:c r="D14" s="26" t="str">
        <x:v>Controlled values.</x:v>
      </x:c>
      <x:c r="E14" s="26" t="str">
        <x:v>HIGH</x:v>
      </x:c>
      <x:c r="F14" s="26" t="str">
        <x:v>Confidence label.</x:v>
      </x:c>
    </x:row>
    <x:row r="15" ht="76" customHeight="1">
      <x:c r="A15" s="26" t="str">
        <x:v>last_reviewed</x:v>
      </x:c>
      <x:c r="B15" s="26" t="str">
        <x:v>Yes</x:v>
      </x:c>
      <x:c r="C15" s="26" t="str">
        <x:v>Audit currency.</x:v>
      </x:c>
      <x:c r="D15" s="26" t="str">
        <x:v>YYYY-MM-DD</x:v>
      </x:c>
      <x:c r="E15" s="26" t="str">
        <x:v>2026-07-30</x:v>
      </x:c>
      <x:c r="F15" s="26" t="str">
        <x:v>Review line.</x:v>
      </x:c>
    </x:row>
  </x:sheetData>
  <x:mergeCells>
    <x:mergeCell ref="A1:F1"/>
    <x:mergeCell ref="A2:F2"/>
  </x:mergeCells>
  <x:pageMargins left="0.7" right="0.7" top="0.75" bottom="0.75" header="0.3" footer="0.3"/>
  <x:tableParts count="1">
    <x:tablePart xmlns:r="http://schemas.openxmlformats.org/officeDocument/2006/relationships" r:id="R604c61211e934cb2"/>
  </x:tableParts>
</x:worksheet>
</file>

<file path=xl/worksheets/sheet137.xml><?xml version="1.0" encoding="utf-8"?>
<x:worksheet xmlns:x="http://schemas.openxmlformats.org/spreadsheetml/2006/main">
  <x:sheetFormatPr defaultRowHeight="15"/>
  <x:cols>
    <x:col min="1" max="1" width="10" hidden="0" customWidth="1"/>
    <x:col min="2" max="2" width="22" hidden="0" customWidth="1"/>
    <x:col min="3" max="3" width="18" hidden="0" customWidth="1"/>
    <x:col min="4" max="4" width="58" hidden="0" customWidth="1"/>
    <x:col min="5" max="5" width="54" hidden="0" customWidth="1"/>
    <x:col min="6" max="6" width="42" hidden="0" customWidth="1"/>
    <x:col min="7" max="7" width="50" hidden="0" customWidth="1"/>
  </x:cols>
  <x:sheetData>
    <x:row r="1">
      <x:c r="A1" s="643" t="str">
        <x:v>Public Release Gates</x:v>
      </x:c>
      <x:c r="B1" s="643"/>
      <x:c r="C1" s="643"/>
      <x:c r="D1" s="643"/>
      <x:c r="E1" s="643"/>
      <x:c r="F1" s="643"/>
      <x:c r="G1" s="643"/>
    </x:row>
    <x:row r="2">
      <x:c r="A2" s="648" t="str">
        <x:v>A qualified public page is not a failed page. It is a page that shows its uncertainty clearly enough to be trustworthy.</x:v>
      </x:c>
      <x:c r="B2" s="648"/>
      <x:c r="C2" s="648"/>
      <x:c r="D2" s="648"/>
      <x:c r="E2" s="648"/>
      <x:c r="F2" s="648"/>
      <x:c r="G2" s="648"/>
    </x:row>
    <x:row r="4">
      <x:c r="A4" s="653" t="str">
        <x:v>Gate</x:v>
      </x:c>
      <x:c r="B4" s="653" t="str">
        <x:v>Workflow Status</x:v>
      </x:c>
      <x:c r="C4" s="653" t="str">
        <x:v>Public Indexing</x:v>
      </x:c>
      <x:c r="D4" s="653" t="str">
        <x:v>Required Conditions</x:v>
      </x:c>
      <x:c r="E4" s="653" t="str">
        <x:v>Permitted Page Behavior</x:v>
      </x:c>
      <x:c r="F4" s="653" t="str">
        <x:v>Typical Records</x:v>
      </x:c>
      <x:c r="G4" s="653" t="str">
        <x:v>Failure / Hold Reason</x:v>
      </x:c>
    </x:row>
    <x:row r="5" ht="84" customHeight="1">
      <x:c r="A5" s="26" t="str">
        <x:v>G0</x:v>
      </x:c>
      <x:c r="B5" s="26" t="str">
        <x:v>INTERNAL</x:v>
      </x:c>
      <x:c r="C5" s="26" t="str">
        <x:v>NOINDEX</x:v>
      </x:c>
      <x:c r="D5" s="26" t="str">
        <x:v>Record exists; fields or rights are incomplete.</x:v>
      </x:c>
      <x:c r="E5" s="26" t="str">
        <x:v>No public page or internal preview only.</x:v>
      </x:c>
      <x:c r="F5" s="26" t="str">
        <x:v>Unprocessed titled leads</x:v>
      </x:c>
      <x:c r="G5" s="26" t="str">
        <x:v>Unverified identity, privacy or rights risk.</x:v>
      </x:c>
    </x:row>
    <x:row r="6" ht="84" customHeight="1">
      <x:c r="A6" s="26" t="str">
        <x:v>G1</x:v>
      </x:c>
      <x:c r="B6" s="26" t="str">
        <x:v>DRAFT</x:v>
      </x:c>
      <x:c r="C6" s="26" t="str">
        <x:v>NOINDEX</x:v>
      </x:c>
      <x:c r="D6" s="26" t="str">
        <x:v>Core fields, at least one claim and one source exist.</x:v>
      </x:c>
      <x:c r="E6" s="26" t="str">
        <x:v>Preview page with visible draft banner.</x:v>
      </x:c>
      <x:c r="F6" s="26" t="str">
        <x:v>New research dossiers</x:v>
      </x:c>
      <x:c r="G6" s="26" t="str">
        <x:v>Claims or source cards incomplete.</x:v>
      </x:c>
    </x:row>
    <x:row r="7" ht="84" customHeight="1">
      <x:c r="A7" s="26" t="str">
        <x:v>G2</x:v>
      </x:c>
      <x:c r="B7" s="26" t="str">
        <x:v>HOLD-EVIDENCE</x:v>
      </x:c>
      <x:c r="C7" s="26" t="str">
        <x:v>NOINDEX</x:v>
      </x:c>
      <x:c r="D7" s="26" t="str">
        <x:v>Wording exists but a known blocking evidence request remains.</x:v>
      </x:c>
      <x:c r="E7" s="26" t="str">
        <x:v>Optional public collection placeholder only; no claim page.</x:v>
      </x:c>
      <x:c r="F7" s="26" t="str">
        <x:v>Boss CR01 factory-first claim; ELF catalog date</x:v>
      </x:c>
      <x:c r="G7" s="26" t="str">
        <x:v>Physical evidence or provenance absent.</x:v>
      </x:c>
    </x:row>
    <x:row r="8" ht="84" customHeight="1">
      <x:c r="A8" s="26" t="str">
        <x:v>G3</x:v>
      </x:c>
      <x:c r="B8" s="26" t="str">
        <x:v>READY-QUALIFIED</x:v>
      </x:c>
      <x:c r="C8" s="26" t="str">
        <x:v>INDEX</x:v>
      </x:c>
      <x:c r="D8" s="26" t="str">
        <x:v>All core fields, sources and rights clear; material uncertainty is explicitly shown.</x:v>
      </x:c>
      <x:c r="E8" s="26" t="str">
        <x:v>Public page with open-questions and qualification sections.</x:v>
      </x:c>
      <x:c r="F8" s="26" t="str">
        <x:v>Felicia GT; Ashtabula reference 5027; F-1 trophy</x:v>
      </x:c>
      <x:c r="G8" s="26" t="str">
        <x:v>Page hides uncertainty or boundary.</x:v>
      </x:c>
    </x:row>
    <x:row r="9" ht="84" customHeight="1">
      <x:c r="A9" s="26" t="str">
        <x:v>G4</x:v>
      </x:c>
      <x:c r="B9" s="26" t="str">
        <x:v>READY</x:v>
      </x:c>
      <x:c r="C9" s="26" t="str">
        <x:v>INDEX</x:v>
      </x:c>
      <x:c r="D9" s="26" t="str">
        <x:v>Claims are verified/attributed appropriately; no material undisclosed blocker.</x:v>
      </x:c>
      <x:c r="E9" s="26" t="str">
        <x:v>Full public page; eligible for collection hubs and internal linking.</x:v>
      </x:c>
      <x:c r="F9" s="26" t="str">
        <x:v>JMC brand chronology</x:v>
      </x:c>
      <x:c r="G9" s="26" t="str">
        <x:v>Source or correction ledger incomplete.</x:v>
      </x:c>
    </x:row>
    <x:row r="10" ht="84" customHeight="1">
      <x:c r="A10" s="26" t="str">
        <x:v>G5</x:v>
      </x:c>
      <x:c r="B10" s="26" t="str">
        <x:v>FEATURED</x:v>
      </x:c>
      <x:c r="C10" s="26" t="str">
        <x:v>INDEX</x:v>
      </x:c>
      <x:c r="D10" s="26" t="str">
        <x:v>READY plus editorial review, visual evidence rights and accessibility audit.</x:v>
      </x:c>
      <x:c r="E10" s="26" t="str">
        <x:v>Homepage/featured collection eligibility.</x:v>
      </x:c>
      <x:c r="F10" s="26" t="str">
        <x:v>Selected major artifacts or research dossiers</x:v>
      </x:c>
      <x:c r="G10" s="26" t="str">
        <x:v>No distinctive public value or media rights not clear.</x:v>
      </x:c>
    </x:row>
    <x:row r="11" ht="84" customHeight="1">
      <x:c r="A11" s="26" t="str">
        <x:v>G6</x:v>
      </x:c>
      <x:c r="B11" s="26" t="str">
        <x:v>RETIRED</x:v>
      </x:c>
      <x:c r="C11" s="26" t="str">
        <x:v>NOINDEX or redirect</x:v>
      </x:c>
      <x:c r="D11" s="26" t="str">
        <x:v>Record was merged, superseded or removed with reason.</x:v>
      </x:c>
      <x:c r="E11" s="26" t="str">
        <x:v>Redirect or public retirement notice.</x:v>
      </x:c>
      <x:c r="F11" s="26" t="str">
        <x:v>Duplicate record or corrected entity split</x:v>
      </x:c>
      <x:c r="G11" s="26" t="str">
        <x:v>Deleting history without redirect/correction note.</x:v>
      </x:c>
    </x:row>
  </x:sheetData>
  <x:mergeCells>
    <x:mergeCell ref="A1:G1"/>
    <x:mergeCell ref="A2:G2"/>
  </x:mergeCells>
  <x:pageMargins left="0.7" right="0.7" top="0.75" bottom="0.75" header="0.3" footer="0.3"/>
  <x:tableParts count="1">
    <x:tablePart xmlns:r="http://schemas.openxmlformats.org/officeDocument/2006/relationships" r:id="Ra1c7ab25740a4c03"/>
  </x:tableParts>
</x:worksheet>
</file>

<file path=xl/worksheets/sheet138.xml><?xml version="1.0" encoding="utf-8"?>
<x:worksheet xmlns:x="http://schemas.openxmlformats.org/spreadsheetml/2006/main">
  <x:sheetFormatPr defaultRowHeight="15"/>
  <x:cols>
    <x:col min="1" max="1" width="20" hidden="0" customWidth="1"/>
    <x:col min="2" max="2" width="31" hidden="0" customWidth="1"/>
    <x:col min="3" max="3" width="58" hidden="0" customWidth="1"/>
    <x:col min="4" max="4" width="38" hidden="0" customWidth="1"/>
    <x:col min="5" max="5" width="48" hidden="0" customWidth="1"/>
    <x:col min="6" max="6" width="16" hidden="0" customWidth="1"/>
  </x:cols>
  <x:sheetData>
    <x:row r="1">
      <x:c r="A1" s="643" t="str">
        <x:v>URL, SEO, Accessibility, Editorial and Rights Controls</x:v>
      </x:c>
      <x:c r="B1" s="643"/>
      <x:c r="C1" s="643"/>
      <x:c r="D1" s="643"/>
      <x:c r="E1" s="643"/>
      <x:c r="F1" s="643"/>
    </x:row>
    <x:row r="2">
      <x:c r="A2" s="648" t="str">
        <x:v>The public release is designed for human inspection, search indexing and accessibility without turning the archive into a mirror of third-party sources.</x:v>
      </x:c>
      <x:c r="B2" s="648"/>
      <x:c r="C2" s="648"/>
      <x:c r="D2" s="648"/>
      <x:c r="E2" s="648"/>
      <x:c r="F2" s="648"/>
    </x:row>
    <x:row r="4">
      <x:c r="A4" s="653" t="str">
        <x:v>Control Area</x:v>
      </x:c>
      <x:c r="B4" s="653" t="str">
        <x:v>Requirement</x:v>
      </x:c>
      <x:c r="C4" s="653" t="str">
        <x:v>Implementation Rule</x:v>
      </x:c>
      <x:c r="D4" s="653" t="str">
        <x:v>Validation</x:v>
      </x:c>
      <x:c r="E4" s="653" t="str">
        <x:v>Example / Note</x:v>
      </x:c>
      <x:c r="F4" s="653" t="str">
        <x:v>Severity</x:v>
      </x:c>
    </x:row>
    <x:row r="5" ht="82" customHeight="1">
      <x:c r="A5" s="26" t="str">
        <x:v>URL</x:v>
      </x:c>
      <x:c r="B5" s="26" t="str">
        <x:v>Stable slug</x:v>
      </x:c>
      <x:c r="C5" s="26" t="str">
        <x:v>Use lowercase words separated by hyphens; preserve redirect when changed.</x:v>
      </x:c>
      <x:c r="D5" s="26" t="str">
        <x:v>Regex: ^[a-z0-9]+(?:-[a-z0-9]+)*$</x:v>
      </x:c>
      <x:c r="E5" s="26" t="str">
        <x:v>felicia-stancil-2012-worlds-gt</x:v>
      </x:c>
      <x:c r="F5" s="26" t="str">
        <x:v>BLOCKING</x:v>
      </x:c>
    </x:row>
    <x:row r="6" ht="82" customHeight="1">
      <x:c r="A6" s="26" t="str">
        <x:v>URL</x:v>
      </x:c>
      <x:c r="B6" s="26" t="str">
        <x:v>Type-specific path</x:v>
      </x:c>
      <x:c r="C6" s="26" t="str">
        <x:v>Use the approved path in Public Record Types.</x:v>
      </x:c>
      <x:c r="D6" s="26" t="str">
        <x:v>Path begins with the type family.</x:v>
      </x:c>
      <x:c r="E6" s="26" t="str">
        <x:v>/sources/catalogs/haro/1990/...</x:v>
      </x:c>
      <x:c r="F6" s="26" t="str">
        <x:v>BLOCKING</x:v>
      </x:c>
    </x:row>
    <x:row r="7" ht="82" customHeight="1">
      <x:c r="A7" s="26" t="str">
        <x:v>URL</x:v>
      </x:c>
      <x:c r="B7" s="26" t="str">
        <x:v>Canonical</x:v>
      </x:c>
      <x:c r="C7" s="26" t="str">
        <x:v>One HTTPS canonical URL per record.</x:v>
      </x:c>
      <x:c r="D7" s="26" t="str">
        <x:v>Canonical equals public page URL.</x:v>
      </x:c>
      <x:c r="E7" s="26" t="str">
        <x:v>No duplicate query-string versions.</x:v>
      </x:c>
      <x:c r="F7" s="26" t="str">
        <x:v>BLOCKING</x:v>
      </x:c>
    </x:row>
    <x:row r="8" ht="82" customHeight="1">
      <x:c r="A8" s="26" t="str">
        <x:v>SEO</x:v>
      </x:c>
      <x:c r="B8" s="26" t="str">
        <x:v>Unique title</x:v>
      </x:c>
      <x:c r="C8" s="26" t="str">
        <x:v>45–65 characters preferred; evidence-bounded.</x:v>
      </x:c>
      <x:c r="D8" s="26" t="str">
        <x:v>No duplicate meta_title.</x:v>
      </x:c>
      <x:c r="E8" s="26" t="str">
        <x:v>1990 Haro BMX Catalog | Lititz BMX</x:v>
      </x:c>
      <x:c r="F8" s="26" t="str">
        <x:v>HIGH</x:v>
      </x:c>
    </x:row>
    <x:row r="9" ht="82" customHeight="1">
      <x:c r="A9" s="26" t="str">
        <x:v>SEO</x:v>
      </x:c>
      <x:c r="B9" s="26" t="str">
        <x:v>Description</x:v>
      </x:c>
      <x:c r="C9" s="26" t="str">
        <x:v>120–165 characters preferred.</x:v>
      </x:c>
      <x:c r="D9" s="26" t="str">
        <x:v>Length check and no unsupported rarity terms.</x:v>
      </x:c>
      <x:c r="E9" s="26" t="str">
        <x:v>Bibliographic record and verified model-year coverage...</x:v>
      </x:c>
      <x:c r="F9" s="26" t="str">
        <x:v>HIGH</x:v>
      </x:c>
    </x:row>
    <x:row r="10" ht="82" customHeight="1">
      <x:c r="A10" s="26" t="str">
        <x:v>SEO</x:v>
      </x:c>
      <x:c r="B10" s="26" t="str">
        <x:v>Robots</x:v>
      </x:c>
      <x:c r="C10" s="26" t="str">
        <x:v>READY/READY-QUALIFIED = index,follow; all other states = noindex.</x:v>
      </x:c>
      <x:c r="D10" s="26" t="str">
        <x:v>Workflow validation.</x:v>
      </x:c>
      <x:c r="E10" s="26" t="str">
        <x:v>Never index rights-blocked drafts.</x:v>
      </x:c>
      <x:c r="F10" s="26" t="str">
        <x:v>BLOCKING</x:v>
      </x:c>
    </x:row>
    <x:row r="11" ht="82" customHeight="1">
      <x:c r="A11" s="26" t="str">
        <x:v>SEO</x:v>
      </x:c>
      <x:c r="B11" s="26" t="str">
        <x:v>Structured data</x:v>
      </x:c>
      <x:c r="C11" s="26" t="str">
        <x:v>Map page type conservatively to schema.org.</x:v>
      </x:c>
      <x:c r="D11" s="26" t="str">
        <x:v>JSON validates and adds no unsupported facts.</x:v>
      </x:c>
      <x:c r="E11" s="26" t="str">
        <x:v>Catalog = CreativeWork, not Product.</x:v>
      </x:c>
      <x:c r="F11" s="26" t="str">
        <x:v>HIGH</x:v>
      </x:c>
    </x:row>
    <x:row r="12" ht="82" customHeight="1">
      <x:c r="A12" s="26" t="str">
        <x:v>Accessibility</x:v>
      </x:c>
      <x:c r="B12" s="26" t="str">
        <x:v>Single H1</x:v>
      </x:c>
      <x:c r="C12" s="26" t="str">
        <x:v>One page title only.</x:v>
      </x:c>
      <x:c r="D12" s="26" t="str">
        <x:v>Automated heading audit.</x:v>
      </x:c>
      <x:c r="E12" s="26" t="str">
        <x:v>Status is not another H1.</x:v>
      </x:c>
      <x:c r="F12" s="26" t="str">
        <x:v>BLOCKING</x:v>
      </x:c>
    </x:row>
    <x:row r="13" ht="82" customHeight="1">
      <x:c r="A13" s="26" t="str">
        <x:v>Accessibility</x:v>
      </x:c>
      <x:c r="B13" s="26" t="str">
        <x:v>Heading order</x:v>
      </x:c>
      <x:c r="C13" s="26" t="str">
        <x:v>Do not skip heading levels.</x:v>
      </x:c>
      <x:c r="D13" s="26" t="str">
        <x:v>Automated DOM audit.</x:v>
      </x:c>
      <x:c r="E13" s="26" t="str">
        <x:v>H1 &gt; H2 &gt; H3.</x:v>
      </x:c>
      <x:c r="F13" s="26" t="str">
        <x:v>HIGH</x:v>
      </x:c>
    </x:row>
    <x:row r="14" ht="82" customHeight="1">
      <x:c r="A14" s="26" t="str">
        <x:v>Accessibility</x:v>
      </x:c>
      <x:c r="B14" s="26" t="str">
        <x:v>Link text</x:v>
      </x:c>
      <x:c r="C14" s="26" t="str">
        <x:v>Use descriptive source titles, not 'click here'.</x:v>
      </x:c>
      <x:c r="D14" s="26" t="str">
        <x:v>Automated text scan.</x:v>
      </x:c>
      <x:c r="E14" s="26" t="str">
        <x:v>USA BMX — UCI Worlds Update</x:v>
      </x:c>
      <x:c r="F14" s="26" t="str">
        <x:v>HIGH</x:v>
      </x:c>
    </x:row>
    <x:row r="15" ht="82" customHeight="1">
      <x:c r="A15" s="26" t="str">
        <x:v>Accessibility</x:v>
      </x:c>
      <x:c r="B15" s="26" t="str">
        <x:v>Status not color-only</x:v>
      </x:c>
      <x:c r="C15" s="26" t="str">
        <x:v>Every badge includes visible text.</x:v>
      </x:c>
      <x:c r="D15" s="26" t="str">
        <x:v>Visual and screen-reader review.</x:v>
      </x:c>
      <x:c r="E15" s="26" t="str">
        <x:v>Verified; Qualified; Open.</x:v>
      </x:c>
      <x:c r="F15" s="26" t="str">
        <x:v>BLOCKING</x:v>
      </x:c>
    </x:row>
    <x:row r="16" ht="82" customHeight="1">
      <x:c r="A16" s="26" t="str">
        <x:v>Accessibility</x:v>
      </x:c>
      <x:c r="B16" s="26" t="str">
        <x:v>Definition lists</x:v>
      </x:c>
      <x:c r="C16" s="26" t="str">
        <x:v>Use dl/dt/dd for at-a-glance facts.</x:v>
      </x:c>
      <x:c r="D16" s="26" t="str">
        <x:v>DOM audit.</x:v>
      </x:c>
      <x:c r="E16" s="26" t="str">
        <x:v>Brand / GT</x:v>
      </x:c>
      <x:c r="F16" s="26" t="str">
        <x:v>MEDIUM</x:v>
      </x:c>
    </x:row>
    <x:row r="17" ht="82" customHeight="1">
      <x:c r="A17" s="26" t="str">
        <x:v>Accessibility</x:v>
      </x:c>
      <x:c r="B17" s="26" t="str">
        <x:v>Images</x:v>
      </x:c>
      <x:c r="C17" s="26" t="str">
        <x:v>Evidence images need observable, noninterpretive alt text.</x:v>
      </x:c>
      <x:c r="D17" s="26" t="str">
        <x:v>Alt audit; decorative images alt=''.</x:v>
      </x:c>
      <x:c r="E17" s="26" t="str">
        <x:v>Bottom bracket serial stamp, straight-on view.</x:v>
      </x:c>
      <x:c r="F17" s="26" t="str">
        <x:v>BLOCKING</x:v>
      </x:c>
    </x:row>
    <x:row r="18" ht="82" customHeight="1">
      <x:c r="A18" s="26" t="str">
        <x:v>Accessibility</x:v>
      </x:c>
      <x:c r="B18" s="26" t="str">
        <x:v>Keyboard</x:v>
      </x:c>
      <x:c r="C18" s="26" t="str">
        <x:v>All interactive disclosures work with keyboard.</x:v>
      </x:c>
      <x:c r="D18" s="26" t="str">
        <x:v>Manual audit.</x:v>
      </x:c>
      <x:c r="E18" s="26" t="str">
        <x:v>Native details/summary preferred.</x:v>
      </x:c>
      <x:c r="F18" s="26" t="str">
        <x:v>BLOCKING</x:v>
      </x:c>
    </x:row>
    <x:row r="19" ht="82" customHeight="1">
      <x:c r="A19" s="26" t="str">
        <x:v>Accessibility</x:v>
      </x:c>
      <x:c r="B19" s="26" t="str">
        <x:v>Contrast</x:v>
      </x:c>
      <x:c r="C19" s="26" t="str">
        <x:v>Meet WCAG AA.</x:v>
      </x:c>
      <x:c r="D19" s="26" t="str">
        <x:v>Contrast audit.</x:v>
      </x:c>
      <x:c r="E19" s="26" t="str">
        <x:v>Do not rely on brand colors alone.</x:v>
      </x:c>
      <x:c r="F19" s="26" t="str">
        <x:v>BLOCKING</x:v>
      </x:c>
    </x:row>
    <x:row r="20" ht="82" customHeight="1">
      <x:c r="A20" s="26" t="str">
        <x:v>Editorial</x:v>
      </x:c>
      <x:c r="B20" s="26" t="str">
        <x:v>Claim permalink</x:v>
      </x:c>
      <x:c r="C20" s="26" t="str">
        <x:v>Every claim card has a stable anchor.</x:v>
      </x:c>
      <x:c r="D20" s="26" t="str">
        <x:v>Anchor existence test.</x:v>
      </x:c>
      <x:c r="E20" s="26" t="str">
        <x:v>#CLAIM-26-0054-001</x:v>
      </x:c>
      <x:c r="F20" s="26" t="str">
        <x:v>HIGH</x:v>
      </x:c>
    </x:row>
    <x:row r="21" ht="82" customHeight="1">
      <x:c r="A21" s="26" t="str">
        <x:v>Editorial</x:v>
      </x:c>
      <x:c r="B21" s="26" t="str">
        <x:v>Source visibility</x:v>
      </x:c>
      <x:c r="C21" s="26" t="str">
        <x:v>Every claim exposes source links on the same page.</x:v>
      </x:c>
      <x:c r="D21" s="26" t="str">
        <x:v>Claim-source integrity test.</x:v>
      </x:c>
      <x:c r="E21" s="26" t="str">
        <x:v>No hidden bibliography only.</x:v>
      </x:c>
      <x:c r="F21" s="26" t="str">
        <x:v>BLOCKING</x:v>
      </x:c>
    </x:row>
    <x:row r="22" ht="82" customHeight="1">
      <x:c r="A22" s="26" t="str">
        <x:v>Editorial</x:v>
      </x:c>
      <x:c r="B22" s="26" t="str">
        <x:v>Boundary wording</x:v>
      </x:c>
      <x:c r="C22" s="26" t="str">
        <x:v>Submitted, rarity and achievement-to-object claims include 'does not prove'.</x:v>
      </x:c>
      <x:c r="D22" s="26" t="str">
        <x:v>Conditional validation.</x:v>
      </x:c>
      <x:c r="E22" s="26" t="str">
        <x:v>Result does not authenticate frame.</x:v>
      </x:c>
      <x:c r="F22" s="26" t="str">
        <x:v>BLOCKING</x:v>
      </x:c>
    </x:row>
    <x:row r="23" ht="82" customHeight="1">
      <x:c r="A23" s="26" t="str">
        <x:v>Rights</x:v>
      </x:c>
      <x:c r="B23" s="26" t="str">
        <x:v>No scan mirroring</x:v>
      </x:c>
      <x:c r="C23" s="26" t="str">
        <x:v>Use bibliographic metadata and original summaries unless rights permit.</x:v>
      </x:c>
      <x:c r="D23" s="26" t="str">
        <x:v>Media inventory audit.</x:v>
      </x:c>
      <x:c r="E23" s="26" t="str">
        <x:v>No BMXMuseum or magazine scans.</x:v>
      </x:c>
      <x:c r="F23" s="26" t="str">
        <x:v>BLOCKING</x:v>
      </x:c>
    </x:row>
    <x:row r="24" ht="82" customHeight="1">
      <x:c r="A24" s="26" t="str">
        <x:v>Privacy</x:v>
      </x:c>
      <x:c r="B24" s="26" t="str">
        <x:v>No member harvesting</x:v>
      </x:c>
      <x:c r="C24" s="26" t="str">
        <x:v>Do not publish profiles, addresses, private messages or transaction histories.</x:v>
      </x:c>
      <x:c r="D24" s="26" t="str">
        <x:v>Field/content audit.</x:v>
      </x:c>
      <x:c r="E24" s="26" t="str">
        <x:v>Display-name only when needed and rights-cleared.</x:v>
      </x:c>
      <x:c r="F24" s="26" t="str">
        <x:v>BLOCKING</x:v>
      </x:c>
    </x:row>
    <x:row r="25" ht="82" customHeight="1">
      <x:c r="A25" s="26" t="str">
        <x:v>Revision</x:v>
      </x:c>
      <x:c r="B25" s="26" t="str">
        <x:v>Visible review</x:v>
      </x:c>
      <x:c r="C25" s="26" t="str">
        <x:v>Show last-reviewed date, version and correction history.</x:v>
      </x:c>
      <x:c r="D25" s="26" t="str">
        <x:v>Template validation.</x:v>
      </x:c>
      <x:c r="E25" s="26" t="str">
        <x:v>Reviewed July 30, 2026.</x:v>
      </x:c>
      <x:c r="F25" s="26" t="str">
        <x:v>HIGH</x:v>
      </x:c>
    </x:row>
  </x:sheetData>
  <x:mergeCells>
    <x:mergeCell ref="A1:F1"/>
    <x:mergeCell ref="A2:F2"/>
  </x:mergeCells>
  <x:pageMargins left="0.7" right="0.7" top="0.75" bottom="0.75" header="0.3" footer="0.3"/>
  <x:tableParts count="1">
    <x:tablePart xmlns:r="http://schemas.openxmlformats.org/officeDocument/2006/relationships" r:id="R1c930cd650064fdc"/>
  </x:tableParts>
</x:worksheet>
</file>

<file path=xl/worksheets/sheet139.xml><?xml version="1.0" encoding="utf-8"?>
<x:worksheet xmlns:x="http://schemas.openxmlformats.org/spreadsheetml/2006/main">
  <x:sheetFormatPr defaultRowHeight="15"/>
  <x:cols>
    <x:col min="1" max="1" width="24" hidden="0" customWidth="1"/>
    <x:col min="2" max="2" width="30" hidden="0" customWidth="1"/>
    <x:col min="3" max="3" width="40" hidden="0" customWidth="1"/>
    <x:col min="4" max="4" width="50" hidden="0" customWidth="1"/>
    <x:col min="5" max="5" width="50" hidden="0" customWidth="1"/>
    <x:col min="6" max="6" width="44" hidden="0" customWidth="1"/>
  </x:cols>
  <x:sheetData>
    <x:row r="1">
      <x:c r="A1" s="643" t="str">
        <x:v>Conservative JSON-LD / Schema.org Mapping</x:v>
      </x:c>
      <x:c r="B1" s="643"/>
      <x:c r="C1" s="643"/>
      <x:c r="D1" s="643"/>
      <x:c r="E1" s="643"/>
      <x:c r="F1" s="643"/>
    </x:row>
    <x:row r="2">
      <x:c r="A2" s="648" t="str">
        <x:v>Structured data must describe what the page actually proves. It cannot repair weak evidence or turn a submitted record into an authenticated object.</x:v>
      </x:c>
      <x:c r="B2" s="648"/>
      <x:c r="C2" s="648"/>
      <x:c r="D2" s="648"/>
      <x:c r="E2" s="648"/>
      <x:c r="F2" s="648"/>
    </x:row>
    <x:row r="4">
      <x:c r="A4" s="653" t="str">
        <x:v>Record Type</x:v>
      </x:c>
      <x:c r="B4" s="653" t="str">
        <x:v>Primary schema.org Type</x:v>
      </x:c>
      <x:c r="C4" s="653" t="str">
        <x:v>Secondary Types / Properties</x:v>
      </x:c>
      <x:c r="D4" s="653" t="str">
        <x:v>Safe Mappings</x:v>
      </x:c>
      <x:c r="E4" s="653" t="str">
        <x:v>Mappings to Avoid</x:v>
      </x:c>
      <x:c r="F4" s="653" t="str">
        <x:v>Notes</x:v>
      </x:c>
    </x:row>
    <x:row r="5" ht="82" customHeight="1">
      <x:c r="A5" s="26" t="str">
        <x:v>ARTIFACT</x:v>
      </x:c>
      <x:c r="B5" s="26" t="str">
        <x:v>CreativeWork</x:v>
      </x:c>
      <x:c r="C5" s="26" t="str">
        <x:v>additionalType; identifier; about; isPartOf</x:v>
      </x:c>
      <x:c r="D5" s="26" t="str">
        <x:v>Use Product only when describing a manufactured object without asserting sales availability.</x:v>
      </x:c>
      <x:c r="E5" s="26" t="str">
        <x:v>Offer, ownership or authenticity claims not supported by evidence.</x:v>
      </x:c>
      <x:c r="F5" s="26" t="str">
        <x:v>Structured ownership should be conservative.</x:v>
      </x:c>
    </x:row>
    <x:row r="6" ht="82" customHeight="1">
      <x:c r="A6" s="26" t="str">
        <x:v>BIKE_RECORD</x:v>
      </x:c>
      <x:c r="B6" s="26" t="str">
        <x:v>Product</x:v>
      </x:c>
      <x:c r="C6" s="26" t="str">
        <x:v>model; brand; identifier; sameAs</x:v>
      </x:c>
      <x:c r="D6" s="26" t="str">
        <x:v>Map submitted title/year as qualified description.</x:v>
      </x:c>
      <x:c r="E6" s="26" t="str">
        <x:v>aggregateRating; offers; manufacturer when only submitted metadata exists.</x:v>
      </x:c>
      <x:c r="F6" s="26" t="str">
        <x:v>External record remains source metadata.</x:v>
      </x:c>
    </x:row>
    <x:row r="7" ht="82" customHeight="1">
      <x:c r="A7" s="26" t="str">
        <x:v>BRAND</x:v>
      </x:c>
      <x:c r="B7" s="26" t="str">
        <x:v>Organization</x:v>
      </x:c>
      <x:c r="C7" s="26" t="str">
        <x:v>foundingDate; founder; location</x:v>
      </x:c>
      <x:c r="D7" s="26" t="str">
        <x:v>Use only sourced chronology.</x:v>
      </x:c>
      <x:c r="E7" s="26" t="str">
        <x:v>Current employee counts, addresses or legal status without current official source.</x:v>
      </x:c>
      <x:c r="F7" s="26" t="str">
        <x:v>Historical brands need disambiguating description.</x:v>
      </x:c>
    </x:row>
    <x:row r="8" ht="82" customHeight="1">
      <x:c r="A8" s="26" t="str">
        <x:v>MODEL</x:v>
      </x:c>
      <x:c r="B8" s="26" t="str">
        <x:v>ProductModel</x:v>
      </x:c>
      <x:c r="C8" s="26" t="str">
        <x:v>brand; model; productionDate; material</x:v>
      </x:c>
      <x:c r="D8" s="26" t="str">
        <x:v>Use year-specific properties only when catalog-controlled.</x:v>
      </x:c>
      <x:c r="E8" s="26" t="str">
        <x:v>One universal material/specification across decades.</x:v>
      </x:c>
      <x:c r="F8" s="26" t="str">
        <x:v>Model family pages include variants.</x:v>
      </x:c>
    </x:row>
    <x:row r="9" ht="82" customHeight="1">
      <x:c r="A9" s="26" t="str">
        <x:v>PERSON</x:v>
      </x:c>
      <x:c r="B9" s="26" t="str">
        <x:v>Person</x:v>
      </x:c>
      <x:c r="C9" s="26" t="str">
        <x:v>affiliation; memberOf; award</x:v>
      </x:c>
      <x:c r="D9" s="26" t="str">
        <x:v>Use public professional BMX relationships.</x:v>
      </x:c>
      <x:c r="E9" s="26" t="str">
        <x:v>Private contact, home address, inferred family data.</x:v>
      </x:c>
      <x:c r="F9" s="26" t="str">
        <x:v>Only public historical roles.</x:v>
      </x:c>
    </x:row>
    <x:row r="10" ht="82" customHeight="1">
      <x:c r="A10" s="26" t="str">
        <x:v>RESULT</x:v>
      </x:c>
      <x:c r="B10" s="26" t="str">
        <x:v>SportsEvent</x:v>
      </x:c>
      <x:c r="C10" s="26" t="str">
        <x:v>competitor; eventStatus; startDate; location</x:v>
      </x:c>
      <x:c r="D10" s="26" t="str">
        <x:v>Use official result and event data.</x:v>
      </x:c>
      <x:c r="E10" s="26" t="str">
        <x:v>Linking a surviving artifact as the event bicycle without evidence.</x:v>
      </x:c>
      <x:c r="F10" s="26" t="str">
        <x:v>Keep artifact relation qualified.</x:v>
      </x:c>
    </x:row>
    <x:row r="11" ht="82" customHeight="1">
      <x:c r="A11" s="26" t="str">
        <x:v>TRACK</x:v>
      </x:c>
      <x:c r="B11" s="26" t="str">
        <x:v>SportsActivityLocation</x:v>
      </x:c>
      <x:c r="C11" s="26" t="str">
        <x:v>addressRegion; geo; event</x:v>
      </x:c>
      <x:c r="D11" s="26" t="str">
        <x:v>Use public venue facts.</x:v>
      </x:c>
      <x:c r="E11" s="26" t="str">
        <x:v>Private addresses or private collection locations.</x:v>
      </x:c>
      <x:c r="F11" s="26" t="str">
        <x:v>Historical operating dates may be qualified.</x:v>
      </x:c>
    </x:row>
    <x:row r="12" ht="82" customHeight="1">
      <x:c r="A12" s="26" t="str">
        <x:v>CATALOG</x:v>
      </x:c>
      <x:c r="B12" s="26" t="str">
        <x:v>CreativeWork</x:v>
      </x:c>
      <x:c r="C12" s="26" t="str">
        <x:v>datePublished; publisher; about; isPartOf</x:v>
      </x:c>
      <x:c r="D12" s="26" t="str">
        <x:v>Use bibliographic identity and coverage.</x:v>
      </x:c>
      <x:c r="E12" s="26" t="str">
        <x:v>encoding/media object when scan is not hosted by Lititz.</x:v>
      </x:c>
      <x:c r="F12" s="26" t="str">
        <x:v>Link external source.</x:v>
      </x:c>
    </x:row>
    <x:row r="13" ht="82" customHeight="1">
      <x:c r="A13" s="26" t="str">
        <x:v>ADVERTISEMENT</x:v>
      </x:c>
      <x:c r="B13" s="26" t="str">
        <x:v>Advertisement</x:v>
      </x:c>
      <x:c r="C13" s="26" t="str">
        <x:v>datePublished; publisher; about</x:v>
      </x:c>
      <x:c r="D13" s="26" t="str">
        <x:v>Use object date and product/brand subjects.</x:v>
      </x:c>
      <x:c r="E13" s="26" t="str">
        <x:v>Offer price as MSRP without basis.</x:v>
      </x:c>
      <x:c r="F13" s="26" t="str">
        <x:v>CreativeWork fallback is acceptable.</x:v>
      </x:c>
    </x:row>
    <x:row r="14" ht="82" customHeight="1">
      <x:c r="A14" s="26" t="str">
        <x:v>PRICE_OBSERVATION</x:v>
      </x:c>
      <x:c r="B14" s="26" t="str">
        <x:v>Offer</x:v>
      </x:c>
      <x:c r="C14" s="26" t="str">
        <x:v>price; priceCurrency; itemOffered; offeredBy; validFrom</x:v>
      </x:c>
      <x:c r="D14" s="26" t="str">
        <x:v>Use only when basis/seller/date are known.</x:v>
      </x:c>
      <x:c r="E14" s="26" t="str">
        <x:v>Current availability or inferred market value.</x:v>
      </x:c>
      <x:c r="F14" s="26" t="str">
        <x:v>Clearly state archival context.</x:v>
      </x:c>
    </x:row>
    <x:row r="15" ht="82" customHeight="1">
      <x:c r="A15" s="26" t="str">
        <x:v>REFERENCE, SOURCE, THREAD</x:v>
      </x:c>
      <x:c r="B15" s="26" t="str">
        <x:v>CreativeWork</x:v>
      </x:c>
      <x:c r="C15" s="26" t="str">
        <x:v>identifier; citation; isBasedOn</x:v>
      </x:c>
      <x:c r="D15" s="26" t="str">
        <x:v>Use source identity and public link.</x:v>
      </x:c>
      <x:c r="E15" s="26" t="str">
        <x:v>Copying expressive forum text or member metadata.</x:v>
      </x:c>
      <x:c r="F15" s="26" t="str">
        <x:v>Thread pages summarize only.</x:v>
      </x:c>
    </x:row>
    <x:row r="16" ht="82" customHeight="1">
      <x:c r="A16" s="26" t="str">
        <x:v>COLLECTION</x:v>
      </x:c>
      <x:c r="B16" s="26" t="str">
        <x:v>CollectionPage</x:v>
      </x:c>
      <x:c r="C16" s="26" t="str">
        <x:v>hasPart; about; dateModified</x:v>
      </x:c>
      <x:c r="D16" s="26" t="str">
        <x:v>Use record links and inclusion scope.</x:v>
      </x:c>
      <x:c r="E16" s="26" t="str">
        <x:v>Implying ownership of linked third-party materials.</x:v>
      </x:c>
      <x:c r="F16" s="26" t="str">
        <x:v>Research cluster landing page.</x:v>
      </x:c>
    </x:row>
  </x:sheetData>
  <x:mergeCells>
    <x:mergeCell ref="A1:F1"/>
    <x:mergeCell ref="A2:F2"/>
  </x:mergeCells>
  <x:pageMargins left="0.7" right="0.7" top="0.75" bottom="0.75" header="0.3" footer="0.3"/>
  <x:tableParts count="1">
    <x:tablePart xmlns:r="http://schemas.openxmlformats.org/officeDocument/2006/relationships" r:id="R1a55c8465ce24b18"/>
  </x:tableParts>
</x:worksheet>
</file>

<file path=xl/worksheets/sheet140.xml><?xml version="1.0" encoding="utf-8"?>
<x:worksheet xmlns:x="http://schemas.openxmlformats.org/spreadsheetml/2006/main">
  <x:sheetFormatPr defaultRowHeight="15"/>
  <x:cols>
    <x:col min="1" max="1" width="14" hidden="0" customWidth="1"/>
    <x:col min="2" max="2" width="22" hidden="0" customWidth="1"/>
    <x:col min="3" max="3" width="20" hidden="0" customWidth="1"/>
    <x:col min="4" max="4" width="44" hidden="0" customWidth="1"/>
    <x:col min="5" max="5" width="42" hidden="0" customWidth="1"/>
    <x:col min="6" max="6" width="14" hidden="0" customWidth="1"/>
    <x:col min="7" max="7" width="14" hidden="0" customWidth="1"/>
    <x:col min="8" max="8" width="14" hidden="0" customWidth="1"/>
    <x:col min="9" max="9" width="14" hidden="0" customWidth="1"/>
    <x:col min="10" max="10" width="16" hidden="0" customWidth="1"/>
    <x:col min="11" max="11" width="18" hidden="0" customWidth="1"/>
    <x:col min="12" max="12" width="22" hidden="0" customWidth="1"/>
    <x:col min="13" max="13" width="18" hidden="0" customWidth="1"/>
    <x:col min="14" max="14" width="24" hidden="0" customWidth="1"/>
    <x:col min="15" max="15" width="56" hidden="0" customWidth="1"/>
    <x:col min="16" max="16" width="38" hidden="0" customWidth="1"/>
  </x:cols>
  <x:sheetData>
    <x:row r="1">
      <x:c r="A1" s="643" t="str">
        <x:v>Public Page Build Queue</x:v>
      </x:c>
      <x:c r="B1" s="643"/>
      <x:c r="C1" s="643"/>
      <x:c r="D1" s="643"/>
      <x:c r="E1" s="643"/>
      <x:c r="F1" s="643"/>
      <x:c r="G1" s="643"/>
      <x:c r="H1" s="643"/>
      <x:c r="I1" s="643"/>
      <x:c r="J1" s="643"/>
      <x:c r="K1" s="643"/>
      <x:c r="L1" s="643"/>
      <x:c r="M1" s="643"/>
      <x:c r="N1" s="643"/>
      <x:c r="O1" s="643"/>
      <x:c r="P1" s="643"/>
    </x:row>
    <x:row r="2">
      <x:c r="A2" s="648" t="str">
        <x:v>Readiness is formula-driven. A blocker does not prevent a qualified page when uncertainty can be shown honestly, but it does prevent unsupported conclusions.</x:v>
      </x:c>
      <x:c r="B2" s="648"/>
      <x:c r="C2" s="648"/>
      <x:c r="D2" s="648"/>
      <x:c r="E2" s="648"/>
      <x:c r="F2" s="648"/>
      <x:c r="G2" s="648"/>
      <x:c r="H2" s="648"/>
      <x:c r="I2" s="648"/>
      <x:c r="J2" s="648"/>
      <x:c r="K2" s="648"/>
      <x:c r="L2" s="648"/>
      <x:c r="M2" s="648"/>
      <x:c r="N2" s="648"/>
      <x:c r="O2" s="648"/>
      <x:c r="P2" s="648"/>
    </x:row>
    <x:row r="4">
      <x:c r="A4" s="653" t="str">
        <x:v>Queue ID</x:v>
      </x:c>
      <x:c r="B4" s="653" t="str">
        <x:v>Record ID</x:v>
      </x:c>
      <x:c r="C4" s="653" t="str">
        <x:v>Record Type</x:v>
      </x:c>
      <x:c r="D4" s="653" t="str">
        <x:v>Title</x:v>
      </x:c>
      <x:c r="E4" s="653" t="str">
        <x:v>Proposed Slug</x:v>
      </x:c>
      <x:c r="F4" s="653" t="str">
        <x:v>Core Fields</x:v>
      </x:c>
      <x:c r="G4" s="653" t="str">
        <x:v>Claims Ready</x:v>
      </x:c>
      <x:c r="H4" s="653" t="str">
        <x:v>Sources Ready</x:v>
      </x:c>
      <x:c r="I4" s="653" t="str">
        <x:v>Rights Clear</x:v>
      </x:c>
      <x:c r="J4" s="653" t="str">
        <x:v>Open Blockers</x:v>
      </x:c>
      <x:c r="K4" s="653" t="str">
        <x:v>Readiness Score</x:v>
      </x:c>
      <x:c r="L4" s="653" t="str">
        <x:v>Publish Status</x:v>
      </x:c>
      <x:c r="M4" s="653" t="str">
        <x:v>Robots</x:v>
      </x:c>
      <x:c r="N4" s="653" t="str">
        <x:v>Template</x:v>
      </x:c>
      <x:c r="O4" s="653" t="str">
        <x:v>Next Action</x:v>
      </x:c>
      <x:c r="P4" s="653" t="str">
        <x:v>Prototype Page</x:v>
      </x:c>
    </x:row>
    <x:row r="5" ht="76" customHeight="1">
      <x:c r="A5" s="26" t="str">
        <x:v>PUB-001</x:v>
      </x:c>
      <x:c r="B5" s="26" t="str">
        <x:v>26.0054</x:v>
      </x:c>
      <x:c r="C5" s="26" t="str">
        <x:v>ARTIFACT</x:v>
      </x:c>
      <x:c r="D5" s="26" t="str">
        <x:v>Felicia Stancil's 2012 Worlds GT</x:v>
      </x:c>
      <x:c r="E5" s="26" t="str">
        <x:v>felicia-stancil-2012-worlds-gt</x:v>
      </x:c>
      <x:c r="F5" s="26" t="str">
        <x:v>Y</x:v>
      </x:c>
      <x:c r="G5" s="26" t="str">
        <x:v>Y</x:v>
      </x:c>
      <x:c r="H5" s="26" t="str">
        <x:v>Y</x:v>
      </x:c>
      <x:c r="I5" s="26" t="str">
        <x:v>Y</x:v>
      </x:c>
      <x:c r="J5" s="26" t="n">
        <x:v>1</x:v>
      </x:c>
      <x:c r="K5" s="26" t="n">
        <x:f>MAX(0,IF(F5="Y",25,0)+IF(G5="Y",25,0)+IF(H5="Y",25,0)+IF(I5="Y",25,0)-MIN(J5*10,40))</x:f>
        <x:v>90</x:v>
      </x:c>
      <x:c r="L5" s="26" t="str">
        <x:f>IF(I5&lt;&gt;"Y","BLOCKED-RIGHTS",IF(J5&gt;=3,"HOLD-EVIDENCE",IF(J5=0,IF(K5&gt;=90,"READY","READY-QUALIFIED"),"READY-QUALIFIED")))</x:f>
        <x:v>READY-QUALIFIED</x:v>
      </x:c>
      <x:c r="M5" s="26" t="str">
        <x:f>IF(OR(L5="READY",L5="READY-QUALIFIED"),"index,follow","noindex,follow")</x:f>
        <x:v>index,follow</x:v>
      </x:c>
      <x:c r="N5" s="26" t="str">
        <x:v>Artifact</x:v>
      </x:c>
      <x:c r="O5" s="26" t="str">
        <x:v>Publish qualified page; retain exact-bike evidence gate.</x:v>
      </x:c>
      <x:c r="P5" s="26" t="str">
        <x:v>pages/artifact-26-0054.html</x:v>
      </x:c>
    </x:row>
    <x:row r="6" ht="76" customHeight="1">
      <x:c r="A6" s="26" t="str">
        <x:v>PUB-002</x:v>
      </x:c>
      <x:c r="B6" s="26" t="str">
        <x:v>BRAND-JMC</x:v>
      </x:c>
      <x:c r="C6" s="26" t="str">
        <x:v>BRAND</x:v>
      </x:c>
      <x:c r="D6" s="26" t="str">
        <x:v>JMC Racing</x:v>
      </x:c>
      <x:c r="E6" s="26" t="str">
        <x:v>jmc-racing</x:v>
      </x:c>
      <x:c r="F6" s="26" t="str">
        <x:v>Y</x:v>
      </x:c>
      <x:c r="G6" s="26" t="str">
        <x:v>Y</x:v>
      </x:c>
      <x:c r="H6" s="26" t="str">
        <x:v>Y</x:v>
      </x:c>
      <x:c r="I6" s="26" t="str">
        <x:v>Y</x:v>
      </x:c>
      <x:c r="J6" s="26" t="n">
        <x:v>0</x:v>
      </x:c>
      <x:c r="K6" s="26" t="n">
        <x:f>MAX(0,IF(F6="Y",25,0)+IF(G6="Y",25,0)+IF(H6="Y",25,0)+IF(I6="Y",25,0)-MIN(J6*10,40))</x:f>
        <x:v>100</x:v>
      </x:c>
      <x:c r="L6" s="26" t="str">
        <x:f>IF(I6&lt;&gt;"Y","BLOCKED-RIGHTS",IF(J6&gt;=3,"HOLD-EVIDENCE",IF(J6=0,IF(K6&gt;=90,"READY","READY-QUALIFIED"),"READY-QUALIFIED")))</x:f>
        <x:v>READY</x:v>
      </x:c>
      <x:c r="M6" s="26" t="str">
        <x:f>IF(OR(L6="READY",L6="READY-QUALIFIED"),"index,follow","noindex,follow")</x:f>
        <x:v>index,follow</x:v>
      </x:c>
      <x:c r="N6" s="26" t="str">
        <x:v>Brand</x:v>
      </x:c>
      <x:c r="O6" s="26" t="str">
        <x:v>Publish chronology with model/serial boundary cards.</x:v>
      </x:c>
      <x:c r="P6" s="26" t="str">
        <x:v>pages/brand-jmc-racing.html</x:v>
      </x:c>
    </x:row>
    <x:row r="7" ht="76" customHeight="1">
      <x:c r="A7" s="26" t="str">
        <x:v>PUB-003</x:v>
      </x:c>
      <x:c r="B7" s="26" t="str">
        <x:v>CAT-HARO-1990</x:v>
      </x:c>
      <x:c r="C7" s="26" t="str">
        <x:v>CATALOG</x:v>
      </x:c>
      <x:c r="D7" s="26" t="str">
        <x:v>1990 Haro BMX Catalog</x:v>
      </x:c>
      <x:c r="E7" s="26" t="str">
        <x:v>1990-haro-bmx-catalog</x:v>
      </x:c>
      <x:c r="F7" s="26" t="str">
        <x:v>Y</x:v>
      </x:c>
      <x:c r="G7" s="26" t="str">
        <x:v>Y</x:v>
      </x:c>
      <x:c r="H7" s="26" t="str">
        <x:v>Y</x:v>
      </x:c>
      <x:c r="I7" s="26" t="str">
        <x:v>Y</x:v>
      </x:c>
      <x:c r="J7" s="26" t="n">
        <x:v>1</x:v>
      </x:c>
      <x:c r="K7" s="26" t="n">
        <x:f>MAX(0,IF(F7="Y",25,0)+IF(G7="Y",25,0)+IF(H7="Y",25,0)+IF(I7="Y",25,0)-MIN(J7*10,40))</x:f>
        <x:v>90</x:v>
      </x:c>
      <x:c r="L7" s="26" t="str">
        <x:f>IF(I7&lt;&gt;"Y","BLOCKED-RIGHTS",IF(J7&gt;=3,"HOLD-EVIDENCE",IF(J7=0,IF(K7&gt;=90,"READY","READY-QUALIFIED"),"READY-QUALIFIED")))</x:f>
        <x:v>READY-QUALIFIED</x:v>
      </x:c>
      <x:c r="M7" s="26" t="str">
        <x:f>IF(OR(L7="READY",L7="READY-QUALIFIED"),"index,follow","noindex,follow")</x:f>
        <x:v>index,follow</x:v>
      </x:c>
      <x:c r="N7" s="26" t="str">
        <x:v>Catalog</x:v>
      </x:c>
      <x:c r="O7" s="26" t="str">
        <x:v>Publish bibliographic page; state BMXMuseum ID unresolved.</x:v>
      </x:c>
      <x:c r="P7" s="26" t="str">
        <x:v>pages/source-1990-haro-catalog.html</x:v>
      </x:c>
    </x:row>
    <x:row r="8" ht="76" customHeight="1">
      <x:c r="A8" s="26" t="str">
        <x:v>PUB-004</x:v>
      </x:c>
      <x:c r="B8" s="26" t="str">
        <x:v>REF-ASHTABULA-5027</x:v>
      </x:c>
      <x:c r="C8" s="26" t="str">
        <x:v>REFERENCE</x:v>
      </x:c>
      <x:c r="D8" s="26" t="str">
        <x:v>Ashtabula Component Catalog — BMXMuseum Reference 5027</x:v>
      </x:c>
      <x:c r="E8" s="26" t="str">
        <x:v>ashtabula-component-catalog-reference-5027</x:v>
      </x:c>
      <x:c r="F8" s="26" t="str">
        <x:v>Y</x:v>
      </x:c>
      <x:c r="G8" s="26" t="str">
        <x:v>Y</x:v>
      </x:c>
      <x:c r="H8" s="26" t="str">
        <x:v>Y</x:v>
      </x:c>
      <x:c r="I8" s="26" t="str">
        <x:v>Y</x:v>
      </x:c>
      <x:c r="J8" s="26" t="n">
        <x:v>2</x:v>
      </x:c>
      <x:c r="K8" s="26" t="n">
        <x:f>MAX(0,IF(F8="Y",25,0)+IF(G8="Y",25,0)+IF(H8="Y",25,0)+IF(I8="Y",25,0)-MIN(J8*10,40))</x:f>
        <x:v>80</x:v>
      </x:c>
      <x:c r="L8" s="26" t="str">
        <x:f>IF(I8&lt;&gt;"Y","BLOCKED-RIGHTS",IF(J8&gt;=3,"HOLD-EVIDENCE",IF(J8=0,IF(K8&gt;=90,"READY","READY-QUALIFIED"),"READY-QUALIFIED")))</x:f>
        <x:v>READY-QUALIFIED</x:v>
      </x:c>
      <x:c r="M8" s="26" t="str">
        <x:f>IF(OR(L8="READY",L8="READY-QUALIFIED"),"index,follow","noindex,follow")</x:f>
        <x:v>index,follow</x:v>
      </x:c>
      <x:c r="N8" s="26" t="str">
        <x:v>Reference</x:v>
      </x:c>
      <x:c r="O8" s="26" t="str">
        <x:v>Publish qualified page; retain date/page-content uncertainty.</x:v>
      </x:c>
      <x:c r="P8" s="26" t="str">
        <x:v>pages/reference-ashtabula-5027.html</x:v>
      </x:c>
    </x:row>
    <x:row r="9" ht="76" customHeight="1">
      <x:c r="A9" s="26" t="str">
        <x:v>PUB-005</x:v>
      </x:c>
      <x:c r="B9" s="26" t="str">
        <x:v>26.0055</x:v>
      </x:c>
      <x:c r="C9" s="26" t="str">
        <x:v>ARTIFACT</x:v>
      </x:c>
      <x:c r="D9" s="26" t="str">
        <x:v>Boss Hogg CR01</x:v>
      </x:c>
      <x:c r="E9" s="26" t="str">
        <x:v>boss-hogg-cr01</x:v>
      </x:c>
      <x:c r="F9" s="26" t="str">
        <x:v>Y</x:v>
      </x:c>
      <x:c r="G9" s="26" t="str">
        <x:v>Y</x:v>
      </x:c>
      <x:c r="H9" s="26" t="str">
        <x:v>Y</x:v>
      </x:c>
      <x:c r="I9" s="26" t="str">
        <x:v>Y</x:v>
      </x:c>
      <x:c r="J9" s="26" t="n">
        <x:v>4</x:v>
      </x:c>
      <x:c r="K9" s="26" t="n">
        <x:f>MAX(0,IF(F9="Y",25,0)+IF(G9="Y",25,0)+IF(H9="Y",25,0)+IF(I9="Y",25,0)-MIN(J9*10,40))</x:f>
        <x:v>60</x:v>
      </x:c>
      <x:c r="L9" s="26" t="str">
        <x:f>IF(I9&lt;&gt;"Y","BLOCKED-RIGHTS",IF(J9&gt;=3,"HOLD-EVIDENCE",IF(J9=0,IF(K9&gt;=90,"READY","READY-QUALIFIED"),"READY-QUALIFIED")))</x:f>
        <x:v>HOLD-EVIDENCE</x:v>
      </x:c>
      <x:c r="M9" s="26" t="str">
        <x:f>IF(OR(L9="READY",L9="READY-QUALIFIED"),"index,follow","noindex,follow")</x:f>
        <x:v>noindex,follow</x:v>
      </x:c>
      <x:c r="N9" s="26" t="str">
        <x:v>Artifact</x:v>
      </x:c>
      <x:c r="O9" s="26" t="str">
        <x:v>Hold first-production wording pending serial/provenance/restoration evidence.</x:v>
      </x:c>
      <x:c r="P9" s="26" t="str"/>
    </x:row>
    <x:row r="10" ht="76" customHeight="1">
      <x:c r="A10" s="26" t="str">
        <x:v>PUB-006</x:v>
      </x:c>
      <x:c r="B10" s="26" t="str">
        <x:v>26.0048</x:v>
      </x:c>
      <x:c r="C10" s="26" t="str">
        <x:v>ARTIFACT</x:v>
      </x:c>
      <x:c r="D10" s="26" t="str">
        <x:v>1986 F-1 Challenge Trophy</x:v>
      </x:c>
      <x:c r="E10" s="26" t="str">
        <x:v>1986-f1-challenge-trophy</x:v>
      </x:c>
      <x:c r="F10" s="26" t="str">
        <x:v>Y</x:v>
      </x:c>
      <x:c r="G10" s="26" t="str">
        <x:v>Y</x:v>
      </x:c>
      <x:c r="H10" s="26" t="str">
        <x:v>Y</x:v>
      </x:c>
      <x:c r="I10" s="26" t="str">
        <x:v>Y</x:v>
      </x:c>
      <x:c r="J10" s="26" t="n">
        <x:v>3</x:v>
      </x:c>
      <x:c r="K10" s="26" t="n">
        <x:f>MAX(0,IF(F10="Y",25,0)+IF(G10="Y",25,0)+IF(H10="Y",25,0)+IF(I10="Y",25,0)-MIN(J10*10,40))</x:f>
        <x:v>70</x:v>
      </x:c>
      <x:c r="L10" s="26" t="str">
        <x:f>IF(I10&lt;&gt;"Y","BLOCKED-RIGHTS",IF(J10&gt;=3,"HOLD-EVIDENCE",IF(J10=0,IF(K10&gt;=90,"READY","READY-QUALIFIED"),"READY-QUALIFIED")))</x:f>
        <x:v>HOLD-EVIDENCE</x:v>
      </x:c>
      <x:c r="M10" s="26" t="str">
        <x:f>IF(OR(L10="READY",L10="READY-QUALIFIED"),"index,follow","noindex,follow")</x:f>
        <x:v>noindex,follow</x:v>
      </x:c>
      <x:c r="N10" s="26" t="str">
        <x:v>Artifact</x:v>
      </x:c>
      <x:c r="O10" s="26" t="str">
        <x:v>Draft qualified page only after event identity wording review.</x:v>
      </x:c>
      <x:c r="P10" s="26" t="str"/>
    </x:row>
    <x:row r="11" ht="76" customHeight="1">
      <x:c r="A11" s="26" t="str">
        <x:v>PUB-007</x:v>
      </x:c>
      <x:c r="B11" s="26" t="str">
        <x:v>26.0071</x:v>
      </x:c>
      <x:c r="C11" s="26" t="str">
        <x:v>ARTIFACT</x:v>
      </x:c>
      <x:c r="D11" s="26" t="str">
        <x:v>JAD Street Style Sherman and Stand</x:v>
      </x:c>
      <x:c r="E11" s="26" t="str">
        <x:v>jad-street-style-sherman</x:v>
      </x:c>
      <x:c r="F11" s="26" t="str">
        <x:v>Y</x:v>
      </x:c>
      <x:c r="G11" s="26" t="str">
        <x:v>Y</x:v>
      </x:c>
      <x:c r="H11" s="26" t="str">
        <x:v>Y</x:v>
      </x:c>
      <x:c r="I11" s="26" t="str">
        <x:v>Y</x:v>
      </x:c>
      <x:c r="J11" s="26" t="n">
        <x:v>4</x:v>
      </x:c>
      <x:c r="K11" s="26" t="n">
        <x:f>MAX(0,IF(F11="Y",25,0)+IF(G11="Y",25,0)+IF(H11="Y",25,0)+IF(I11="Y",25,0)-MIN(J11*10,40))</x:f>
        <x:v>60</x:v>
      </x:c>
      <x:c r="L11" s="26" t="str">
        <x:f>IF(I11&lt;&gt;"Y","BLOCKED-RIGHTS",IF(J11&gt;=3,"HOLD-EVIDENCE",IF(J11=0,IF(K11&gt;=90,"READY","READY-QUALIFIED"),"READY-QUALIFIED")))</x:f>
        <x:v>HOLD-EVIDENCE</x:v>
      </x:c>
      <x:c r="M11" s="26" t="str">
        <x:f>IF(OR(L11="READY",L11="READY-QUALIFIED"),"index,follow","noindex,follow")</x:f>
        <x:v>noindex,follow</x:v>
      </x:c>
      <x:c r="N11" s="26" t="str">
        <x:v>Artifact</x:v>
      </x:c>
      <x:c r="O11" s="26" t="str">
        <x:v>Resolve DiMartino/Lesorgan role conflict before public page.</x:v>
      </x:c>
      <x:c r="P11" s="26" t="str"/>
    </x:row>
    <x:row r="12" ht="76" customHeight="1">
      <x:c r="A12" s="26" t="str">
        <x:v>PUB-008</x:v>
      </x:c>
      <x:c r="B12" s="26" t="str">
        <x:v>26.0006</x:v>
      </x:c>
      <x:c r="C12" s="26" t="str">
        <x:v>CATALOG</x:v>
      </x:c>
      <x:c r="D12" s="26" t="str">
        <x:v>ELF Catalog / Mailpiece</x:v>
      </x:c>
      <x:c r="E12" s="26" t="str">
        <x:v>elf-catalog-mailpiece</x:v>
      </x:c>
      <x:c r="F12" s="26" t="str">
        <x:v>Y</x:v>
      </x:c>
      <x:c r="G12" s="26" t="str">
        <x:v>Y</x:v>
      </x:c>
      <x:c r="H12" s="26" t="str">
        <x:v>Y</x:v>
      </x:c>
      <x:c r="I12" s="26" t="str">
        <x:v>Y</x:v>
      </x:c>
      <x:c r="J12" s="26" t="n">
        <x:v>4</x:v>
      </x:c>
      <x:c r="K12" s="26" t="n">
        <x:f>MAX(0,IF(F12="Y",25,0)+IF(G12="Y",25,0)+IF(H12="Y",25,0)+IF(I12="Y",25,0)-MIN(J12*10,40))</x:f>
        <x:v>60</x:v>
      </x:c>
      <x:c r="L12" s="26" t="str">
        <x:f>IF(I12&lt;&gt;"Y","BLOCKED-RIGHTS",IF(J12&gt;=3,"HOLD-EVIDENCE",IF(J12=0,IF(K12&gt;=90,"READY","READY-QUALIFIED"),"READY-QUALIFIED")))</x:f>
        <x:v>HOLD-EVIDENCE</x:v>
      </x:c>
      <x:c r="M12" s="26" t="str">
        <x:f>IF(OR(L12="READY",L12="READY-QUALIFIED"),"index,follow","noindex,follow")</x:f>
        <x:v>noindex,follow</x:v>
      </x:c>
      <x:c r="N12" s="26" t="str">
        <x:v>Catalog</x:v>
      </x:c>
      <x:c r="O12" s="26" t="str">
        <x:v>Complete physical bibliographic capture before publication.</x:v>
      </x:c>
      <x:c r="P12" s="26" t="str"/>
    </x:row>
    <x:row r="13" ht="76" customHeight="1">
      <x:c r="A13" s="26" t="str">
        <x:v>PUB-009</x:v>
      </x:c>
      <x:c r="B13" s="26" t="str">
        <x:v>BRAND-DIRTWERX</x:v>
      </x:c>
      <x:c r="C13" s="26" t="str">
        <x:v>BRAND</x:v>
      </x:c>
      <x:c r="D13" s="26" t="str">
        <x:v>DIRTWERX</x:v>
      </x:c>
      <x:c r="E13" s="26" t="str">
        <x:v>dirtwerx</x:v>
      </x:c>
      <x:c r="F13" s="26" t="str">
        <x:v>Y</x:v>
      </x:c>
      <x:c r="G13" s="26" t="str">
        <x:v>Y</x:v>
      </x:c>
      <x:c r="H13" s="26" t="str">
        <x:v>Y</x:v>
      </x:c>
      <x:c r="I13" s="26" t="str">
        <x:v>Y</x:v>
      </x:c>
      <x:c r="J13" s="26" t="n">
        <x:v>1</x:v>
      </x:c>
      <x:c r="K13" s="26" t="n">
        <x:f>MAX(0,IF(F13="Y",25,0)+IF(G13="Y",25,0)+IF(H13="Y",25,0)+IF(I13="Y",25,0)-MIN(J13*10,40))</x:f>
        <x:v>90</x:v>
      </x:c>
      <x:c r="L13" s="26" t="str">
        <x:f>IF(I13&lt;&gt;"Y","BLOCKED-RIGHTS",IF(J13&gt;=3,"HOLD-EVIDENCE",IF(J13=0,IF(K13&gt;=90,"READY","READY-QUALIFIED"),"READY-QUALIFIED")))</x:f>
        <x:v>READY-QUALIFIED</x:v>
      </x:c>
      <x:c r="M13" s="26" t="str">
        <x:f>IF(OR(L13="READY",L13="READY-QUALIFIED"),"index,follow","noindex,follow")</x:f>
        <x:v>index,follow</x:v>
      </x:c>
      <x:c r="N13" s="26" t="str">
        <x:v>Brand</x:v>
      </x:c>
      <x:c r="O13" s="26" t="str">
        <x:v>Publish qualified company/product chronology.</x:v>
      </x:c>
      <x:c r="P13" s="26" t="str"/>
    </x:row>
    <x:row r="14" ht="76" customHeight="1">
      <x:c r="A14" s="26" t="str">
        <x:v>PUB-010</x:v>
      </x:c>
      <x:c r="B14" s="26" t="str">
        <x:v>BRAND-GHP</x:v>
      </x:c>
      <x:c r="C14" s="26" t="str">
        <x:v>BRAND</x:v>
      </x:c>
      <x:c r="D14" s="26" t="str">
        <x:v>Greg Hill Products (GHP)</x:v>
      </x:c>
      <x:c r="E14" s="26" t="str">
        <x:v>greg-hill-products-ghp</x:v>
      </x:c>
      <x:c r="F14" s="26" t="str">
        <x:v>Y</x:v>
      </x:c>
      <x:c r="G14" s="26" t="str">
        <x:v>Y</x:v>
      </x:c>
      <x:c r="H14" s="26" t="str">
        <x:v>Y</x:v>
      </x:c>
      <x:c r="I14" s="26" t="str">
        <x:v>Y</x:v>
      </x:c>
      <x:c r="J14" s="26" t="n">
        <x:v>2</x:v>
      </x:c>
      <x:c r="K14" s="26" t="n">
        <x:f>MAX(0,IF(F14="Y",25,0)+IF(G14="Y",25,0)+IF(H14="Y",25,0)+IF(I14="Y",25,0)-MIN(J14*10,40))</x:f>
        <x:v>80</x:v>
      </x:c>
      <x:c r="L14" s="26" t="str">
        <x:f>IF(I14&lt;&gt;"Y","BLOCKED-RIGHTS",IF(J14&gt;=3,"HOLD-EVIDENCE",IF(J14=0,IF(K14&gt;=90,"READY","READY-QUALIFIED"),"READY-QUALIFIED")))</x:f>
        <x:v>READY-QUALIFIED</x:v>
      </x:c>
      <x:c r="M14" s="26" t="str">
        <x:f>IF(OR(L14="READY",L14="READY-QUALIFIED"),"index,follow","noindex,follow")</x:f>
        <x:v>index,follow</x:v>
      </x:c>
      <x:c r="N14" s="26" t="str">
        <x:v>Brand</x:v>
      </x:c>
      <x:c r="O14" s="26" t="str">
        <x:v>Publish qualified chronology; preserve distributor/manufacturing gaps.</x:v>
      </x:c>
      <x:c r="P14" s="26" t="str"/>
    </x:row>
    <x:row r="15" ht="76" customHeight="1">
      <x:c r="A15" s="26" t="str">
        <x:v>PUB-011</x:v>
      </x:c>
      <x:c r="B15" s="26" t="str">
        <x:v>BRAND-GT-DYNO</x:v>
      </x:c>
      <x:c r="C15" s="26" t="str">
        <x:v>COLLECTION</x:v>
      </x:c>
      <x:c r="D15" s="26" t="str">
        <x:v>GT and Dyno Research Dossier</x:v>
      </x:c>
      <x:c r="E15" s="26" t="str">
        <x:v>gt-dyno-research-dossier</x:v>
      </x:c>
      <x:c r="F15" s="26" t="str">
        <x:v>Y</x:v>
      </x:c>
      <x:c r="G15" s="26" t="str">
        <x:v>Y</x:v>
      </x:c>
      <x:c r="H15" s="26" t="str">
        <x:v>Y</x:v>
      </x:c>
      <x:c r="I15" s="26" t="str">
        <x:v>Y</x:v>
      </x:c>
      <x:c r="J15" s="26" t="n">
        <x:v>1</x:v>
      </x:c>
      <x:c r="K15" s="26" t="n">
        <x:f>MAX(0,IF(F15="Y",25,0)+IF(G15="Y",25,0)+IF(H15="Y",25,0)+IF(I15="Y",25,0)-MIN(J15*10,40))</x:f>
        <x:v>90</x:v>
      </x:c>
      <x:c r="L15" s="26" t="str">
        <x:f>IF(I15&lt;&gt;"Y","BLOCKED-RIGHTS",IF(J15&gt;=3,"HOLD-EVIDENCE",IF(J15=0,IF(K15&gt;=90,"READY","READY-QUALIFIED"),"READY-QUALIFIED")))</x:f>
        <x:v>READY-QUALIFIED</x:v>
      </x:c>
      <x:c r="M15" s="26" t="str">
        <x:f>IF(OR(L15="READY",L15="READY-QUALIFIED"),"index,follow","noindex,follow")</x:f>
        <x:v>index,follow</x:v>
      </x:c>
      <x:c r="N15" s="26" t="str">
        <x:v>Collection</x:v>
      </x:c>
      <x:c r="O15" s="26" t="str">
        <x:v>Publish catalog-controlled collection hub.</x:v>
      </x:c>
      <x:c r="P15" s="26" t="str"/>
    </x:row>
    <x:row r="16" ht="76" customHeight="1">
      <x:c r="A16" s="26" t="str">
        <x:v>PUB-012</x:v>
      </x:c>
      <x:c r="B16" s="26" t="str">
        <x:v>BMXM-119290</x:v>
      </x:c>
      <x:c r="C16" s="26" t="str">
        <x:v>BIKE_RECORD</x:v>
      </x:c>
      <x:c r="D16" s="26" t="str">
        <x:v>BMXMuseum 119290 — Submitted as 1984 JMC Darrell Young</x:v>
      </x:c>
      <x:c r="E16" s="26" t="str">
        <x:v>bmxmuseum-119290-1984-jmc-darrell-young</x:v>
      </x:c>
      <x:c r="F16" s="26" t="str">
        <x:v>Y</x:v>
      </x:c>
      <x:c r="G16" s="26" t="str">
        <x:v>Y</x:v>
      </x:c>
      <x:c r="H16" s="26" t="str">
        <x:v>Y</x:v>
      </x:c>
      <x:c r="I16" s="26" t="str">
        <x:v>Y</x:v>
      </x:c>
      <x:c r="J16" s="26" t="n">
        <x:v>2</x:v>
      </x:c>
      <x:c r="K16" s="26" t="n">
        <x:f>MAX(0,IF(F16="Y",25,0)+IF(G16="Y",25,0)+IF(H16="Y",25,0)+IF(I16="Y",25,0)-MIN(J16*10,40))</x:f>
        <x:v>80</x:v>
      </x:c>
      <x:c r="L16" s="26" t="str">
        <x:f>IF(I16&lt;&gt;"Y","BLOCKED-RIGHTS",IF(J16&gt;=3,"HOLD-EVIDENCE",IF(J16=0,IF(K16&gt;=90,"READY","READY-QUALIFIED"),"READY-QUALIFIED")))</x:f>
        <x:v>READY-QUALIFIED</x:v>
      </x:c>
      <x:c r="M16" s="26" t="str">
        <x:f>IF(OR(L16="READY",L16="READY-QUALIFIED"),"index,follow","noindex,follow")</x:f>
        <x:v>index,follow</x:v>
      </x:c>
      <x:c r="N16" s="26" t="str">
        <x:v>Submitted Bike Record</x:v>
      </x:c>
      <x:c r="O16" s="26" t="str">
        <x:v>Publish as comparison record only; no originality claim.</x:v>
      </x:c>
      <x:c r="P16" s="26" t="str"/>
    </x:row>
    <x:row r="17" ht="76" customHeight="1">
      <x:c r="A17" s="26" t="str">
        <x:v>PUB-013</x:v>
      </x:c>
      <x:c r="B17" s="26" t="str">
        <x:v>PRICE-HUTCH-1981-PRO-RACER</x:v>
      </x:c>
      <x:c r="C17" s="26" t="str">
        <x:v>PRICE_OBSERVATION</x:v>
      </x:c>
      <x:c r="D17" s="26" t="str">
        <x:v>1981 Hutch Pro Racer — $419.75</x:v>
      </x:c>
      <x:c r="E17" s="26" t="str">
        <x:v>1981-hutch-pro-racer-419-75</x:v>
      </x:c>
      <x:c r="F17" s="26" t="str">
        <x:v>Y</x:v>
      </x:c>
      <x:c r="G17" s="26" t="str">
        <x:v>Y</x:v>
      </x:c>
      <x:c r="H17" s="26" t="str">
        <x:v>Y</x:v>
      </x:c>
      <x:c r="I17" s="26" t="str">
        <x:v>Y</x:v>
      </x:c>
      <x:c r="J17" s="26" t="n">
        <x:v>1</x:v>
      </x:c>
      <x:c r="K17" s="26" t="n">
        <x:f>MAX(0,IF(F17="Y",25,0)+IF(G17="Y",25,0)+IF(H17="Y",25,0)+IF(I17="Y",25,0)-MIN(J17*10,40))</x:f>
        <x:v>90</x:v>
      </x:c>
      <x:c r="L17" s="26" t="str">
        <x:f>IF(I17&lt;&gt;"Y","BLOCKED-RIGHTS",IF(J17&gt;=3,"HOLD-EVIDENCE",IF(J17=0,IF(K17&gt;=90,"READY","READY-QUALIFIED"),"READY-QUALIFIED")))</x:f>
        <x:v>READY-QUALIFIED</x:v>
      </x:c>
      <x:c r="M17" s="26" t="str">
        <x:f>IF(OR(L17="READY",L17="READY-QUALIFIED"),"index,follow","noindex,follow")</x:f>
        <x:v>index,follow</x:v>
      </x:c>
      <x:c r="N17" s="26" t="str">
        <x:v>Price Observation</x:v>
      </x:c>
      <x:c r="O17" s="26" t="str">
        <x:v>Publish attributed price context; original price sheet remains open.</x:v>
      </x:c>
      <x:c r="P17" s="26" t="str"/>
    </x:row>
    <x:row r="18" ht="76" customHeight="1">
      <x:c r="A18" s="26" t="str">
        <x:v>PUB-014</x:v>
      </x:c>
      <x:c r="B18" s="26" t="str">
        <x:v>26.0085</x:v>
      </x:c>
      <x:c r="C18" s="26" t="str">
        <x:v>ARTIFACT</x:v>
      </x:c>
      <x:c r="D18" s="26" t="str">
        <x:v>Auburn Racing Jersey</x:v>
      </x:c>
      <x:c r="E18" s="26" t="str">
        <x:v>auburn-racing-jersey</x:v>
      </x:c>
      <x:c r="F18" s="26" t="str">
        <x:v>Y</x:v>
      </x:c>
      <x:c r="G18" s="26" t="str">
        <x:v>Y</x:v>
      </x:c>
      <x:c r="H18" s="26" t="str">
        <x:v>Y</x:v>
      </x:c>
      <x:c r="I18" s="26" t="str">
        <x:v>Y</x:v>
      </x:c>
      <x:c r="J18" s="26" t="n">
        <x:v>4</x:v>
      </x:c>
      <x:c r="K18" s="26" t="n">
        <x:f>MAX(0,IF(F18="Y",25,0)+IF(G18="Y",25,0)+IF(H18="Y",25,0)+IF(I18="Y",25,0)-MIN(J18*10,40))</x:f>
        <x:v>60</x:v>
      </x:c>
      <x:c r="L18" s="26" t="str">
        <x:f>IF(I18&lt;&gt;"Y","BLOCKED-RIGHTS",IF(J18&gt;=3,"HOLD-EVIDENCE",IF(J18=0,IF(K18&gt;=90,"READY","READY-QUALIFIED"),"READY-QUALIFIED")))</x:f>
        <x:v>HOLD-EVIDENCE</x:v>
      </x:c>
      <x:c r="M18" s="26" t="str">
        <x:f>IF(OR(L18="READY",L18="READY-QUALIFIED"),"index,follow","noindex,follow")</x:f>
        <x:v>noindex,follow</x:v>
      </x:c>
      <x:c r="N18" s="26" t="str">
        <x:v>Artifact</x:v>
      </x:c>
      <x:c r="O18" s="26" t="str">
        <x:v>Complete textile/provenance comparison tasks.</x:v>
      </x:c>
      <x:c r="P18" s="26" t="str"/>
    </x:row>
  </x:sheetData>
  <x:mergeCells>
    <x:mergeCell ref="A1:P1"/>
    <x:mergeCell ref="A2:P2"/>
  </x:mergeCells>
  <x:conditionalFormatting sqref="L5:L18">
    <x:cfRule type="expression" dxfId="45" priority="1">
      <x:formula>L5="READY"</x:formula>
    </x:cfRule>
    <x:cfRule type="expression" dxfId="46" priority="2">
      <x:formula>L5="READY-QUALIFIED"</x:formula>
    </x:cfRule>
    <x:cfRule type="expression" dxfId="47" priority="3">
      <x:formula>L5="HOLD-EVIDENCE"</x:formula>
    </x:cfRule>
  </x:conditionalFormatting>
  <x:dataValidations count="1">
    <x:dataValidation type="list" sqref="F5:I18">
      <x:formula1>"Y,N"</x:formula1>
    </x:dataValidation>
  </x:dataValidations>
  <x:pageMargins left="0.7" right="0.7" top="0.75" bottom="0.75" header="0.3" footer="0.3"/>
  <x:tableParts count="1">
    <x:tablePart xmlns:r="http://schemas.openxmlformats.org/officeDocument/2006/relationships" r:id="Rad92069c80ae4778"/>
  </x:tableParts>
</x:worksheet>
</file>

<file path=xl/worksheets/sheet141.xml><?xml version="1.0" encoding="utf-8"?>
<x:worksheet xmlns:x="http://schemas.openxmlformats.org/spreadsheetml/2006/main">
  <x:sheetFormatPr defaultRowHeight="15"/>
  <x:cols>
    <x:col min="1" max="1" width="22" hidden="0" customWidth="1"/>
    <x:col min="2" max="2" width="20" hidden="0" customWidth="1"/>
    <x:col min="3" max="3" width="44" hidden="0" customWidth="1"/>
    <x:col min="4" max="4" width="22" hidden="0" customWidth="1"/>
    <x:col min="5" max="5" width="18" hidden="0" customWidth="1"/>
    <x:col min="6" max="6" width="48" hidden="0" customWidth="1"/>
    <x:col min="7" max="7" width="58" hidden="0" customWidth="1"/>
    <x:col min="8" max="8" width="58" hidden="0" customWidth="1"/>
    <x:col min="9" max="9" width="54" hidden="0" customWidth="1"/>
    <x:col min="10" max="10" width="38" hidden="0" customWidth="1"/>
  </x:cols>
  <x:sheetData>
    <x:row r="1">
      <x:c r="A1" s="643" t="str">
        <x:v>Sample Human-Facing Records</x:v>
      </x:c>
      <x:c r="B1" s="643"/>
      <x:c r="C1" s="643"/>
      <x:c r="D1" s="643"/>
      <x:c r="E1" s="643"/>
      <x:c r="F1" s="643"/>
      <x:c r="G1" s="643"/>
      <x:c r="H1" s="643"/>
      <x:c r="I1" s="643"/>
      <x:c r="J1" s="643"/>
    </x:row>
    <x:row r="2">
      <x:c r="A2" s="648" t="str">
        <x:v>Four prototype pages demonstrate artifact, brand, catalog and exact-reference templates using only original summaries and links.</x:v>
      </x:c>
      <x:c r="B2" s="648"/>
      <x:c r="C2" s="648"/>
      <x:c r="D2" s="648"/>
      <x:c r="E2" s="648"/>
      <x:c r="F2" s="648"/>
      <x:c r="G2" s="648"/>
      <x:c r="H2" s="648"/>
      <x:c r="I2" s="648"/>
      <x:c r="J2" s="648"/>
    </x:row>
    <x:row r="4">
      <x:c r="A4" s="653" t="str">
        <x:v>Record ID</x:v>
      </x:c>
      <x:c r="B4" s="653" t="str">
        <x:v>Record Type</x:v>
      </x:c>
      <x:c r="C4" s="653" t="str">
        <x:v>Title</x:v>
      </x:c>
      <x:c r="D4" s="653" t="str">
        <x:v>Status</x:v>
      </x:c>
      <x:c r="E4" s="653" t="str">
        <x:v>Evidence Grade</x:v>
      </x:c>
      <x:c r="F4" s="653" t="str">
        <x:v>Page Purpose</x:v>
      </x:c>
      <x:c r="G4" s="653" t="str">
        <x:v>Primary Claim</x:v>
      </x:c>
      <x:c r="H4" s="653" t="str">
        <x:v>Primary Boundary</x:v>
      </x:c>
      <x:c r="I4" s="653" t="str">
        <x:v>Primary Sources</x:v>
      </x:c>
      <x:c r="J4" s="653" t="str">
        <x:v>Prototype File</x:v>
      </x:c>
    </x:row>
    <x:row r="5" ht="88" customHeight="1">
      <x:c r="A5" s="26" t="str">
        <x:v>26.0054</x:v>
      </x:c>
      <x:c r="B5" s="26" t="str">
        <x:v>ARTIFACT</x:v>
      </x:c>
      <x:c r="C5" s="26" t="str">
        <x:v>Felicia Stancil's 2012 Worlds GT</x:v>
      </x:c>
      <x:c r="D5" s="26" t="str">
        <x:v>READY-QUALIFIED</x:v>
      </x:c>
      <x:c r="E5" s="26" t="str">
        <x:v>B-</x:v>
      </x:c>
      <x:c r="F5" s="26" t="str">
        <x:v>Artifact page with verified achievement and open exact-object question.</x:v>
      </x:c>
      <x:c r="G5" s="26" t="str">
        <x:v>Official reporting verifies Stancil's 2012 Junior Women race and time-trial world titles.</x:v>
      </x:c>
      <x:c r="H5" s="26" t="str">
        <x:v>The result does not by itself authenticate the surviving frame or every current component.</x:v>
      </x:c>
      <x:c r="I5" s="26" t="str">
        <x:v>USA BMX event report; Lititz artifact record</x:v>
      </x:c>
      <x:c r="J5" s="26" t="str">
        <x:v>pages/artifact-26-0054.html</x:v>
      </x:c>
    </x:row>
    <x:row r="6" ht="88" customHeight="1">
      <x:c r="A6" s="26" t="str">
        <x:v>BRAND-JMC</x:v>
      </x:c>
      <x:c r="B6" s="26" t="str">
        <x:v>BRAND</x:v>
      </x:c>
      <x:c r="C6" s="26" t="str">
        <x:v>JMC Racing</x:v>
      </x:c>
      <x:c r="D6" s="26" t="str">
        <x:v>READY</x:v>
      </x:c>
      <x:c r="E6" s="26" t="str">
        <x:v>N/A</x:v>
      </x:c>
      <x:c r="F6" s="26" t="str">
        <x:v>Brand chronology with separately graded phases and serial corrections.</x:v>
      </x:c>
      <x:c r="G6" s="26" t="str">
        <x:v>JMC's business origin, BMX entry, prototype period and production launch are distinct phases.</x:v>
      </x:c>
      <x:c r="H6" s="26" t="str">
        <x:v>Company-history conclusions do not authenticate every submitted JMC bicycle.</x:v>
      </x:c>
      <x:c r="I6" s="26" t="str">
        <x:v>JMC company history; identification guide</x:v>
      </x:c>
      <x:c r="J6" s="26" t="str">
        <x:v>pages/brand-jmc-racing.html</x:v>
      </x:c>
    </x:row>
    <x:row r="7" ht="88" customHeight="1">
      <x:c r="A7" s="26" t="str">
        <x:v>CAT-HARO-1990</x:v>
      </x:c>
      <x:c r="B7" s="26" t="str">
        <x:v>CATALOG</x:v>
      </x:c>
      <x:c r="C7" s="26" t="str">
        <x:v>1990 Haro BMX Catalog</x:v>
      </x:c>
      <x:c r="D7" s="26" t="str">
        <x:v>READY-QUALIFIED</x:v>
      </x:c>
      <x:c r="E7" s="26" t="str">
        <x:v>N/A</x:v>
      </x:c>
      <x:c r="F7" s="26" t="str">
        <x:v>Source-object page without reproducing a scan.</x:v>
      </x:c>
      <x:c r="G7" s="26" t="str">
        <x:v>Haro's official archive verifies a 1990 catalog; reconstruction supplies six-model structure.</x:v>
      </x:c>
      <x:c r="H7" s="26" t="str">
        <x:v>The exact BMXMuseum reference ID, edition and page match remain unresolved.</x:v>
      </x:c>
      <x:c r="I7" s="26" t="str">
        <x:v>Haro official archive; BMX Catalogue; public title index</x:v>
      </x:c>
      <x:c r="J7" s="26" t="str">
        <x:v>pages/source-1990-haro-catalog.html</x:v>
      </x:c>
    </x:row>
    <x:row r="8" ht="88" customHeight="1">
      <x:c r="A8" s="26" t="str">
        <x:v>REF-ASHTABULA-5027</x:v>
      </x:c>
      <x:c r="B8" s="26" t="str">
        <x:v>REFERENCE</x:v>
      </x:c>
      <x:c r="C8" s="26" t="str">
        <x:v>Ashtabula Component Catalog — Reference 5027</x:v>
      </x:c>
      <x:c r="D8" s="26" t="str">
        <x:v>READY-QUALIFIED</x:v>
      </x:c>
      <x:c r="E8" s="26" t="str">
        <x:v>N/A</x:v>
      </x:c>
      <x:c r="F8" s="26" t="str">
        <x:v>Exact-reference page with partially indirect content.</x:v>
      </x:c>
      <x:c r="G8" s="26" t="str">
        <x:v>BMXMuseum reference 5027 is the exact publicly cited Ashtabula catalog object.</x:v>
      </x:c>
      <x:c r="H8" s="26" t="str">
        <x:v>Its approximate date and reported dimensions remain dependent on outside technical discussion.</x:v>
      </x:c>
      <x:c r="I8" s="26" t="str">
        <x:v>BMXMuseum canonical reference; CABE discussion; Mongoose corroboration</x:v>
      </x:c>
      <x:c r="J8" s="26" t="str">
        <x:v>pages/reference-ashtabula-5027.html</x:v>
      </x:c>
    </x:row>
  </x:sheetData>
  <x:mergeCells>
    <x:mergeCell ref="A1:J1"/>
    <x:mergeCell ref="A2:J2"/>
  </x:mergeCells>
  <x:pageMargins left="0.7" right="0.7" top="0.75" bottom="0.75" header="0.3" footer="0.3"/>
  <x:tableParts count="1">
    <x:tablePart xmlns:r="http://schemas.openxmlformats.org/officeDocument/2006/relationships" r:id="Rbcf1efc870b946da"/>
  </x:tableParts>
</x:worksheet>
</file>

<file path=xl/worksheets/sheet142.xml><?xml version="1.0" encoding="utf-8"?>
<x:worksheet xmlns:x="http://schemas.openxmlformats.org/spreadsheetml/2006/main">
  <x:sheetFormatPr defaultRowHeight="15"/>
  <x:cols>
    <x:col min="1" max="1" width="15" hidden="0" customWidth="1"/>
    <x:col min="2" max="2" width="25" hidden="0" customWidth="1"/>
    <x:col min="3" max="3" width="45" hidden="0" customWidth="1"/>
    <x:col min="4" max="4" width="58" hidden="0" customWidth="1"/>
    <x:col min="5" max="5" width="34" hidden="0" customWidth="1"/>
    <x:col min="6" max="6" width="48" hidden="0" customWidth="1"/>
    <x:col min="7" max="7" width="50" hidden="0" customWidth="1"/>
    <x:col min="8" max="8" width="62" hidden="0" customWidth="1"/>
    <x:col min="9" max="9" width="26" hidden="0" customWidth="1"/>
  </x:cols>
  <x:sheetData>
    <x:row r="1">
      <x:c r="A1" s="643" t="str">
        <x:v>v1.8 Highest-Priority Catalog and Exact-Reference Recovery</x:v>
      </x:c>
      <x:c r="B1" s="643"/>
      <x:c r="C1" s="643"/>
      <x:c r="D1" s="643"/>
      <x:c r="E1" s="643"/>
      <x:c r="F1" s="643"/>
      <x:c r="G1" s="643"/>
      <x:c r="H1" s="643"/>
      <x:c r="I1" s="643"/>
    </x:row>
    <x:row r="2">
      <x:c r="A2" s="648" t="str">
        <x:v>The recovery pass records useful partial closures and confirmed gaps. No title, image filename or search result is converted into an invented BMXMuseum reference ID.</x:v>
      </x:c>
      <x:c r="B2" s="648"/>
      <x:c r="C2" s="648"/>
      <x:c r="D2" s="648"/>
      <x:c r="E2" s="648"/>
      <x:c r="F2" s="648"/>
      <x:c r="G2" s="648"/>
      <x:c r="H2" s="648"/>
      <x:c r="I2" s="648"/>
    </x:row>
    <x:row r="4">
      <x:c r="A4" s="653" t="str">
        <x:v>Finding ID</x:v>
      </x:c>
      <x:c r="B4" s="653" t="str">
        <x:v>Priority Cluster</x:v>
      </x:c>
      <x:c r="C4" s="653" t="str">
        <x:v>Question / Target</x:v>
      </x:c>
      <x:c r="D4" s="653" t="str">
        <x:v>New Public Finding</x:v>
      </x:c>
      <x:c r="E4" s="653" t="str">
        <x:v>Evidence Class</x:v>
      </x:c>
      <x:c r="F4" s="653" t="str">
        <x:v>Conclusion / Status Change</x:v>
      </x:c>
      <x:c r="G4" s="653" t="str">
        <x:v>Remaining Limitation</x:v>
      </x:c>
      <x:c r="H4" s="653" t="str">
        <x:v>Source URL</x:v>
      </x:c>
      <x:c r="I4" s="653" t="str">
        <x:v>Research Status</x:v>
      </x:c>
    </x:row>
    <x:row r="5" ht="88" customHeight="1">
      <x:c r="A5" s="26" t="str">
        <x:v>V18-R-001</x:v>
      </x:c>
      <x:c r="B5" s="26" t="str">
        <x:v>Haro exact references</x:v>
      </x:c>
      <x:c r="C5" s="26" t="str">
        <x:v>1989, 1990, 1991, 1992, 1993 Part 2 and 1996 catalog IDs</x:v>
      </x:c>
      <x:c r="D5" s="26" t="str">
        <x:v>A public index repeatedly exposes all six BMXMuseum reference titles and associated BMXMuseum-hosted image filenames, but no canonical reference-number URLs.</x:v>
      </x:c>
      <x:c r="E5" s="26" t="str">
        <x:v>Public title/image backlink</x:v>
      </x:c>
      <x:c r="F5" s="26" t="str">
        <x:v>Title existence strengthened; exact IDs remain unresolved.</x:v>
      </x:c>
      <x:c r="G5" s="26" t="str">
        <x:v>Image filenames/page tokens are not reference IDs and cannot be used to invent canonical pages.</x:v>
      </x:c>
      <x:c r="H5" s="26" t="str">
        <x:v>https://storage.googleapis.com/dioyjtkukhpqse/haro-bmx-catalog.html</x:v>
      </x:c>
      <x:c r="I5" s="26" t="str">
        <x:v>PARTIAL — NO EXACT ID</x:v>
      </x:c>
    </x:row>
    <x:row r="6" ht="88" customHeight="1">
      <x:c r="A6" s="26" t="str">
        <x:v>V18-R-002</x:v>
      </x:c>
      <x:c r="B6" s="26" t="str">
        <x:v>Redline first advertisement</x:v>
      </x:c>
      <x:c r="C6" s="26" t="str">
        <x:v>Exact publication, issue and page for the 1976 advertisement</x:v>
      </x:c>
      <x:c r="D6" s="26" t="str">
        <x:v>The advertisement is identified as appearing in the first issue of Bicycle Motocross Action in December 1976.</x:v>
      </x:c>
      <x:c r="E6" s="26" t="str">
        <x:v>Specialist archive + current historical archive</x:v>
      </x:c>
      <x:c r="F6" s="26" t="str">
        <x:v>Publication and issue closed; exact page remains open.</x:v>
      </x:c>
      <x:c r="G6" s="26" t="str">
        <x:v>The modern archive identifies the object but page number was not recovered.</x:v>
      </x:c>
      <x:c r="H6" s="26" t="str">
        <x:v>https://redlinebmx.wordpress.com/category/1976/</x:v>
      </x:c>
      <x:c r="I6" s="26" t="str">
        <x:v>PARTIAL — PAGE OPEN</x:v>
      </x:c>
    </x:row>
    <x:row r="7" ht="88" customHeight="1">
      <x:c r="A7" s="26" t="str">
        <x:v>V18-R-003</x:v>
      </x:c>
      <x:c r="B7" s="26" t="str">
        <x:v>Mongoose printed media</x:v>
      </x:c>
      <x:c r="C7" s="26" t="str">
        <x:v>Extent of lawful public catalog coverage</x:v>
      </x:c>
      <x:c r="D7" s="26" t="str">
        <x:v>Vintage Mongoose publicly lists 16 catalog editions from 1975 through 1993 plus a 1977 manual.</x:v>
      </x:c>
      <x:c r="E7" s="26" t="str">
        <x:v>Specialist archive index</x:v>
      </x:c>
      <x:c r="F7" s="26" t="str">
        <x:v>Catalog sequence confirmed and ready for bibliographic page-count/imprint audit.</x:v>
      </x:c>
      <x:c r="G7" s="26" t="str">
        <x:v>Dealer price sheets are described but not exposed in the catalog index.</x:v>
      </x:c>
      <x:c r="H7" s="26" t="str">
        <x:v>https://vintagemongoose.com/info/catalogs.php</x:v>
      </x:c>
      <x:c r="I7" s="26" t="str">
        <x:v>CONFIRMED HUB</x:v>
      </x:c>
    </x:row>
    <x:row r="8" ht="88" customHeight="1">
      <x:c r="A8" s="26" t="str">
        <x:v>V18-R-004</x:v>
      </x:c>
      <x:c r="B8" s="26" t="str">
        <x:v>Mongoose dealer price sheets</x:v>
      </x:c>
      <x:c r="C8" s="26" t="str">
        <x:v>Locate the price-sheet collection</x:v>
      </x:c>
      <x:c r="D8" s="26" t="str">
        <x:v>Vintage Mongoose says its library includes original brochures and dealer price sheets.</x:v>
      </x:c>
      <x:c r="E8" s="26" t="str">
        <x:v>Specialist archive statement</x:v>
      </x:c>
      <x:c r="F8" s="26" t="str">
        <x:v>Existence of a curated price-sheet library is supported; public item list remains unrecovered.</x:v>
      </x:c>
      <x:c r="G8" s="26" t="str">
        <x:v>Do not imply Lititz has access to or may copy the documents.</x:v>
      </x:c>
      <x:c r="H8" s="26" t="str">
        <x:v>https://www.vintagemongoose.com/index.php</x:v>
      </x:c>
      <x:c r="I8" s="26" t="str">
        <x:v>OPEN — EXISTENCE ONLY</x:v>
      </x:c>
    </x:row>
    <x:row r="9" ht="88" customHeight="1">
      <x:c r="A9" s="26" t="str">
        <x:v>V18-R-005</x:v>
      </x:c>
      <x:c r="B9" s="26" t="str">
        <x:v>Mongoose 1998 Outer Limit</x:v>
      </x:c>
      <x:c r="C9" s="26" t="str">
        <x:v>Verify exact model spelling and catalog specification</x:v>
      </x:c>
      <x:c r="D9" s="26" t="str">
        <x:v>Public search corroborates repeated use of 'Outer Limit' and a 1998 BMXMuseum example, but no manufacturer catalog was recovered.</x:v>
      </x:c>
      <x:c r="E9" s="26" t="str">
        <x:v>Public backlink / marketplace corroboration</x:v>
      </x:c>
      <x:c r="F9" s="26" t="str">
        <x:v>Submitted spelling remains plausible but catalog control is absent.</x:v>
      </x:c>
      <x:c r="G9" s="26" t="str">
        <x:v>Marketplace listings are not factory specification evidence.</x:v>
      </x:c>
      <x:c r="H9" s="26" t="str">
        <x:v>https://www.bmxmuseum.com/bikes/mongoose/134583</x:v>
      </x:c>
      <x:c r="I9" s="26" t="str">
        <x:v>OPEN — CATALOG NEEDED</x:v>
      </x:c>
    </x:row>
    <x:row r="10" ht="88" customHeight="1">
      <x:c r="A10" s="26" t="str">
        <x:v>V18-R-006</x:v>
      </x:c>
      <x:c r="B10" s="26" t="str">
        <x:v>Hutch 1981/1982</x:v>
      </x:c>
      <x:c r="C10" s="26" t="str">
        <x:v>Recover original launch catalog or price sheet</x:v>
      </x:c>
      <x:c r="D10" s="26" t="str">
        <x:v>Hutch's official history supports the 1981 Pro Racer and LiL Hole Shot prices; catalog reconstruction still lists 1982 as coming soon.</x:v>
      </x:c>
      <x:c r="E10" s="26" t="str">
        <x:v>Current official history + reconstruction gap</x:v>
      </x:c>
      <x:c r="F10" s="26" t="str">
        <x:v>Historical price attribution remains strong; original period document not recovered.</x:v>
      </x:c>
      <x:c r="G10" s="26" t="str">
        <x:v>Current store products and prices are excluded.</x:v>
      </x:c>
      <x:c r="H10" s="26" t="str">
        <x:v>https://hutchbmx.com/store/index.php?id=5&amp;main_page=page</x:v>
      </x:c>
      <x:c r="I10" s="26" t="str">
        <x:v>OPEN — PERIOD OBJECT NEEDED</x:v>
      </x:c>
    </x:row>
    <x:row r="11" ht="88" customHeight="1">
      <x:c r="A11" s="26" t="str">
        <x:v>V18-R-007</x:v>
      </x:c>
      <x:c r="B11" s="26" t="str">
        <x:v>Ashtabula 5027</x:v>
      </x:c>
      <x:c r="C11" s="26" t="str">
        <x:v>Date and content of the exact catalog reference</x:v>
      </x:c>
      <x:c r="D11" s="26" t="str">
        <x:v>A public technical discussion directly cites reference 5027, estimates it at about 1977 and reports that its crank range tops out at 6-1/2 inches.</x:v>
      </x:c>
      <x:c r="E11" s="26" t="str">
        <x:v>External technical interpretation</x:v>
      </x:c>
      <x:c r="F11" s="26" t="str">
        <x:v>Approximate date/content interpretation strengthened but remains attributed.</x:v>
      </x:c>
      <x:c r="G11" s="26" t="str">
        <x:v>No direct page transcription or edition metadata was recovered.</x:v>
      </x:c>
      <x:c r="H11" s="26" t="str">
        <x:v>https://thecabe.com/forum/threads/ashtabula-fork-identification-help.253603/</x:v>
      </x:c>
      <x:c r="I11" s="26" t="str">
        <x:v>QUALIFIED</x:v>
      </x:c>
    </x:row>
    <x:row r="12" ht="88" customHeight="1">
      <x:c r="A12" s="26" t="str">
        <x:v>V18-R-008</x:v>
      </x:c>
      <x:c r="B12" s="26" t="str">
        <x:v>SE Racing old-school catalogs</x:v>
      </x:c>
      <x:c r="C12" s="26" t="str">
        <x:v>Recover 1978–1985 catalog/price sequence</x:v>
      </x:c>
      <x:c r="D12" s="26" t="str">
        <x:v>No original old-school catalog or price-list object was recovered; public catalog reconstruction continues to expose major gaps.</x:v>
      </x:c>
      <x:c r="E12" s="26" t="str">
        <x:v>Negative discovery result + current heritage boundary</x:v>
      </x:c>
      <x:c r="F12" s="26" t="str">
        <x:v>High-priority source gap remains unchanged.</x:v>
      </x:c>
      <x:c r="G12" s="26" t="str">
        <x:v>Modern heritage pages cannot substitute for period catalogs.</x:v>
      </x:c>
      <x:c r="H12" s="26" t="str">
        <x:v>https://www.bmx-catalogue.com/se-racing/year.html</x:v>
      </x:c>
      <x:c r="I12" s="26" t="str">
        <x:v>OPEN — GAP CONFIRMED</x:v>
      </x:c>
    </x:row>
    <x:row r="13" ht="88" customHeight="1">
      <x:c r="A13" s="26" t="str">
        <x:v>V18-R-009</x:v>
      </x:c>
      <x:c r="B13" s="26" t="str">
        <x:v>ELF 1991 Doublecross</x:v>
      </x:c>
      <x:c r="C13" s="26" t="str">
        <x:v>Recover original launch advertisement/catalog</x:v>
      </x:c>
      <x:c r="D13" s="26" t="str">
        <x:v>Current official history continues to date the Doublecross to 1991, but no original period advertisement or catalog object was recovered.</x:v>
      </x:c>
      <x:c r="E13" s="26" t="str">
        <x:v>Current first-party retrospective</x:v>
      </x:c>
      <x:c r="F13" s="26" t="str">
        <x:v>Brand/model chronology remains attributed; physical artifact 26.0006 remains the best catalog lead.</x:v>
      </x:c>
      <x:c r="G13" s="26" t="str">
        <x:v>Current revival product pages are not period evidence.</x:v>
      </x:c>
      <x:c r="H13" s="26" t="str">
        <x:v>https://www.elfbmxproducts.com/about-elf</x:v>
      </x:c>
      <x:c r="I13" s="26" t="str">
        <x:v>OPEN — PERIOD OBJECT NEEDED</x:v>
      </x:c>
    </x:row>
    <x:row r="14" ht="88" customHeight="1">
      <x:c r="A14" s="26" t="str">
        <x:v>V18-R-010</x:v>
      </x:c>
      <x:c r="B14" s="26" t="str">
        <x:v>Haro source structure</x:v>
      </x:c>
      <x:c r="C14" s="26" t="str">
        <x:v>1990 catalog public page readiness</x:v>
      </x:c>
      <x:c r="D14" s="26" t="str">
        <x:v>Official Haro archive verifies the year, BMX Catalogue supplies a reconstructed six-model structure, and the public index exposes the BMXMuseum title.</x:v>
      </x:c>
      <x:c r="E14" s="26" t="str">
        <x:v>Three-source triangulation</x:v>
      </x:c>
      <x:c r="F14" s="26" t="str">
        <x:v>Sufficient for a qualified bibliographic page without a BMXMuseum numeric ID.</x:v>
      </x:c>
      <x:c r="G14" s="26" t="str">
        <x:v>Edition/page identity remains open and no scans are reproduced.</x:v>
      </x:c>
      <x:c r="H14" s="26" t="str">
        <x:v>https://archive.harobikes.com/bmx</x:v>
      </x:c>
      <x:c r="I14" s="26" t="str">
        <x:v>READY-QUALIFIED PAGE</x:v>
      </x:c>
    </x:row>
  </x:sheetData>
  <x:mergeCells>
    <x:mergeCell ref="A1:I1"/>
    <x:mergeCell ref="A2:I2"/>
  </x:mergeCells>
  <x:pageMargins left="0.7" right="0.7" top="0.75" bottom="0.75" header="0.3" footer="0.3"/>
  <x:tableParts count="1">
    <x:tablePart xmlns:r="http://schemas.openxmlformats.org/officeDocument/2006/relationships" r:id="R3fd99e58662c43c0"/>
  </x:tableParts>
</x:worksheet>
</file>

<file path=xl/worksheets/sheet143.xml><?xml version="1.0" encoding="utf-8"?>
<x:worksheet xmlns:x="http://schemas.openxmlformats.org/spreadsheetml/2006/main">
  <x:sheetFormatPr defaultRowHeight="15"/>
  <x:cols>
    <x:col min="1" max="1" width="15" hidden="0" customWidth="1"/>
    <x:col min="2" max="2" width="42" hidden="0" customWidth="1"/>
    <x:col min="3" max="3" width="34" hidden="0" customWidth="1"/>
    <x:col min="4" max="4" width="52" hidden="0" customWidth="1"/>
    <x:col min="5" max="5" width="54" hidden="0" customWidth="1"/>
    <x:col min="6" max="6" width="64" hidden="0" customWidth="1"/>
    <x:col min="7" max="7" width="14" hidden="0" customWidth="1"/>
  </x:cols>
  <x:sheetData>
    <x:row r="1">
      <x:c r="A1" s="643" t="str">
        <x:v>v1.8 Recovery Source Register</x:v>
      </x:c>
      <x:c r="B1" s="643"/>
      <x:c r="C1" s="643"/>
      <x:c r="D1" s="643"/>
      <x:c r="E1" s="643"/>
      <x:c r="F1" s="643"/>
      <x:c r="G1" s="643"/>
    </x:row>
    <x:row r="2">
      <x:c r="A2" s="648" t="str">
        <x:v>Sources are recorded even when their main value is confirming a gap, title cluster or partial bibliographic identity.</x:v>
      </x:c>
      <x:c r="B2" s="648"/>
      <x:c r="C2" s="648"/>
      <x:c r="D2" s="648"/>
      <x:c r="E2" s="648"/>
      <x:c r="F2" s="648"/>
      <x:c r="G2" s="648"/>
    </x:row>
    <x:row r="4">
      <x:c r="A4" s="653" t="str">
        <x:v>Source ID</x:v>
      </x:c>
      <x:c r="B4" s="653" t="str">
        <x:v>Source</x:v>
      </x:c>
      <x:c r="C4" s="653" t="str">
        <x:v>Source Class</x:v>
      </x:c>
      <x:c r="D4" s="653" t="str">
        <x:v>Supports</x:v>
      </x:c>
      <x:c r="E4" s="653" t="str">
        <x:v>Key Limitation</x:v>
      </x:c>
      <x:c r="F4" s="653" t="str">
        <x:v>URL</x:v>
      </x:c>
      <x:c r="G4" s="653" t="str">
        <x:v>Accessed</x:v>
      </x:c>
    </x:row>
    <x:row r="5" ht="84" customHeight="1">
      <x:c r="A5" s="26" t="str">
        <x:v>V18-SRC-001</x:v>
      </x:c>
      <x:c r="B5" s="26" t="str">
        <x:v>Public Haro catalog title/image index</x:v>
      </x:c>
      <x:c r="C5" s="26" t="str">
        <x:v>Third-party public index</x:v>
      </x:c>
      <x:c r="D5" s="26" t="str">
        <x:v>BMXMuseum title existence for six catalog years.</x:v>
      </x:c>
      <x:c r="E5" s="26" t="str">
        <x:v>Low-quality aggregator; no canonical IDs and duplicated entries.</x:v>
      </x:c>
      <x:c r="F5" s="26" t="str">
        <x:v>https://storage.googleapis.com/dioyjtkukhpqse/haro-bmx-catalog.html</x:v>
      </x:c>
      <x:c r="G5" s="26" t="str">
        <x:v>2026-07-30</x:v>
      </x:c>
    </x:row>
    <x:row r="6" ht="84" customHeight="1">
      <x:c r="A6" s="26" t="str">
        <x:v>V18-SRC-002</x:v>
      </x:c>
      <x:c r="B6" s="26" t="str">
        <x:v>Haro official BMX archive</x:v>
      </x:c>
      <x:c r="C6" s="26" t="str">
        <x:v>Current official manufacturer archive</x:v>
      </x:c>
      <x:c r="D6" s="26" t="str">
        <x:v>Official existence/year control for historical Haro catalogs.</x:v>
      </x:c>
      <x:c r="E6" s="26" t="str">
        <x:v>Exact BMXMuseum edition mapping remains open.</x:v>
      </x:c>
      <x:c r="F6" s="26" t="str">
        <x:v>https://archive.harobikes.com/bmx</x:v>
      </x:c>
      <x:c r="G6" s="26" t="str">
        <x:v>2026-07-30</x:v>
      </x:c>
    </x:row>
    <x:row r="7" ht="84" customHeight="1">
      <x:c r="A7" s="26" t="str">
        <x:v>V18-SRC-003</x:v>
      </x:c>
      <x:c r="B7" s="26" t="str">
        <x:v>Redline BMX History — 1976</x:v>
      </x:c>
      <x:c r="C7" s="26" t="str">
        <x:v>Specialist historical archive</x:v>
      </x:c>
      <x:c r="D7" s="26" t="str">
        <x:v>First-issue December 1976 advertisement identification.</x:v>
      </x:c>
      <x:c r="E7" s="26" t="str">
        <x:v>Page number not exposed.</x:v>
      </x:c>
      <x:c r="F7" s="26" t="str">
        <x:v>https://redlinebmx.wordpress.com/category/1976/</x:v>
      </x:c>
      <x:c r="G7" s="26" t="str">
        <x:v>2026-07-30</x:v>
      </x:c>
    </x:row>
    <x:row r="8" ht="84" customHeight="1">
      <x:c r="A8" s="26" t="str">
        <x:v>V18-SRC-004</x:v>
      </x:c>
      <x:c r="B8" s="26" t="str">
        <x:v>Redline Vintage BMX history</x:v>
      </x:c>
      <x:c r="C8" s="26" t="str">
        <x:v>Current specialist history</x:v>
      </x:c>
      <x:c r="D8" s="26" t="str">
        <x:v>December 1976 debut-issue context.</x:v>
      </x:c>
      <x:c r="E8" s="26" t="str">
        <x:v>Retrospective; original issue remains preferable.</x:v>
      </x:c>
      <x:c r="F8" s="26" t="str">
        <x:v>https://www.redlinevintagebmx.com/redline-history</x:v>
      </x:c>
      <x:c r="G8" s="26" t="str">
        <x:v>2026-07-30</x:v>
      </x:c>
    </x:row>
    <x:row r="9" ht="84" customHeight="1">
      <x:c r="A9" s="26" t="str">
        <x:v>V18-SRC-005</x:v>
      </x:c>
      <x:c r="B9" s="26" t="str">
        <x:v>Vintage Mongoose printed media</x:v>
      </x:c>
      <x:c r="C9" s="26" t="str">
        <x:v>Specialist archive index</x:v>
      </x:c>
      <x:c r="D9" s="26" t="str">
        <x:v>Sixteen catalog editions and 1977 manual.</x:v>
      </x:c>
      <x:c r="E9" s="26" t="str">
        <x:v>No dealer-price-sheet item index.</x:v>
      </x:c>
      <x:c r="F9" s="26" t="str">
        <x:v>https://vintagemongoose.com/info/catalogs.php</x:v>
      </x:c>
      <x:c r="G9" s="26" t="str">
        <x:v>2026-07-30</x:v>
      </x:c>
    </x:row>
    <x:row r="10" ht="84" customHeight="1">
      <x:c r="A10" s="26" t="str">
        <x:v>V18-SRC-006</x:v>
      </x:c>
      <x:c r="B10" s="26" t="str">
        <x:v>Vintage Mongoose home/about</x:v>
      </x:c>
      <x:c r="C10" s="26" t="str">
        <x:v>Specialist archive statement</x:v>
      </x:c>
      <x:c r="D10" s="26" t="str">
        <x:v>Library includes original brochures and dealer price sheets.</x:v>
      </x:c>
      <x:c r="E10" s="26" t="str">
        <x:v>Does not expose exact holdings or reuse terms.</x:v>
      </x:c>
      <x:c r="F10" s="26" t="str">
        <x:v>https://www.vintagemongoose.com/index.php</x:v>
      </x:c>
      <x:c r="G10" s="26" t="str">
        <x:v>2026-07-30</x:v>
      </x:c>
    </x:row>
    <x:row r="11" ht="84" customHeight="1">
      <x:c r="A11" s="26" t="str">
        <x:v>V18-SRC-007</x:v>
      </x:c>
      <x:c r="B11" s="26" t="str">
        <x:v>Hutch official history</x:v>
      </x:c>
      <x:c r="C11" s="26" t="str">
        <x:v>Current official historical page</x:v>
      </x:c>
      <x:c r="D11" s="26" t="str">
        <x:v>1981 launch and historical prices.</x:v>
      </x:c>
      <x:c r="E11" s="26" t="str">
        <x:v>Original catalog/price-sheet not recovered.</x:v>
      </x:c>
      <x:c r="F11" s="26" t="str">
        <x:v>https://hutchbmx.com/store/index.php?id=5&amp;main_page=page</x:v>
      </x:c>
      <x:c r="G11" s="26" t="str">
        <x:v>2026-07-30</x:v>
      </x:c>
    </x:row>
    <x:row r="12" ht="84" customHeight="1">
      <x:c r="A12" s="26" t="str">
        <x:v>V18-SRC-008</x:v>
      </x:c>
      <x:c r="B12" s="26" t="str">
        <x:v>Hutch catalog reconstruction</x:v>
      </x:c>
      <x:c r="C12" s="26" t="str">
        <x:v>Catalog reconstruction</x:v>
      </x:c>
      <x:c r="D12" s="26" t="str">
        <x:v>1982 catalog remains coming soon; 1984 and 1988 structures exist.</x:v>
      </x:c>
      <x:c r="E12" s="26" t="str">
        <x:v>Not an original manufacturer file.</x:v>
      </x:c>
      <x:c r="F12" s="26" t="str">
        <x:v>https://bmx-catalogue.com/hutch/year.html</x:v>
      </x:c>
      <x:c r="G12" s="26" t="str">
        <x:v>2026-07-30</x:v>
      </x:c>
    </x:row>
    <x:row r="13" ht="84" customHeight="1">
      <x:c r="A13" s="26" t="str">
        <x:v>V18-SRC-009</x:v>
      </x:c>
      <x:c r="B13" s="26" t="str">
        <x:v>Ashtabula technical discussion</x:v>
      </x:c>
      <x:c r="C13" s="26" t="str">
        <x:v>External technical discussion</x:v>
      </x:c>
      <x:c r="D13" s="26" t="str">
        <x:v>Exact reference 5027, approximate date and reported crank limit.</x:v>
      </x:c>
      <x:c r="E13" s="26" t="str">
        <x:v>Indirect interpretation; no full page transcription.</x:v>
      </x:c>
      <x:c r="F13" s="26" t="str">
        <x:v>https://thecabe.com/forum/threads/ashtabula-fork-identification-help.253603/</x:v>
      </x:c>
      <x:c r="G13" s="26" t="str">
        <x:v>2026-07-30</x:v>
      </x:c>
    </x:row>
    <x:row r="14" ht="84" customHeight="1">
      <x:c r="A14" s="26" t="str">
        <x:v>V18-SRC-010</x:v>
      </x:c>
      <x:c r="B14" s="26" t="str">
        <x:v>ELF official history</x:v>
      </x:c>
      <x:c r="C14" s="26" t="str">
        <x:v>Current first-party retrospective</x:v>
      </x:c>
      <x:c r="D14" s="26" t="str">
        <x:v>1991 Doublecross introduction and design context.</x:v>
      </x:c>
      <x:c r="E14" s="26" t="str">
        <x:v>Does not identify artifact 26.0006.</x:v>
      </x:c>
      <x:c r="F14" s="26" t="str">
        <x:v>https://www.elfbmxproducts.com/about-elf</x:v>
      </x:c>
      <x:c r="G14" s="26" t="str">
        <x:v>2026-07-30</x:v>
      </x:c>
    </x:row>
    <x:row r="15" ht="84" customHeight="1">
      <x:c r="A15" s="26" t="str">
        <x:v>V18-SRC-011</x:v>
      </x:c>
      <x:c r="B15" s="26" t="str">
        <x:v>SE Racing catalog reconstruction index</x:v>
      </x:c>
      <x:c r="C15" s="26" t="str">
        <x:v>Catalog reconstruction/gap index</x:v>
      </x:c>
      <x:c r="D15" s="26" t="str">
        <x:v>Confirms public old-school catalog gaps.</x:v>
      </x:c>
      <x:c r="E15" s="26" t="str">
        <x:v>Modern entries are not period sources.</x:v>
      </x:c>
      <x:c r="F15" s="26" t="str">
        <x:v>https://www.bmx-catalogue.com/se-racing/year.html</x:v>
      </x:c>
      <x:c r="G15" s="26" t="str">
        <x:v>2026-07-30</x:v>
      </x:c>
    </x:row>
  </x:sheetData>
  <x:mergeCells>
    <x:mergeCell ref="A1:G1"/>
    <x:mergeCell ref="A2:G2"/>
  </x:mergeCells>
  <x:pageMargins left="0.7" right="0.7" top="0.75" bottom="0.75" header="0.3" footer="0.3"/>
  <x:tableParts count="1">
    <x:tablePart xmlns:r="http://schemas.openxmlformats.org/officeDocument/2006/relationships" r:id="Rd3a31706b7864466"/>
  </x:tableParts>
</x:worksheet>
</file>

<file path=xl/worksheets/sheet144.xml><?xml version="1.0" encoding="utf-8"?>
<x:worksheet xmlns:x="http://schemas.openxmlformats.org/spreadsheetml/2006/main">
  <x:sheetFormatPr defaultRowHeight="15"/>
  <x:cols>
    <x:col min="1" max="1" width="12" hidden="0" customWidth="1"/>
    <x:col min="2" max="2" width="32" hidden="0" customWidth="1"/>
    <x:col min="3" max="3" width="52" hidden="0" customWidth="1"/>
    <x:col min="4" max="4" width="56" hidden="0" customWidth="1"/>
    <x:col min="5" max="5" width="52" hidden="0" customWidth="1"/>
    <x:col min="6" max="6" width="56" hidden="0" customWidth="1"/>
    <x:col min="7" max="7" width="22" hidden="0" customWidth="1"/>
  </x:cols>
  <x:sheetData>
    <x:row r="1">
      <x:c r="A1" s="643" t="str">
        <x:v>v1.8 Permission-Free Recovery Queue</x:v>
      </x:c>
      <x:c r="B1" s="643"/>
      <x:c r="C1" s="643"/>
      <x:c r="D1" s="643"/>
      <x:c r="E1" s="643"/>
      <x:c r="F1" s="643"/>
      <x:c r="G1" s="643"/>
    </x:row>
    <x:row r="2">
      <x:c r="A2" s="648" t="str">
        <x:v>The queue defines a success condition and a safety stop for each target, preventing endless searches or access-control workarounds.</x:v>
      </x:c>
      <x:c r="B2" s="648"/>
      <x:c r="C2" s="648"/>
      <x:c r="D2" s="648"/>
      <x:c r="E2" s="648"/>
      <x:c r="F2" s="648"/>
      <x:c r="G2" s="648"/>
    </x:row>
    <x:row r="4">
      <x:c r="A4" s="653" t="str">
        <x:v>Priority</x:v>
      </x:c>
      <x:c r="B4" s="653" t="str">
        <x:v>Target</x:v>
      </x:c>
      <x:c r="C4" s="653" t="str">
        <x:v>Current Evidence</x:v>
      </x:c>
      <x:c r="D4" s="653" t="str">
        <x:v>Next Search Route</x:v>
      </x:c>
      <x:c r="E4" s="653" t="str">
        <x:v>Success Condition</x:v>
      </x:c>
      <x:c r="F4" s="653" t="str">
        <x:v>Stop / Safety Rule</x:v>
      </x:c>
      <x:c r="G4" s="653" t="str">
        <x:v>Status</x:v>
      </x:c>
    </x:row>
    <x:row r="5" ht="84" customHeight="1">
      <x:c r="A5" s="26" t="str">
        <x:v>P0</x:v>
      </x:c>
      <x:c r="B5" s="26" t="str">
        <x:v>Haro BMXMuseum catalog IDs</x:v>
      </x:c>
      <x:c r="C5" s="26" t="str">
        <x:v>Six titles and image filenames publicly exposed.</x:v>
      </x:c>
      <x:c r="D5" s="26" t="str">
        <x:v>Search external citations, social posts, collector inventories and archived link lists.</x:v>
      </x:c>
      <x:c r="E5" s="26" t="str">
        <x:v>Numeric /reference/{id} URL exposed by an ordinary public backlink.</x:v>
      </x:c>
      <x:c r="F5" s="26" t="str">
        <x:v>Do not guess ID from image filename or crawl blocked paths.</x:v>
      </x:c>
      <x:c r="G5" s="26" t="str">
        <x:v>ACTIVE</x:v>
      </x:c>
    </x:row>
    <x:row r="6" ht="84" customHeight="1">
      <x:c r="A6" s="26" t="str">
        <x:v>P0</x:v>
      </x:c>
      <x:c r="B6" s="26" t="str">
        <x:v>Mongoose dealer price sheets</x:v>
      </x:c>
      <x:c r="C6" s="26" t="str">
        <x:v>Archive states price sheets exist.</x:v>
      </x:c>
      <x:c r="D6" s="26" t="str">
        <x:v>Search public site navigation, citations, document titles and physical-sale bibliographies.</x:v>
      </x:c>
      <x:c r="E6" s="26" t="str">
        <x:v>At least one dated sheet with price basis, market and page structure.</x:v>
      </x:c>
      <x:c r="F6" s="26" t="str">
        <x:v>Do not request private access or copy unlicensed scans.</x:v>
      </x:c>
      <x:c r="G6" s="26" t="str">
        <x:v>ACTIVE</x:v>
      </x:c>
    </x:row>
    <x:row r="7" ht="84" customHeight="1">
      <x:c r="A7" s="26" t="str">
        <x:v>P0</x:v>
      </x:c>
      <x:c r="B7" s="26" t="str">
        <x:v>Mongoose 1998 Outer Limit catalog</x:v>
      </x:c>
      <x:c r="C7" s="26" t="str">
        <x:v>Exact submitted record and repeated public model name.</x:v>
      </x:c>
      <x:c r="D7" s="26" t="str">
        <x:v>Search 1997–1999 catalogs, dealer sheets and manuals.</x:v>
      </x:c>
      <x:c r="E7" s="26" t="str">
        <x:v>Manufacturer/dealer document naming Outer Limit and specifications.</x:v>
      </x:c>
      <x:c r="F7" s="26" t="str">
        <x:v>Marketplace listings remain corroboration only.</x:v>
      </x:c>
      <x:c r="G7" s="26" t="str">
        <x:v>ACTIVE</x:v>
      </x:c>
    </x:row>
    <x:row r="8" ht="84" customHeight="1">
      <x:c r="A8" s="26" t="str">
        <x:v>P0</x:v>
      </x:c>
      <x:c r="B8" s="26" t="str">
        <x:v>Redline December 1976 ad page</x:v>
      </x:c>
      <x:c r="C8" s="26" t="str">
        <x:v>Publication and issue identified.</x:v>
      </x:c>
      <x:c r="D8" s="26" t="str">
        <x:v>Inspect lawful issue index/page metadata and period bibliographies.</x:v>
      </x:c>
      <x:c r="E8" s="26" t="str">
        <x:v>Exact page number or page-object citation.</x:v>
      </x:c>
      <x:c r="F8" s="26" t="str">
        <x:v>Do not reproduce Bob Osborn imagery without rights.</x:v>
      </x:c>
      <x:c r="G8" s="26" t="str">
        <x:v>PARTIAL</x:v>
      </x:c>
    </x:row>
    <x:row r="9" ht="84" customHeight="1">
      <x:c r="A9" s="26" t="str">
        <x:v>P0</x:v>
      </x:c>
      <x:c r="B9" s="26" t="str">
        <x:v>Hutch 1981 launch document</x:v>
      </x:c>
      <x:c r="C9" s="26" t="str">
        <x:v>Official retrospective prices.</x:v>
      </x:c>
      <x:c r="D9" s="26" t="str">
        <x:v>Search period BMX magazines, brochures and public catalog listings.</x:v>
      </x:c>
      <x:c r="E9" s="26" t="str">
        <x:v>Original ad/catalog/price sheet with products and basis.</x:v>
      </x:c>
      <x:c r="F9" s="26" t="str">
        <x:v>Exclude current reissue store pages.</x:v>
      </x:c>
      <x:c r="G9" s="26" t="str">
        <x:v>ACTIVE</x:v>
      </x:c>
    </x:row>
    <x:row r="10" ht="84" customHeight="1">
      <x:c r="A10" s="26" t="str">
        <x:v>P0</x:v>
      </x:c>
      <x:c r="B10" s="26" t="str">
        <x:v>Auburn 26.0085 jersey context</x:v>
      </x:c>
      <x:c r="C10" s="26" t="str">
        <x:v>1988–1994 ad/team sequence plus physical roadmap.</x:v>
      </x:c>
      <x:c r="D10" s="26" t="str">
        <x:v>Complete labels/provenance capture, then compare period images.</x:v>
      </x:c>
      <x:c r="E10" s="26" t="str">
        <x:v>Narrowed date/team and evidence-bounded wearer conclusion.</x:v>
      </x:c>
      <x:c r="F10" s="26" t="str">
        <x:v>No visual-match-only wearer attribution.</x:v>
      </x:c>
      <x:c r="G10" s="26" t="str">
        <x:v>PHYSICAL ROADMAP</x:v>
      </x:c>
    </x:row>
    <x:row r="11" ht="84" customHeight="1">
      <x:c r="A11" s="26" t="str">
        <x:v>P0</x:v>
      </x:c>
      <x:c r="B11" s="26" t="str">
        <x:v>ELF artifact 26.0006</x:v>
      </x:c>
      <x:c r="C11" s="26" t="str">
        <x:v>Exterior catalog/mailpiece evidence.</x:v>
      </x:c>
      <x:c r="D11" s="26" t="str">
        <x:v>Complete physical bibliographic capture and exact-title searches.</x:v>
      </x:c>
      <x:c r="E11" s="26" t="str">
        <x:v>Year/edition/imprint/page count and model coverage.</x:v>
      </x:c>
      <x:c r="F11" s="26" t="str">
        <x:v>Current brand history cannot date the object.</x:v>
      </x:c>
      <x:c r="G11" s="26" t="str">
        <x:v>PHYSICAL ROADMAP</x:v>
      </x:c>
    </x:row>
    <x:row r="12" ht="84" customHeight="1">
      <x:c r="A12" s="26" t="str">
        <x:v>P0</x:v>
      </x:c>
      <x:c r="B12" s="26" t="str">
        <x:v>SE 1978–1985 catalogs</x:v>
      </x:c>
      <x:c r="C12" s="26" t="str">
        <x:v>Official heritage and exact submitted bikes; catalog gap.</x:v>
      </x:c>
      <x:c r="D12" s="26" t="str">
        <x:v>Search period magazine ads/tests, collector indexes and dealer sheets.</x:v>
      </x:c>
      <x:c r="E12" s="26" t="str">
        <x:v>At least one original catalog/price-list object.</x:v>
      </x:c>
      <x:c r="F12" s="26" t="str">
        <x:v>Do not use modern retro pages as specifications.</x:v>
      </x:c>
      <x:c r="G12" s="26" t="str">
        <x:v>ACTIVE</x:v>
      </x:c>
    </x:row>
    <x:row r="13" ht="84" customHeight="1">
      <x:c r="A13" s="26" t="str">
        <x:v>P1</x:v>
      </x:c>
      <x:c r="B13" s="26" t="str">
        <x:v>Ashtabula 5027 bibliographic identity</x:v>
      </x:c>
      <x:c r="C13" s="26" t="str">
        <x:v>Exact reference plus technical interpretation.</x:v>
      </x:c>
      <x:c r="D13" s="26" t="str">
        <x:v>Search public citations, image filenames and later catalog mentions.</x:v>
      </x:c>
      <x:c r="E13" s="26" t="str">
        <x:v>Exact title/date/page count and direct factual transcription route.</x:v>
      </x:c>
      <x:c r="F13" s="26" t="str">
        <x:v>No bypass of BMXMuseum controls.</x:v>
      </x:c>
      <x:c r="G13" s="26" t="str">
        <x:v>ACTIVE</x:v>
      </x:c>
    </x:row>
    <x:row r="14" ht="84" customHeight="1">
      <x:c r="A14" s="26" t="str">
        <x:v>P1</x:v>
      </x:c>
      <x:c r="B14" s="26" t="str">
        <x:v>Haro edition matching</x:v>
      </x:c>
      <x:c r="C14" s="26" t="str">
        <x:v>Official archive + reconstructed pages + BMXMuseum titles.</x:v>
      </x:c>
      <x:c r="D14" s="26" t="str">
        <x:v>Compare cover/imprint/page count and model order from public metadata.</x:v>
      </x:c>
      <x:c r="E14" s="26" t="str">
        <x:v>Edition-match table for each year.</x:v>
      </x:c>
      <x:c r="F14" s="26" t="str">
        <x:v>Do not assume same title means same market edition.</x:v>
      </x:c>
      <x:c r="G14" s="26" t="str">
        <x:v>ACTIVE</x:v>
      </x:c>
    </x:row>
  </x:sheetData>
  <x:mergeCells>
    <x:mergeCell ref="A1:G1"/>
    <x:mergeCell ref="A2:G2"/>
  </x:mergeCells>
  <x:dataValidations count="2">
    <x:dataValidation type="list" sqref="A5:A14">
      <x:formula1>"P0,P1,P2,P3"</x:formula1>
    </x:dataValidation>
    <x:dataValidation type="list" sqref="G5:G14">
      <x:formula1>"ACTIVE,PARTIAL,PHYSICAL ROADMAP,HOLD,CLOSED"</x:formula1>
    </x:dataValidation>
  </x:dataValidations>
  <x:pageMargins left="0.7" right="0.7" top="0.75" bottom="0.75" header="0.3" footer="0.3"/>
  <x:tableParts count="1">
    <x:tablePart xmlns:r="http://schemas.openxmlformats.org/officeDocument/2006/relationships" r:id="Rad7d470fad64454e"/>
  </x:tableParts>
</x:worksheet>
</file>

<file path=xl/worksheets/sheet145.xml><?xml version="1.0" encoding="utf-8"?>
<x:worksheet xmlns:x="http://schemas.openxmlformats.org/spreadsheetml/2006/main">
  <x:sheetFormatPr defaultRowHeight="15"/>
  <x:cols>
    <x:col min="1" max="1" width="31" hidden="0" customWidth="1"/>
    <x:col min="2" max="2" width="14" hidden="0" customWidth="1"/>
    <x:col min="4" max="4" width="30" hidden="0" customWidth="1"/>
    <x:col min="5" max="5" width="72" hidden="0" customWidth="1"/>
    <x:col min="8" max="8" width="30" hidden="0" customWidth="1"/>
    <x:col min="9" max="9" width="54" hidden="0" customWidth="1"/>
  </x:cols>
  <x:sheetData>
    <x:row r="1">
      <x:c r="A1" s="643" t="str">
        <x:v>BMXMuseum Public Knowledge Register v1.8 — Public Release Schema and Recovery</x:v>
      </x:c>
      <x:c r="B1" s="643"/>
      <x:c r="C1" s="643"/>
      <x:c r="D1" s="643"/>
      <x:c r="E1" s="643"/>
      <x:c r="F1" s="643"/>
      <x:c r="G1" s="643"/>
      <x:c r="H1" s="643"/>
      <x:c r="I1" s="643"/>
      <x:c r="J1" s="643"/>
      <x:c r="K1" s="643"/>
      <x:c r="L1" s="643"/>
      <x:c r="M1" s="643"/>
      <x:c r="N1" s="643"/>
    </x:row>
    <x:row r="2">
      <x:c r="A2" s="648" t="str">
        <x:v>The register now has a publication architecture: page types, field definitions, claim/source/relationship cards, gates, SEO/accessibility rules, a build queue, valid JSON records and working human-facing page prototypes.</x:v>
      </x:c>
      <x:c r="B2" s="648"/>
      <x:c r="C2" s="648"/>
      <x:c r="D2" s="648"/>
      <x:c r="E2" s="648"/>
      <x:c r="F2" s="648"/>
      <x:c r="G2" s="648"/>
      <x:c r="H2" s="648"/>
      <x:c r="I2" s="648"/>
      <x:c r="J2" s="648"/>
      <x:c r="K2" s="648"/>
      <x:c r="L2" s="648"/>
      <x:c r="M2" s="648"/>
      <x:c r="N2" s="648"/>
    </x:row>
    <x:row r="4">
      <x:c r="A4" s="653" t="str">
        <x:v>Schema / Work Product</x:v>
      </x:c>
      <x:c r="B4" s="653" t="str">
        <x:v>Count</x:v>
      </x:c>
      <x:c r="D4" s="653" t="str">
        <x:v>Publication Rule</x:v>
      </x:c>
      <x:c r="E4" s="653" t="str">
        <x:v>Locked Determination</x:v>
      </x:c>
      <x:c r="H4" s="653" t="str">
        <x:v>Recovery Result</x:v>
      </x:c>
      <x:c r="I4" s="653" t="str">
        <x:v>Current Position</x:v>
      </x:c>
    </x:row>
    <x:row r="5" ht="52" customHeight="1">
      <x:c r="A5" t="str">
        <x:v>Record types</x:v>
      </x:c>
      <x:c r="B5" t="n">
        <x:v>18</x:v>
      </x:c>
      <x:c r="D5" s="655" t="str">
        <x:v>Inspectable claims</x:v>
      </x:c>
      <x:c r="E5" s="26" t="str">
        <x:v>Every public assertion has a status, approved wording, evidence summary, source links and—when needed—a 'does not prove' boundary.</x:v>
      </x:c>
      <x:c r="H5" s="657" t="str">
        <x:v>Haro catalog IDs</x:v>
      </x:c>
      <x:c r="I5" s="26" t="str">
        <x:v>Six title objects strengthened; numeric IDs still unresolved.</x:v>
      </x:c>
    </x:row>
    <x:row r="6" ht="52" customHeight="1">
      <x:c r="A6" t="str">
        <x:v>Public fields</x:v>
      </x:c>
      <x:c r="B6" t="n">
        <x:v>46</x:v>
      </x:c>
      <x:c r="D6" s="655" t="str">
        <x:v>Qualified publication</x:v>
      </x:c>
      <x:c r="E6" s="26" t="str">
        <x:v>READY-QUALIFIED pages may be indexed when their uncertainty is visible and sources/rights are clear.</x:v>
      </x:c>
      <x:c r="H6" s="657" t="str">
        <x:v>Redline 1976 ad</x:v>
      </x:c>
      <x:c r="I6" s="26" t="str">
        <x:v>First issue of Bicycle Motocross Action, December 1976; page still open.</x:v>
      </x:c>
    </x:row>
    <x:row r="7" ht="52" customHeight="1">
      <x:c r="A7" t="str">
        <x:v>Page sections</x:v>
      </x:c>
      <x:c r="B7" t="n">
        <x:v>13</x:v>
      </x:c>
      <x:c r="D7" s="655" t="str">
        <x:v>Source transparency</x:v>
      </x:c>
      <x:c r="E7" s="26" t="str">
        <x:v>Source cards expose creator, date, source class, rights treatment, limitation and canonical link.</x:v>
      </x:c>
      <x:c r="H7" s="657" t="str">
        <x:v>Mongoose media</x:v>
      </x:c>
      <x:c r="I7" s="26" t="str">
        <x:v>Sixteen catalogs and one manual confirmed; dealer price sheets described but not publicly itemized.</x:v>
      </x:c>
    </x:row>
    <x:row r="8" ht="52" customHeight="1">
      <x:c r="A8" t="str">
        <x:v>Claim-card fields</x:v>
      </x:c>
      <x:c r="B8" t="n">
        <x:v>15</x:v>
      </x:c>
      <x:c r="D8" s="655" t="str">
        <x:v>No scan mirror</x:v>
      </x:c>
      <x:c r="E8" s="26" t="str">
        <x:v>Catalog, advertisement and BMXMuseum pages use bibliographic metadata and original summaries—not copied scans or descriptions.</x:v>
      </x:c>
      <x:c r="H8" s="657" t="str">
        <x:v>Hutch launch docs</x:v>
      </x:c>
      <x:c r="I8" s="26" t="str">
        <x:v>Official 1981 prices remain; original catalog/price sheet not recovered.</x:v>
      </x:c>
    </x:row>
    <x:row r="9" ht="52" customHeight="1">
      <x:c r="A9" t="str">
        <x:v>Source-card fields</x:v>
      </x:c>
      <x:c r="B9" t="n">
        <x:v>14</x:v>
      </x:c>
      <x:c r="D9" s="655" t="str">
        <x:v>Stable URLs</x:v>
      </x:c>
      <x:c r="E9" s="26" t="str">
        <x:v>Record IDs never change; slug changes require redirects.</x:v>
      </x:c>
      <x:c r="H9" s="657" t="str">
        <x:v>Ashtabula 5027</x:v>
      </x:c>
      <x:c r="I9" s="26" t="str">
        <x:v>Exact reference and circa-1977 technical interpretation retained as qualified.</x:v>
      </x:c>
    </x:row>
    <x:row r="10" ht="52" customHeight="1">
      <x:c r="A10" t="str">
        <x:v>Relationship fields</x:v>
      </x:c>
      <x:c r="B10" t="n">
        <x:v>11</x:v>
      </x:c>
      <x:c r="D10" s="655" t="str">
        <x:v>Accessibility</x:v>
      </x:c>
      <x:c r="E10" s="26" t="str">
        <x:v>Status is never color-only, claim cards have permalinks, links are descriptive and images require observable alt text.</x:v>
      </x:c>
      <x:c r="H10" s="657" t="str">
        <x:v>SE catalogs</x:v>
      </x:c>
      <x:c r="I10" s="26" t="str">
        <x:v>Old-school catalog gap confirmed; modern heritage pages excluded as substitutes.</x:v>
      </x:c>
    </x:row>
    <x:row r="11" ht="52" customHeight="1">
      <x:c r="A11" t="str">
        <x:v>Publication gates</x:v>
      </x:c>
      <x:c r="B11" t="n">
        <x:v>7</x:v>
      </x:c>
      <x:c r="D11" s="655" t="str">
        <x:v>Structured data</x:v>
      </x:c>
      <x:c r="E11" s="26" t="str">
        <x:v>JSON-LD is conservative and cannot add claims not shown on the page.</x:v>
      </x:c>
      <x:c r="H11" s="657" t="str">
        <x:v>ELF launch source</x:v>
      </x:c>
      <x:c r="I11" s="26" t="str">
        <x:v>1991 current-history claim retained; period launch object still open.</x:v>
      </x:c>
    </x:row>
    <x:row r="12" ht="55" customHeight="1">
      <x:c r="A12" t="str">
        <x:v>SEO/accessibility controls</x:v>
      </x:c>
      <x:c r="B12" t="n">
        <x:v>21</x:v>
      </x:c>
      <x:c r="D12" s="655" t="str">
        <x:v>Corrections</x:v>
      </x:c>
      <x:c r="E12" s="26" t="str">
        <x:v>Material wording/status changes remain visible in page revision history.</x:v>
      </x:c>
    </x:row>
    <x:row r="13">
      <x:c r="A13" t="str">
        <x:v>JSON-LD mappings</x:v>
      </x:c>
      <x:c r="B13" t="n">
        <x:v>12</x:v>
      </x:c>
    </x:row>
    <x:row r="14">
      <x:c r="A14" t="str">
        <x:v>Build-queue records</x:v>
      </x:c>
      <x:c r="B14" t="n">
        <x:v>14</x:v>
      </x:c>
    </x:row>
    <x:row r="15">
      <x:c r="A15" t="str">
        <x:v>Prototype pages</x:v>
      </x:c>
      <x:c r="B15" t="n">
        <x:v>4</x:v>
      </x:c>
    </x:row>
    <x:row r="16">
      <x:c r="A16" t="str">
        <x:v>Recovery findings</x:v>
      </x:c>
      <x:c r="B16" t="n">
        <x:v>10</x:v>
      </x:c>
    </x:row>
    <x:row r="17">
      <x:c r="A17" t="str">
        <x:v>Recovery targets</x:v>
      </x:c>
      <x:c r="B17" t="n">
        <x:v>10</x:v>
      </x:c>
    </x:row>
    <x:row r="22">
      <x:c r="A22" s="653" t="str">
        <x:v>Public Release Position</x:v>
      </x:c>
      <x:c r="B22" s="653"/>
      <x:c r="C22" s="653"/>
      <x:c r="D22" s="653"/>
      <x:c r="E22" s="653"/>
      <x:c r="F22" s="653"/>
      <x:c r="G22" s="653"/>
      <x:c r="H22" s="653"/>
      <x:c r="I22" s="653"/>
    </x:row>
    <x:row r="23" ht="82" customHeight="1">
      <x:c r="A23" s="648" t="str">
        <x:v>The project can now move from workbook-only research to public pages without flattening evidence. The prototype demonstrates four page types and a machine-readable JSON Schema. The first practical publishing batch is Felicia 26.0054, JMC Racing, the 1990 Haro catalog and Ashtabula reference 5027.</x:v>
      </x:c>
      <x:c r="B23" s="648"/>
      <x:c r="C23" s="648"/>
      <x:c r="D23" s="648"/>
      <x:c r="E23" s="648"/>
      <x:c r="F23" s="648"/>
      <x:c r="G23" s="648"/>
      <x:c r="H23" s="648"/>
      <x:c r="I23" s="648"/>
    </x:row>
    <x:row r="24" ht="82" customHeight="1">
      <x:c r="A24" s="648"/>
      <x:c r="B24" s="648"/>
      <x:c r="C24" s="648"/>
      <x:c r="D24" s="648"/>
      <x:c r="E24" s="648"/>
      <x:c r="F24" s="648"/>
      <x:c r="G24" s="648"/>
      <x:c r="H24" s="648"/>
      <x:c r="I24" s="648"/>
    </x:row>
    <x:row r="25" ht="82" customHeight="1">
      <x:c r="A25" s="648"/>
      <x:c r="B25" s="648"/>
      <x:c r="C25" s="648"/>
      <x:c r="D25" s="648"/>
      <x:c r="E25" s="648"/>
      <x:c r="F25" s="648"/>
      <x:c r="G25" s="648"/>
      <x:c r="H25" s="648"/>
      <x:c r="I25" s="648"/>
    </x:row>
    <x:row r="26" ht="82" customHeight="1">
      <x:c r="A26" s="648"/>
      <x:c r="B26" s="648"/>
      <x:c r="C26" s="648"/>
      <x:c r="D26" s="648"/>
      <x:c r="E26" s="648"/>
      <x:c r="F26" s="648"/>
      <x:c r="G26" s="648"/>
      <x:c r="H26" s="648"/>
      <x:c r="I26" s="648"/>
    </x:row>
    <x:row r="27" ht="82" customHeight="1">
      <x:c r="A27" s="648"/>
      <x:c r="B27" s="648"/>
      <x:c r="C27" s="648"/>
      <x:c r="D27" s="648"/>
      <x:c r="E27" s="648"/>
      <x:c r="F27" s="648"/>
      <x:c r="G27" s="648"/>
      <x:c r="H27" s="648"/>
      <x:c r="I27" s="648"/>
    </x:row>
    <x:row r="28" ht="82" customHeight="1">
      <x:c r="A28" s="648"/>
      <x:c r="B28" s="648"/>
      <x:c r="C28" s="648"/>
      <x:c r="D28" s="648"/>
      <x:c r="E28" s="648"/>
      <x:c r="F28" s="648"/>
      <x:c r="G28" s="648"/>
      <x:c r="H28" s="648"/>
      <x:c r="I28" s="648"/>
    </x:row>
    <x:row r="29" ht="82" customHeight="1">
      <x:c r="A29" s="648"/>
      <x:c r="B29" s="648"/>
      <x:c r="C29" s="648"/>
      <x:c r="D29" s="648"/>
      <x:c r="E29" s="648"/>
      <x:c r="F29" s="648"/>
      <x:c r="G29" s="648"/>
      <x:c r="H29" s="648"/>
      <x:c r="I29" s="648"/>
    </x:row>
  </x:sheetData>
  <x:mergeCells>
    <x:mergeCell ref="A1:N1"/>
    <x:mergeCell ref="A2:N2"/>
    <x:mergeCell ref="A22:I22"/>
    <x:mergeCell ref="A23:I29"/>
  </x:mergeCells>
  <x:pageMargins left="0.7" right="0.7" top="0.75" bottom="0.75" header="0.3" footer="0.3"/>
  <x:drawing xmlns:r="http://schemas.openxmlformats.org/officeDocument/2006/relationships" r:id="Rc4ef00ffa8d543f9"/>
</x:worksheet>
</file>